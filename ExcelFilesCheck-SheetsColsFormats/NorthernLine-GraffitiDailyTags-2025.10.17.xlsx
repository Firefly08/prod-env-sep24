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20" documentId="8_{077045B0-E947-4A91-8989-7CBEC247EC23}" xr6:coauthVersionLast="47" xr6:coauthVersionMax="47" xr10:uidLastSave="{F93F1C75-FE01-4157-A3D5-89BD569FAB65}"/>
  <bookViews>
    <workbookView xWindow="-120" yWindow="-120" windowWidth="29040" windowHeight="15720" firstSheet="7" activeTab="10" xr2:uid="{01F82EA7-7EBB-4110-AA80-49066481C6A8}"/>
  </bookViews>
  <sheets>
    <sheet name="Northern line " sheetId="1" r:id="rId1"/>
    <sheet name="Repeat Attacks 1" sheetId="2" r:id="rId2"/>
    <sheet name="Repeat Attacks 2" sheetId="4" r:id="rId3"/>
    <sheet name="Repeat Attacks 3" sheetId="5" r:id="rId4"/>
    <sheet name="Repeat Attacks 4" sheetId="6" r:id="rId5"/>
    <sheet name="Repeat Attacks 5" sheetId="7" r:id="rId6"/>
    <sheet name="Repeat Attacks 6" sheetId="3" r:id="rId7"/>
    <sheet name="Repeat Attacks 7" sheetId="8" r:id="rId8"/>
    <sheet name="Repeat Attacks 8" sheetId="9" r:id="rId9"/>
    <sheet name="Repeat Attacks 9" sheetId="10" r:id="rId10"/>
    <sheet name="Repeat Attacks 10" sheetId="11" r:id="rId11"/>
    <sheet name="Repeat Attacks 11" sheetId="12" r:id="rId12"/>
    <sheet name="Repeat Attacks 12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3" l="1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3"/>
  <c r="S4" i="3"/>
  <c r="T4" i="7"/>
  <c r="S4" i="7"/>
  <c r="T4" i="6"/>
  <c r="S4" i="6"/>
  <c r="T4" i="5"/>
  <c r="S4" i="5"/>
  <c r="T4" i="4"/>
  <c r="S4" i="4"/>
  <c r="T4" i="2"/>
  <c r="U4" i="2" s="1"/>
  <c r="S4" i="2"/>
  <c r="T4" i="1"/>
  <c r="S4" i="1"/>
  <c r="U4" i="3" l="1"/>
  <c r="U4" i="7"/>
  <c r="U4" i="5"/>
  <c r="U4" i="4"/>
  <c r="U4" i="6"/>
  <c r="U4" i="1"/>
</calcChain>
</file>

<file path=xl/sharedStrings.xml><?xml version="1.0" encoding="utf-8"?>
<sst xmlns="http://schemas.openxmlformats.org/spreadsheetml/2006/main" count="287" uniqueCount="26">
  <si>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</si>
  <si>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</si>
  <si>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</si>
  <si>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</si>
  <si>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</si>
  <si>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</si>
  <si>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</si>
  <si>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</si>
  <si>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</si>
  <si>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</si>
  <si>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</si>
  <si>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</si>
  <si>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</si>
  <si>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</si>
  <si>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</si>
  <si>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</si>
  <si>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</si>
  <si>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</si>
  <si>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</si>
  <si>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</si>
  <si>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</si>
  <si>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</si>
  <si>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Richard</t>
  </si>
  <si>
    <t>violena</t>
  </si>
  <si>
    <t>Michael</t>
  </si>
  <si>
    <t>Roland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</si>
</sst>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 tint="-0.34998626667073579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2" fontId="2" fillId="2" borderId="1" xfId="0" applyNumberFormat="1" applyFont="1" applyFill="1" applyBorder="1" applyAlignment="1" applyProtection="1">
      <alignment horizontal="center" vertical="center"/>
      <protection hidden="1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7" fillId="12" borderId="15" xfId="0" applyNumberFormat="1" applyFont="1" applyFill="1" applyBorder="1" applyAlignment="1">
      <alignment horizontal="center"/>
    </xf>
    <xf numFmtId="1" fontId="4" fillId="12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8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4F988-4B42-4E52-94C8-8B5C17E9ACC8}" name="TagsRA0" displayName="TagsRA0" ref="A1:P213" totalsRowShown="0" headerRowDxfId="233" tableBorderDxfId="232">
  <autoFilter ref="A1:P213" xr:uid="{8BD4F988-4B42-4E52-94C8-8B5C17E9ACC8}"/>
  <sortState xmlns:xlrd2="http://schemas.microsoft.com/office/spreadsheetml/2017/richdata2" ref="A2:P213">
    <sortCondition ref="A1:A213"/>
  </sortState>
  <tableColumns count="16">
    <tableColumn id="1" xr3:uid="{61256823-BC3C-4C14-B9B0-BA8D90785302}" name="Unit No." dataDxfId="231"/>
    <tableColumn id="2" xr3:uid="{7B837EC5-31E7-4A56-8FB0-88E4863FC4C0}" name="DATE" dataDxfId="230"/>
    <tableColumn id="3" xr3:uid="{EBB64A8E-AE7D-4531-B95A-95E6F29E12AB}" name="Status" dataDxfId="229"/>
    <tableColumn id="4" xr3:uid="{86509738-FD88-4F30-B445-0F97740F1BAE}" name="Number of cars affected by graffiti/shadows on this unit" dataDxfId="228"/>
    <tableColumn id="5" xr3:uid="{8148CFC1-28EE-4D67-9331-58E2EDE98E52}" name="Total Number of Tags found" dataDxfId="227"/>
    <tableColumn id="6" xr3:uid="{8EC24553-88E7-433C-BAEF-9C96BAC902AC}" name="Total Tags Removed / Cleaned" dataDxfId="226"/>
    <tableColumn id="7" xr3:uid="{C453AD02-8E4B-4510-8FED-4C08757F0D81}" name="Total Tags Not Cleaned on this Unit" dataDxfId="225"/>
    <tableColumn id="8" xr3:uid="{09640974-871A-42AD-A6E3-F55C8A15C546}" name="Car Number (s)  of Tags not cleaned (shadows)" dataDxfId="224"/>
    <tableColumn id="9" xr3:uid="{22D9498C-5A27-4410-9F7E-B163DADEC063}" name="Date of 2nd visit to clean remaining tags" dataDxfId="223"/>
    <tableColumn id="10" xr3:uid="{F7EE7EAC-CCD5-4F87-B1D6-71EDA4959A27}" name="Number of tags removed" dataDxfId="222"/>
    <tableColumn id="11" xr3:uid="{FAABE03D-4E5F-4091-A6A1-B323783DC6F6}" name="Date of 3rd visit to clean remaining tags" dataDxfId="221"/>
    <tableColumn id="12" xr3:uid="{27508432-D8CA-4CC7-9D5E-832982FD2CA7}" name="Number of tags removed2" dataDxfId="220"/>
    <tableColumn id="13" xr3:uid="{4E6F4677-E69E-44EC-AA82-C712C545BF2B}" name="Train Inspected and Fit for service    (Y/N)" dataDxfId="219"/>
    <tableColumn id="14" xr3:uid="{A3DFBBA2-0A5E-44C5-A825-CA7441CDDF37}" name="Inspected by Supervisor/Manager (Name)" dataDxfId="218"/>
    <tableColumn id="15" xr3:uid="{7215FAC9-EABA-4093-AEC4-FC632A8C0745}" name="Date of Completing all shadows (Tags) on this Unit excluding acid etched shadows" dataDxfId="217"/>
    <tableColumn id="16" xr3:uid="{26C3CE6F-B4A7-4C81-BFCB-B52301E7FADC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7BD63-2718-4941-BFED-A9B53360060E}" name="TagsRA1" displayName="TagsRA1" ref="A1:P213" totalsRowShown="0" headerRowDxfId="215" tableBorderDxfId="214">
  <autoFilter ref="A1:P213" xr:uid="{3E27BD63-2718-4941-BFED-A9B53360060E}"/>
  <tableColumns count="16">
    <tableColumn id="1" xr3:uid="{2E7C0D72-0BE7-44A0-A2F9-3779EB7DBA3B}" name="Unit No." dataDxfId="213"/>
    <tableColumn id="2" xr3:uid="{A5AD9379-3203-4D52-A21E-C0A74D369A84}" name="DATE" dataDxfId="212"/>
    <tableColumn id="3" xr3:uid="{164F544F-87BE-4B0A-9AA1-6D6C039A99E2}" name="Status" dataDxfId="211"/>
    <tableColumn id="4" xr3:uid="{D65C20B5-54D4-4DB9-BA0F-6F3DE746286F}" name="Number of cars affected by graffiti/shadows on this unit" dataDxfId="210"/>
    <tableColumn id="5" xr3:uid="{8BFD38EB-D5BA-4ED6-A8DC-967167B55465}" name="Total Number of Tags found" dataDxfId="209"/>
    <tableColumn id="6" xr3:uid="{E1875E7E-ECE8-4D23-AC00-D8029FBBB919}" name="Total Tags Removed / Cleaned" dataDxfId="208"/>
    <tableColumn id="7" xr3:uid="{5840D798-7434-4CC2-9B6F-7A6DB74AA079}" name="Total Tags Not Cleaned on this Unit" dataDxfId="207"/>
    <tableColumn id="8" xr3:uid="{E0ECF38E-653A-4DC4-8547-E1FC0D3751D4}" name="Car Number (s)  of Tags not cleaned (shadows)" dataDxfId="206"/>
    <tableColumn id="9" xr3:uid="{F64C4B68-ECFA-4FBA-9C04-7A07346D49D7}" name="Date of 2nd visit to clean remaining tags" dataDxfId="205"/>
    <tableColumn id="10" xr3:uid="{08EFC7A0-979B-4747-9864-27822406C884}" name="Number of tags removed" dataDxfId="204"/>
    <tableColumn id="11" xr3:uid="{A833C44C-435D-4061-BD48-E30E774F6F9A}" name="Date of 3rd visit to clean remaining tags" dataDxfId="203"/>
    <tableColumn id="12" xr3:uid="{3C6B1CA0-00DC-4165-ACB2-A6D4B2DC673E}" name="Number of tags removed2" dataDxfId="202"/>
    <tableColumn id="13" xr3:uid="{291595F5-5E8A-4516-87C6-63C1E4759B8E}" name="Train Inspected and Fit for service    (Y/N)" dataDxfId="201"/>
    <tableColumn id="14" xr3:uid="{73C8A8C0-55D1-4382-8A93-BA5F54B0E0FE}" name="Inspected by Supervisor/Manager (Name)" dataDxfId="200"/>
    <tableColumn id="15" xr3:uid="{950640A4-8C3F-48FA-8DA7-2F497C938FBF}" name="Date of Completing all shadows (Tags) on this Unit excluding acid etched shadows" dataDxfId="199"/>
    <tableColumn id="16" xr3:uid="{7D301E3F-8205-4685-A601-9BED53C79FA1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9A30B0-427E-4F3A-BBFB-FD64A2B732A8}" name="TagsRA2" displayName="TagsRA2" ref="A1:P213" totalsRowShown="0" headerRowDxfId="197" tableBorderDxfId="196">
  <autoFilter ref="A1:P213" xr:uid="{D99A30B0-427E-4F3A-BBFB-FD64A2B732A8}"/>
  <tableColumns count="16">
    <tableColumn id="1" xr3:uid="{3DB84014-F2B3-4197-A617-B4CD9C603147}" name="Unit No." dataDxfId="195"/>
    <tableColumn id="2" xr3:uid="{E3F1E17C-717C-47DA-98A8-32F3C15E7BBE}" name="DATE" dataDxfId="194"/>
    <tableColumn id="3" xr3:uid="{2D83A33C-A436-426A-87E5-3C707AF38D91}" name="Status" dataDxfId="193"/>
    <tableColumn id="4" xr3:uid="{B9D1C146-2E86-434A-8349-8EC789996C3C}" name="Number of cars affected by graffiti/shadows on this unit" dataDxfId="192"/>
    <tableColumn id="5" xr3:uid="{C7DC9FD1-B202-4045-897F-E72064F71BD7}" name="Total Number of Tags found" dataDxfId="191"/>
    <tableColumn id="6" xr3:uid="{4176B2FA-288F-43A2-AA7C-0C8160EE2035}" name="Total Tags Removed / Cleaned" dataDxfId="190"/>
    <tableColumn id="7" xr3:uid="{D9BF23AF-5AC2-4E35-AC5B-491EF67F9D13}" name="Total Tags Not Cleaned on this Unit" dataDxfId="189"/>
    <tableColumn id="8" xr3:uid="{3E91570A-6B37-4C29-BC4C-4370BA85CF46}" name="Car Number (s)  of Tags not cleaned (shadows)" dataDxfId="188"/>
    <tableColumn id="9" xr3:uid="{F569D640-45E5-4B69-821D-8164E1185EBF}" name="Date of 2nd visit to clean remaining tags" dataDxfId="187"/>
    <tableColumn id="10" xr3:uid="{C3FC62CA-84DD-44CB-BC17-111D8C597990}" name="Number of tags removed" dataDxfId="186"/>
    <tableColumn id="11" xr3:uid="{F0FD9F15-E102-4E89-AF01-EAD986A4482C}" name="Date of 3rd visit to clean remaining tags" dataDxfId="185"/>
    <tableColumn id="12" xr3:uid="{BA92F461-C43F-4FA9-AF1B-C1418DA293AB}" name="Number of tags removed2" dataDxfId="184"/>
    <tableColumn id="13" xr3:uid="{9C18A845-211A-4A94-BCC8-62E7CDEC38B2}" name="Train Inspected and Fit for service    (Y/N)" dataDxfId="183"/>
    <tableColumn id="14" xr3:uid="{70F3383C-B9AA-4072-8F17-7DB39F0B80F5}" name="Inspected by Supervisor/Manager (Name)" dataDxfId="182"/>
    <tableColumn id="15" xr3:uid="{46E8611A-8B8E-4D45-87B5-48FEEF4B6DD5}" name="Date of Completing all shadows (Tags) on this Unit excluding acid etched shadows" dataDxfId="181"/>
    <tableColumn id="16" xr3:uid="{EDEBFE6B-E1DD-4907-B9D9-7B3DA9417217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583A34-102D-40BB-9A04-01F2FDE27958}" name="TagsRA3" displayName="TagsRA3" ref="A1:P213" totalsRowShown="0" headerRowDxfId="179" tableBorderDxfId="178">
  <autoFilter ref="A1:P213" xr:uid="{8C583A34-102D-40BB-9A04-01F2FDE27958}"/>
  <tableColumns count="16">
    <tableColumn id="1" xr3:uid="{6A3A81A2-5DB2-4D6B-ABEA-527AE2695671}" name="Unit No." dataDxfId="177"/>
    <tableColumn id="2" xr3:uid="{787CF259-AD7F-4AE6-9258-90BE5B1F6D86}" name="DATE" dataDxfId="176"/>
    <tableColumn id="3" xr3:uid="{5C504FB4-83D0-44D0-BF8A-EF572A3CC450}" name="Status" dataDxfId="175"/>
    <tableColumn id="4" xr3:uid="{48EE02E7-A6F6-404A-8825-45B28757036F}" name="Number of cars affected by graffiti/shadows on this unit" dataDxfId="174"/>
    <tableColumn id="5" xr3:uid="{FC644026-3541-4E5E-80F9-B1C18F66FDA5}" name="Total Number of Tags found" dataDxfId="173"/>
    <tableColumn id="6" xr3:uid="{8C9428B4-DA8A-49BC-9487-8C8BBA5BAC97}" name="Total Tags Removed / Cleaned" dataDxfId="172"/>
    <tableColumn id="7" xr3:uid="{960D951A-C03B-440C-B982-05141DC0C6BE}" name="Total Tags Not Cleaned on this Unit" dataDxfId="171"/>
    <tableColumn id="8" xr3:uid="{484D0188-6B1E-41CB-9F9D-97F1DB8648EE}" name="Car Number (s)  of Tags not cleaned (shadows)" dataDxfId="170"/>
    <tableColumn id="9" xr3:uid="{1E54730C-E9CE-40C1-8F7E-0AEF6C645417}" name="Date of 2nd visit to clean remaining tags" dataDxfId="169"/>
    <tableColumn id="10" xr3:uid="{B5DDD2CA-6240-40E4-A7EA-2635C4F7F19E}" name="Number of tags removed" dataDxfId="168"/>
    <tableColumn id="11" xr3:uid="{35EBEE6D-E3DC-4CC7-A492-42690553D89C}" name="Date of 3rd visit to clean remaining tags" dataDxfId="167"/>
    <tableColumn id="12" xr3:uid="{2333F369-449A-41AD-A691-DB6F41F848A4}" name="Number of tags removed2" dataDxfId="166"/>
    <tableColumn id="13" xr3:uid="{8F6CFA52-8478-4CD1-9157-61F4976AAAB5}" name="Train Inspected and Fit for service    (Y/N)" dataDxfId="165"/>
    <tableColumn id="14" xr3:uid="{7628255B-854E-46D3-B6FE-E24280FE0D0F}" name="Inspected by Supervisor/Manager (Name)" dataDxfId="164"/>
    <tableColumn id="15" xr3:uid="{F706C8B6-FEDD-482F-ACC5-1B7805C456E9}" name="Date of Completing all shadows (Tags) on this Unit excluding acid etched shadows" dataDxfId="163"/>
    <tableColumn id="16" xr3:uid="{90C73AE7-178E-4C0D-8846-7E463644B037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F8643B-DD23-43C8-A71B-743319A340E0}" name="TagsRA4" displayName="TagsRA4" ref="A1:P213" totalsRowShown="0" headerRowDxfId="161" tableBorderDxfId="160">
  <autoFilter ref="A1:P213" xr:uid="{31F8643B-DD23-43C8-A71B-743319A340E0}"/>
  <tableColumns count="16">
    <tableColumn id="1" xr3:uid="{987BB5AD-0546-42D3-85CA-E9F0CB473775}" name="Unit No." dataDxfId="159"/>
    <tableColumn id="2" xr3:uid="{264B98E7-1A58-46BB-8AC8-30C3D87FE4D6}" name="DATE" dataDxfId="158"/>
    <tableColumn id="3" xr3:uid="{754BFB92-B3AD-4214-8751-311BF731B7C7}" name="Status" dataDxfId="157"/>
    <tableColumn id="4" xr3:uid="{F166EF32-F494-4A76-B8FF-50805467E27E}" name="Number of cars affected by graffiti/shadows on this unit" dataDxfId="156"/>
    <tableColumn id="5" xr3:uid="{24466854-302E-40A3-85D8-7FF5BA161D0A}" name="Total Number of Tags found" dataDxfId="155"/>
    <tableColumn id="6" xr3:uid="{727EA6C2-BCE6-4AC5-B206-A762C7090DDB}" name="Total Tags Removed / Cleaned" dataDxfId="154"/>
    <tableColumn id="7" xr3:uid="{9EB043D5-D0A2-4732-B810-EEE7E1825C52}" name="Total Tags Not Cleaned on this Unit" dataDxfId="153"/>
    <tableColumn id="8" xr3:uid="{9A928013-CE13-436F-99FD-62156C1C4AD4}" name="Car Number (s)  of Tags not cleaned (shadows)" dataDxfId="152"/>
    <tableColumn id="9" xr3:uid="{3A22BBD4-6D20-4F23-9F74-F18862CE53F0}" name="Date of 2nd visit to clean remaining tags" dataDxfId="151"/>
    <tableColumn id="10" xr3:uid="{8EC8A51A-C01E-4ECF-A17D-60FB56B7D5C3}" name="Number of tags removed" dataDxfId="150"/>
    <tableColumn id="11" xr3:uid="{36E330F4-7BAA-4514-B73F-65F28BE84F6F}" name="Date of 3rd visit to clean remaining tags" dataDxfId="149"/>
    <tableColumn id="12" xr3:uid="{EE2735D8-6247-4425-A6C5-179604D73F23}" name="Number of tags removed2" dataDxfId="148"/>
    <tableColumn id="13" xr3:uid="{37FC4F4B-9F0E-40BA-BC32-9AD8CC3CB9B5}" name="Train Inspected and Fit for service    (Y/N)" dataDxfId="147"/>
    <tableColumn id="14" xr3:uid="{BD2DE953-C401-40DC-AD1D-290A2742EF3B}" name="Inspected by Supervisor/Manager (Name)" dataDxfId="146"/>
    <tableColumn id="15" xr3:uid="{0F214A34-6DDF-4DF0-A2AA-A193C66EB1BC}" name="Date of Completing all shadows (Tags) on this Unit excluding acid etched shadows" dataDxfId="145"/>
    <tableColumn id="16" xr3:uid="{CF4AA5BF-FC08-4C23-81C2-E4337687D8CB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886741-59F7-45F5-85F7-ABC17765BF92}" name="TagsRA5" displayName="TagsRA5" ref="A1:P213" totalsRowShown="0" headerRowDxfId="143" tableBorderDxfId="142">
  <autoFilter ref="A1:P213" xr:uid="{9A886741-59F7-45F5-85F7-ABC17765BF92}"/>
  <tableColumns count="16">
    <tableColumn id="1" xr3:uid="{6D967B44-8AD4-4118-90B6-D8CE8F672745}" name="Unit No." dataDxfId="141"/>
    <tableColumn id="2" xr3:uid="{294F751C-9BDB-4EF8-BE35-2CD1C50B062D}" name="DATE" dataDxfId="140"/>
    <tableColumn id="3" xr3:uid="{B652182F-BF11-454E-BB8F-6CE675598338}" name="Status" dataDxfId="139"/>
    <tableColumn id="4" xr3:uid="{AD592518-49D5-43A5-BC1E-6922D6226389}" name="Number of cars affected by graffiti/shadows on this unit" dataDxfId="138"/>
    <tableColumn id="5" xr3:uid="{EDF9A8C4-0102-4BC0-8D51-653008294CC4}" name="Total Number of Tags found" dataDxfId="137"/>
    <tableColumn id="6" xr3:uid="{19CE88A9-237C-44C9-BD41-F5234DD11C37}" name="Total Tags Removed / Cleaned" dataDxfId="136"/>
    <tableColumn id="7" xr3:uid="{ADD0ADF1-EFD6-46BF-84D9-AD1712262B1E}" name="Total Tags Not Cleaned on this Unit" dataDxfId="135"/>
    <tableColumn id="8" xr3:uid="{7F35AAF4-87DF-4C6D-865A-EE7064956DA7}" name="Car Number (s)  of Tags not cleaned (shadows)" dataDxfId="134"/>
    <tableColumn id="9" xr3:uid="{30FDB9C7-BAF0-448F-B6F2-21FA66422428}" name="Date of 2nd visit to clean remaining tags" dataDxfId="133"/>
    <tableColumn id="10" xr3:uid="{FFBF7AE3-EAE4-41C6-9679-C36066A5512A}" name="Number of tags removed" dataDxfId="132"/>
    <tableColumn id="11" xr3:uid="{895BEE50-6CE8-402E-8332-8ADA8E4CAEB7}" name="Date of 3rd visit to clean remaining tags" dataDxfId="131"/>
    <tableColumn id="12" xr3:uid="{A4B8ADA0-BE41-4906-8EF1-566CF9E5A432}" name="Number of tags removed2" dataDxfId="130"/>
    <tableColumn id="13" xr3:uid="{D8015D86-D182-4ADE-ADD0-26BC16C1C0B2}" name="Train Inspected and Fit for service    (Y/N)" dataDxfId="129"/>
    <tableColumn id="14" xr3:uid="{DDE09D5D-7595-42B6-859C-F6F5C9421D3A}" name="Inspected by Supervisor/Manager (Name)" dataDxfId="128"/>
    <tableColumn id="15" xr3:uid="{CA8CBBA0-2EDF-4D72-A658-B5EF852709BB}" name="Date of Completing all shadows (Tags) on this Unit excluding acid etched shadows" dataDxfId="127"/>
    <tableColumn id="16" xr3:uid="{7201D47E-B590-4167-8261-3AA245FFA18B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459B2E-0469-4808-A7E2-2087F0BC89FF}" name="TagsRA6" displayName="TagsRA6" ref="A1:P213" totalsRowShown="0" headerRowDxfId="125" tableBorderDxfId="124">
  <autoFilter ref="A1:P213" xr:uid="{8C459B2E-0469-4808-A7E2-2087F0BC89FF}"/>
  <tableColumns count="16">
    <tableColumn id="1" xr3:uid="{D2CA433C-66BF-448F-8408-6CD473E60BC7}" name="Unit No." dataDxfId="123"/>
    <tableColumn id="2" xr3:uid="{995F70F0-FDA9-4896-8631-49B757D927DC}" name="DATE" dataDxfId="122"/>
    <tableColumn id="3" xr3:uid="{62F2E01F-99AD-449E-A34E-E769C0A9203A}" name="Status" dataDxfId="121"/>
    <tableColumn id="4" xr3:uid="{2296631B-D4CE-4FA4-83DA-A17CD0BCB1E2}" name="Number of cars affected by graffiti/shadows on this unit" dataDxfId="120"/>
    <tableColumn id="5" xr3:uid="{15E128AF-96A8-4BA0-8771-79CEA7D92256}" name="Total Number of Tags found" dataDxfId="119"/>
    <tableColumn id="6" xr3:uid="{EE01CF1D-CB38-4580-A2DB-01A1DFD9477A}" name="Total Tags Removed / Cleaned" dataDxfId="118"/>
    <tableColumn id="7" xr3:uid="{358EAEB4-E1D8-439C-81CA-CA0CC9036F91}" name="Total Tags Not Cleaned on this Unit" dataDxfId="117"/>
    <tableColumn id="8" xr3:uid="{98127F7E-A229-4514-872B-376CF8705DB8}" name="Car Number (s)  of Tags not cleaned (shadows)" dataDxfId="116"/>
    <tableColumn id="9" xr3:uid="{D5F71239-BABC-4E8F-996E-810947D09E6A}" name="Date of 2nd visit to clean remaining tags" dataDxfId="115"/>
    <tableColumn id="10" xr3:uid="{0108F037-21F0-4D97-8D20-78FBE6B228B4}" name="Number of tags removed" dataDxfId="114"/>
    <tableColumn id="11" xr3:uid="{30C3DB00-3C62-487F-9534-7488AB454793}" name="Date of 3rd visit to clean remaining tags" dataDxfId="113"/>
    <tableColumn id="12" xr3:uid="{99CBEBDC-4234-44E0-BF98-68AB3D14685D}" name="Number of tags removed2" dataDxfId="112"/>
    <tableColumn id="13" xr3:uid="{73619E37-2EA9-487D-B576-B6EC94121964}" name="Train Inspected and Fit for service    (Y/N)" dataDxfId="111"/>
    <tableColumn id="14" xr3:uid="{712376CA-6D06-4D27-BF16-E2B7EF0B332D}" name="Inspected by Supervisor/Manager (Name)" dataDxfId="110"/>
    <tableColumn id="15" xr3:uid="{CA74D60A-A599-4CC4-B662-21720160089C}" name="Date of Completing all shadows (Tags) on this Unit excluding acid etched shadows" dataDxfId="109"/>
    <tableColumn id="16" xr3:uid="{EFC05FBD-84A9-4E3A-AB60-56A399C2CCF8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35293D-820C-4FB1-9C62-6129F0B568EC}" name="TagsRA7" displayName="TagsRA7" ref="A1:P213" totalsRowShown="0" headerRowDxfId="107" tableBorderDxfId="106">
  <autoFilter ref="A1:P213" xr:uid="{8C459B2E-0469-4808-A7E2-2087F0BC89FF}"/>
  <tableColumns count="16">
    <tableColumn id="1" xr3:uid="{7A8C452E-D081-4C9D-BE3D-CE532F90FBD7}" name="Unit No." dataDxfId="105"/>
    <tableColumn id="2" xr3:uid="{1CBE6104-4644-4798-8647-3EF6313A0058}" name="DATE" dataDxfId="104"/>
    <tableColumn id="3" xr3:uid="{309CB234-0359-4519-9027-9829E3CE95C0}" name="Status" dataDxfId="103"/>
    <tableColumn id="4" xr3:uid="{02E10EFE-8598-4F72-9512-7942DE331DAB}" name="Number of cars affected by graffiti/shadows on this unit" dataDxfId="102"/>
    <tableColumn id="5" xr3:uid="{5984370B-15B3-4709-BD02-DD5988587783}" name="Total Number of Tags found" dataDxfId="101"/>
    <tableColumn id="6" xr3:uid="{75DA3E3B-5136-4899-8ED5-D4BC67DFC7BA}" name="Total Tags Removed / Cleaned" dataDxfId="100"/>
    <tableColumn id="7" xr3:uid="{993F121C-DF1C-4CB7-B253-3E7BF8827DCE}" name="Total Tags Not Cleaned on this Unit" dataDxfId="99"/>
    <tableColumn id="8" xr3:uid="{490C17B9-7F3A-4348-9F16-A1F2BD0C3BDB}" name="Car Number (s)  of Tags not cleaned (shadows)" dataDxfId="98"/>
    <tableColumn id="9" xr3:uid="{BE62FE8C-1E52-498C-BF56-EA94E7532A1C}" name="Date of 2nd visit to clean remaining tags" dataDxfId="97"/>
    <tableColumn id="10" xr3:uid="{90B4380B-6B3F-4FC0-9DB5-2DCA9C1D08C5}" name="Number of tags removed" dataDxfId="96"/>
    <tableColumn id="11" xr3:uid="{1B7C347B-B81B-4941-8870-D50683943C78}" name="Date of 3rd visit to clean remaining tags" dataDxfId="95"/>
    <tableColumn id="12" xr3:uid="{B6CD3BCF-0F45-4329-AC1B-954B79BB26ED}" name="Number of tags removed2" dataDxfId="94"/>
    <tableColumn id="13" xr3:uid="{9D2C01F1-8241-4153-A0E5-1463F453BE29}" name="Train Inspected and Fit for service    (Y/N)" dataDxfId="93"/>
    <tableColumn id="14" xr3:uid="{24B1CAEC-65FE-4FB3-90ED-A5E8782BCF01}" name="Inspected by Supervisor/Manager (Name)" dataDxfId="92"/>
    <tableColumn id="15" xr3:uid="{F44C2B4A-0364-4A76-8617-13A26C465DC9}" name="Date of Completing all shadows (Tags) on this Unit excluding acid etched shadows" dataDxfId="91"/>
    <tableColumn id="16" xr3:uid="{251AD70C-A944-4A62-A8A3-18C6DCB79F7E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BF1AFE-DEBF-4096-8FF9-9D9EFF17698E}" name="TagsRA8" displayName="TagsRA8" ref="A1:P213" totalsRowShown="0" headerRowDxfId="89" tableBorderDxfId="88">
  <autoFilter ref="A1:P213" xr:uid="{8C459B2E-0469-4808-A7E2-2087F0BC89FF}"/>
  <tableColumns count="16">
    <tableColumn id="1" xr3:uid="{09BF8AAD-2013-4BEB-A3A3-FE7A5DF6D6A1}" name="Unit No." dataDxfId="87"/>
    <tableColumn id="2" xr3:uid="{74E67212-9A6A-4D0B-8305-59A3EE59A662}" name="DATE" dataDxfId="86"/>
    <tableColumn id="3" xr3:uid="{B527D35F-FD69-412C-94EB-CF1C3B051BD5}" name="Status" dataDxfId="85"/>
    <tableColumn id="4" xr3:uid="{58270025-9CE5-4B30-8292-65117BA53089}" name="Number of cars affected by graffiti/shadows on this unit" dataDxfId="84"/>
    <tableColumn id="5" xr3:uid="{2627DA74-A8E9-4347-AD22-B850B2BFAC11}" name="Total Number of Tags found" dataDxfId="83"/>
    <tableColumn id="6" xr3:uid="{B0312977-DEB0-4C25-AE1E-3FC7CA8F22E6}" name="Total Tags Removed / Cleaned" dataDxfId="82"/>
    <tableColumn id="7" xr3:uid="{C8E05370-14FF-478B-94CC-961C2C20BD78}" name="Total Tags Not Cleaned on this Unit" dataDxfId="81"/>
    <tableColumn id="8" xr3:uid="{227BFCAE-FFF4-4F7B-A391-E52CE59047DF}" name="Car Number (s)  of Tags not cleaned (shadows)" dataDxfId="80"/>
    <tableColumn id="9" xr3:uid="{FAAA35CD-A9C0-439D-B59B-0FF9ADA791C4}" name="Date of 2nd visit to clean remaining tags" dataDxfId="79"/>
    <tableColumn id="10" xr3:uid="{F1037A21-B958-4C55-9E15-E9C175CD597C}" name="Number of tags removed" dataDxfId="78"/>
    <tableColumn id="11" xr3:uid="{A7EB0F28-6442-4BEF-ABFB-8E30D0D84000}" name="Date of 3rd visit to clean remaining tags" dataDxfId="77"/>
    <tableColumn id="12" xr3:uid="{439F43A8-7D3B-4FFE-903D-B88FDCB9B806}" name="Number of tags removed2" dataDxfId="76"/>
    <tableColumn id="13" xr3:uid="{542AD2BD-8725-42A9-9506-C40B550F62EB}" name="Train Inspected and Fit for service    (Y/N)" dataDxfId="75"/>
    <tableColumn id="14" xr3:uid="{3BB9D2ED-3E07-4B7C-91B0-D3B397A3A5E9}" name="Inspected by Supervisor/Manager (Name)" dataDxfId="74"/>
    <tableColumn id="15" xr3:uid="{C05BC158-ED1C-4FCC-9E86-7DCC43A3EE3D}" name="Date of Completing all shadows (Tags) on this Unit excluding acid etched shadows" dataDxfId="73"/>
    <tableColumn id="16" xr3:uid="{AA5D9CDD-072F-4FBC-BC58-04792BF8668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0E71BC-1AC4-4F44-A3CF-53AC77AA7187}" name="TagsRA9" displayName="TagsRA9" ref="A1:P213" totalsRowShown="0" headerRowDxfId="71" tableBorderDxfId="70">
  <autoFilter ref="A1:P213" xr:uid="{8C459B2E-0469-4808-A7E2-2087F0BC89FF}"/>
  <tableColumns count="16">
    <tableColumn id="1" xr3:uid="{6AF55BE4-7783-4C68-A538-F136766C5E98}" name="Unit No." dataDxfId="69"/>
    <tableColumn id="2" xr3:uid="{CF0C5FC5-377E-489B-B53A-4030A6FF16F9}" name="DATE" dataDxfId="68"/>
    <tableColumn id="3" xr3:uid="{BFEC1645-1C90-4588-AD03-A9BD9EAF4514}" name="Status" dataDxfId="67"/>
    <tableColumn id="4" xr3:uid="{17697A67-03F5-429F-A296-3E4B0DA18177}" name="Number of cars affected by graffiti/shadows on this unit" dataDxfId="66"/>
    <tableColumn id="5" xr3:uid="{5DECFB9B-8CA9-4E29-84C2-8C6C412C467E}" name="Total Number of Tags found" dataDxfId="65"/>
    <tableColumn id="6" xr3:uid="{B27AC18D-C3CF-444A-BDEC-380FE1324D28}" name="Total Tags Removed / Cleaned" dataDxfId="64"/>
    <tableColumn id="7" xr3:uid="{020A7796-3FB5-425C-827C-ACCC3FC8CF10}" name="Total Tags Not Cleaned on this Unit" dataDxfId="63"/>
    <tableColumn id="8" xr3:uid="{3E6DC09B-6290-45B4-983C-4ACC447CD082}" name="Car Number (s)  of Tags not cleaned (shadows)" dataDxfId="62"/>
    <tableColumn id="9" xr3:uid="{A78E313B-B32F-4FE9-A997-EA5ECFC4474E}" name="Date of 2nd visit to clean remaining tags" dataDxfId="61"/>
    <tableColumn id="10" xr3:uid="{DCA74D53-AB1F-4F86-BC09-79738E7A5723}" name="Number of tags removed" dataDxfId="60"/>
    <tableColumn id="11" xr3:uid="{70B29B3D-F8CB-4EFA-BB85-968D8A79DB6D}" name="Date of 3rd visit to clean remaining tags" dataDxfId="59"/>
    <tableColumn id="12" xr3:uid="{DC20AC5A-6A40-4D73-BE71-4CF90723176B}" name="Number of tags removed2" dataDxfId="58"/>
    <tableColumn id="13" xr3:uid="{502A17C4-D176-48B9-8D43-38F79F7F04E2}" name="Train Inspected and Fit for service    (Y/N)" dataDxfId="57"/>
    <tableColumn id="14" xr3:uid="{8234EDEC-C9F0-4B26-BD20-1FA0EE3F07E3}" name="Inspected by Supervisor/Manager (Name)" dataDxfId="56"/>
    <tableColumn id="15" xr3:uid="{137B50DF-C865-4EBB-977B-72DCD5973342}" name="Date of Completing all shadows (Tags) on this Unit excluding acid etched shadows" dataDxfId="55"/>
    <tableColumn id="16" xr3:uid="{D7B84A66-FA4F-4D2C-93A8-573BF32366B3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C76CAA1-2B17-41D3-A104-B6D3B2E9B7E8}" name="TagsRA10" displayName="TagsRA10" ref="A1:P213" totalsRowShown="0" headerRowDxfId="53" tableBorderDxfId="52">
  <autoFilter ref="A1:P213" xr:uid="{8C459B2E-0469-4808-A7E2-2087F0BC89FF}"/>
  <tableColumns count="16">
    <tableColumn id="1" xr3:uid="{9A64FF69-D621-4B9E-9581-D55A29200A65}" name="Unit No." dataDxfId="51"/>
    <tableColumn id="2" xr3:uid="{973E8FC1-2565-4859-A81C-0C58CC8578FE}" name="DATE" dataDxfId="50"/>
    <tableColumn id="3" xr3:uid="{7C6EEFC7-FB60-4CDA-BA11-9BD733EEB73A}" name="Status" dataDxfId="49"/>
    <tableColumn id="4" xr3:uid="{F3352D3D-9009-4513-8F45-1D8F500BEB50}" name="Number of cars affected by graffiti/shadows on this unit" dataDxfId="48"/>
    <tableColumn id="5" xr3:uid="{01494724-B5DD-4F10-BBBE-66E74C68149B}" name="Total Number of Tags found" dataDxfId="47"/>
    <tableColumn id="6" xr3:uid="{96F4C886-4190-49ED-858F-4CED621FD655}" name="Total Tags Removed / Cleaned" dataDxfId="46"/>
    <tableColumn id="7" xr3:uid="{7F084446-AFC3-494F-A06C-B4020AAA720F}" name="Total Tags Not Cleaned on this Unit" dataDxfId="45"/>
    <tableColumn id="8" xr3:uid="{1B7F40A0-E905-4B3C-AD59-A867E4E37240}" name="Car Number (s)  of Tags not cleaned (shadows)" dataDxfId="44"/>
    <tableColumn id="9" xr3:uid="{9C431527-C8E3-4B43-A5B3-B6D004702410}" name="Date of 2nd visit to clean remaining tags" dataDxfId="43"/>
    <tableColumn id="10" xr3:uid="{A4C5FA29-9A98-4AA6-A35E-CE66F6BFF860}" name="Number of tags removed" dataDxfId="42"/>
    <tableColumn id="11" xr3:uid="{0649F2E7-792D-4D26-86D7-A4DE76CD8EFE}" name="Date of 3rd visit to clean remaining tags" dataDxfId="41"/>
    <tableColumn id="12" xr3:uid="{203A098A-C18C-4A47-B603-59B6562B5CFD}" name="Number of tags removed2" dataDxfId="40"/>
    <tableColumn id="13" xr3:uid="{029C97F0-BB4B-4EF1-AD40-127C8FD3FD9E}" name="Train Inspected and Fit for service    (Y/N)" dataDxfId="39"/>
    <tableColumn id="14" xr3:uid="{08B26EE8-F504-478D-B07F-C17B3C40CFB1}" name="Inspected by Supervisor/Manager (Name)" dataDxfId="38"/>
    <tableColumn id="15" xr3:uid="{6126BC51-B6C3-4081-A271-C75EBD51415A}" name="Date of Completing all shadows (Tags) on this Unit excluding acid etched shadows" dataDxfId="37"/>
    <tableColumn id="16" xr3:uid="{81BF49F3-3976-4FFD-A40E-B4558851DB03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D7D9766-8769-4D6D-9316-63666337070C}" name="TagsRA11" displayName="TagsRA11" ref="A1:P213" totalsRowShown="0" headerRowDxfId="35" tableBorderDxfId="34">
  <autoFilter ref="A1:P213" xr:uid="{8C459B2E-0469-4808-A7E2-2087F0BC89FF}"/>
  <tableColumns count="16">
    <tableColumn id="1" xr3:uid="{17F5132E-0CDA-47AD-B4DD-C0656649CAF1}" name="Unit No." dataDxfId="33"/>
    <tableColumn id="2" xr3:uid="{B0A01DBC-A383-45DD-9AC0-C7D5F5C94A99}" name="DATE" dataDxfId="32"/>
    <tableColumn id="3" xr3:uid="{3101D25C-E89D-4DB2-9D51-FA72415158D6}" name="Status" dataDxfId="31"/>
    <tableColumn id="4" xr3:uid="{7EBEDE0F-4023-4318-8389-64CC027FE46C}" name="Number of cars affected by graffiti/shadows on this unit" dataDxfId="30"/>
    <tableColumn id="5" xr3:uid="{3282DB01-A114-4AC2-983B-E1528421661F}" name="Total Number of Tags found" dataDxfId="29"/>
    <tableColumn id="6" xr3:uid="{8FDD0752-F78D-4EE2-96FA-6B8E168107EB}" name="Total Tags Removed / Cleaned" dataDxfId="28"/>
    <tableColumn id="7" xr3:uid="{E4431E1C-3DC6-422E-AED4-3945BA3A585D}" name="Total Tags Not Cleaned on this Unit" dataDxfId="27"/>
    <tableColumn id="8" xr3:uid="{BC2A2AF9-D204-4A84-B6F4-C32064828991}" name="Car Number (s)  of Tags not cleaned (shadows)" dataDxfId="26"/>
    <tableColumn id="9" xr3:uid="{B12A9D4C-2D5C-4E09-B599-13081819C889}" name="Date of 2nd visit to clean remaining tags" dataDxfId="25"/>
    <tableColumn id="10" xr3:uid="{527C272B-5CDB-4579-BCC8-95428F848B1B}" name="Number of tags removed" dataDxfId="24"/>
    <tableColumn id="11" xr3:uid="{0084B9FC-83BE-42C5-AE76-92F8CC8C2E78}" name="Date of 3rd visit to clean remaining tags" dataDxfId="23"/>
    <tableColumn id="12" xr3:uid="{B39386BD-BB49-4A64-B430-9177E6F009D0}" name="Number of tags removed2" dataDxfId="22"/>
    <tableColumn id="13" xr3:uid="{C5D013A5-F199-4259-A7EB-68802F4EC12B}" name="Train Inspected and Fit for service    (Y/N)" dataDxfId="21"/>
    <tableColumn id="14" xr3:uid="{0B505F59-10A7-4BEA-B3A3-28EAD551093A}" name="Inspected by Supervisor/Manager (Name)" dataDxfId="20"/>
    <tableColumn id="15" xr3:uid="{E6A353D5-30F2-4EF2-A8E0-794A987E5D72}" name="Date of Completing all shadows (Tags) on this Unit excluding acid etched shadows" dataDxfId="19"/>
    <tableColumn id="16" xr3:uid="{BFE71E43-1764-41CF-9988-41C6D39A3267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8BE7C60-5FB3-43F2-8386-B46A4EA372E3}" name="TagsRA12" displayName="TagsRA12" ref="A1:P213" totalsRowShown="0" headerRowDxfId="17" tableBorderDxfId="16">
  <autoFilter ref="A1:P213" xr:uid="{8C459B2E-0469-4808-A7E2-2087F0BC89FF}"/>
  <tableColumns count="16">
    <tableColumn id="1" xr3:uid="{2B33E44A-426A-401E-A804-355E66350D69}" name="Unit No." dataDxfId="15"/>
    <tableColumn id="2" xr3:uid="{90860894-336B-424B-A151-4C7D6F9FC410}" name="DATE" dataDxfId="14"/>
    <tableColumn id="3" xr3:uid="{F1BC91E5-A08E-4FE8-97B1-4DBAB1B73ABA}" name="Status" dataDxfId="13"/>
    <tableColumn id="4" xr3:uid="{7387D6EF-65DE-4815-8418-42D4DDE0F02A}" name="Number of cars affected by graffiti/shadows on this unit" dataDxfId="12"/>
    <tableColumn id="5" xr3:uid="{6B491807-C3A1-4998-AB7A-D888B2D7D5C6}" name="Total Number of Tags found" dataDxfId="11"/>
    <tableColumn id="6" xr3:uid="{A05F1D85-9B5F-4C04-B9C7-EBF880887B75}" name="Total Tags Removed / Cleaned" dataDxfId="10"/>
    <tableColumn id="7" xr3:uid="{F197EE64-68AA-4816-B7B3-3D960B0A12B1}" name="Total Tags Not Cleaned on this Unit" dataDxfId="9"/>
    <tableColumn id="8" xr3:uid="{DE505DC3-4601-4C9D-B402-8832D30234AC}" name="Car Number (s)  of Tags not cleaned (shadows)" dataDxfId="8"/>
    <tableColumn id="9" xr3:uid="{EB4C3CCF-CD20-4863-A37D-F0B3C2E14D53}" name="Date of 2nd visit to clean remaining tags" dataDxfId="7"/>
    <tableColumn id="10" xr3:uid="{539F0013-91D7-4EE4-BF12-014E982355F9}" name="Number of tags removed" dataDxfId="6"/>
    <tableColumn id="11" xr3:uid="{555F9011-787B-4660-8A5D-A83D36A81919}" name="Date of 3rd visit to clean remaining tags" dataDxfId="5"/>
    <tableColumn id="12" xr3:uid="{69D4CDC9-1BA8-475C-926B-B07C3B242AE0}" name="Number of tags removed2" dataDxfId="4"/>
    <tableColumn id="13" xr3:uid="{59E99A80-E313-494D-B5D6-85284320BAF1}" name="Train Inspected and Fit for service    (Y/N)" dataDxfId="3"/>
    <tableColumn id="14" xr3:uid="{C85A4E9D-E05E-4F71-8D1E-6AE783952930}" name="Inspected by Supervisor/Manager (Name)" dataDxfId="2"/>
    <tableColumn id="15" xr3:uid="{3DCBC751-7C18-4FCA-B479-29EDAC43B806}" name="Date of Completing all shadows (Tags) on this Unit excluding acid etched shadows" dataDxfId="1"/>
    <tableColumn id="16" xr3:uid="{347BDC8D-FAA0-4B68-B405-A845F24E95AC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6F8F-69D8-476F-A0B6-BD1B79E9F3EC}">
  <dimension ref="A1:U347"/>
  <sheetViews>
    <sheetView workbookViewId="0">
      <pane xSplit="1" ySplit="1" topLeftCell="B2" activePane="bottomRight" state="frozen"/>
      <selection pane="topRight"/>
      <selection pane="bottomLeft"/>
      <selection pane="bottomRight" activeCell="O83" sqref="O83"/>
    </sheetView>
  </sheetViews>
  <sheetFormatPr defaultColWidth="9.140625" defaultRowHeight="15" x14ac:dyDescent="0.25"/>
  <cols>
    <col min="1" max="1" width="11.7109375" style="9" bestFit="1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3">
        <v>503</v>
      </c>
      <c r="B4" s="10"/>
      <c r="C4" s="11"/>
      <c r="D4" s="35"/>
      <c r="E4" s="35"/>
      <c r="F4" s="35"/>
      <c r="G4" s="35"/>
      <c r="H4" s="35"/>
      <c r="I4" s="26"/>
      <c r="J4" s="35"/>
      <c r="K4" s="26"/>
      <c r="L4" s="35"/>
      <c r="M4" s="25"/>
      <c r="N4" s="27"/>
      <c r="O4" s="10"/>
      <c r="P4" s="37"/>
      <c r="R4" s="19">
        <v>106</v>
      </c>
      <c r="S4" s="20">
        <f>COUNTA(A:A)-1</f>
        <v>212</v>
      </c>
      <c r="T4" s="20">
        <f>COUNTA(O:O)-1</f>
        <v>7</v>
      </c>
      <c r="U4" s="21">
        <f>T4/S4</f>
        <v>3.3018867924528301E-2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3">
        <v>505</v>
      </c>
      <c r="B6" s="10"/>
      <c r="C6" s="11"/>
      <c r="D6" s="35"/>
      <c r="E6" s="35"/>
      <c r="F6" s="35"/>
      <c r="G6" s="35"/>
      <c r="H6" s="35"/>
      <c r="I6" s="26"/>
      <c r="J6" s="35"/>
      <c r="K6" s="26"/>
      <c r="L6" s="35"/>
      <c r="M6" s="25"/>
      <c r="N6" s="27"/>
      <c r="O6" s="10"/>
      <c r="P6" s="37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3">
        <v>507</v>
      </c>
      <c r="B8" s="10"/>
      <c r="C8" s="11"/>
      <c r="D8" s="35"/>
      <c r="E8" s="35"/>
      <c r="F8" s="35"/>
      <c r="G8" s="35"/>
      <c r="H8" s="35"/>
      <c r="I8" s="26"/>
      <c r="J8" s="35"/>
      <c r="K8" s="26"/>
      <c r="L8" s="35"/>
      <c r="M8" s="25"/>
      <c r="N8" s="27"/>
      <c r="O8" s="10"/>
      <c r="P8" s="37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3">
        <v>510</v>
      </c>
      <c r="B11" s="10"/>
      <c r="C11" s="11"/>
      <c r="D11" s="35"/>
      <c r="E11" s="35"/>
      <c r="F11" s="35"/>
      <c r="G11" s="35"/>
      <c r="H11" s="35"/>
      <c r="I11" s="26"/>
      <c r="J11" s="35"/>
      <c r="K11" s="26"/>
      <c r="L11" s="35"/>
      <c r="M11" s="25"/>
      <c r="N11" s="27"/>
      <c r="O11" s="10"/>
      <c r="P11" s="37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3">
        <v>512</v>
      </c>
      <c r="B13" s="10"/>
      <c r="C13" s="11"/>
      <c r="D13" s="35"/>
      <c r="E13" s="35"/>
      <c r="F13" s="35"/>
      <c r="G13" s="35"/>
      <c r="H13" s="35"/>
      <c r="I13" s="26"/>
      <c r="J13" s="35"/>
      <c r="K13" s="26"/>
      <c r="L13" s="35"/>
      <c r="M13" s="25"/>
      <c r="N13" s="27"/>
      <c r="O13" s="10"/>
      <c r="P13" s="37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3">
        <v>514</v>
      </c>
      <c r="B15" s="10"/>
      <c r="C15" s="11"/>
      <c r="D15" s="35"/>
      <c r="E15" s="35"/>
      <c r="F15" s="35"/>
      <c r="G15" s="35"/>
      <c r="H15" s="35"/>
      <c r="I15" s="26"/>
      <c r="J15" s="35"/>
      <c r="K15" s="26"/>
      <c r="L15" s="35"/>
      <c r="M15" s="25"/>
      <c r="N15" s="27"/>
      <c r="O15" s="10"/>
      <c r="P15" s="37"/>
    </row>
    <row r="16" spans="1:21" ht="15" customHeight="1" x14ac:dyDescent="0.2">
      <c r="A16" s="32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3">
        <v>517</v>
      </c>
      <c r="B18" s="10"/>
      <c r="C18" s="11"/>
      <c r="D18" s="35"/>
      <c r="E18" s="35"/>
      <c r="F18" s="35"/>
      <c r="G18" s="35"/>
      <c r="H18" s="35"/>
      <c r="I18" s="26"/>
      <c r="J18" s="35"/>
      <c r="K18" s="26"/>
      <c r="L18" s="35"/>
      <c r="M18" s="25"/>
      <c r="N18" s="27"/>
      <c r="O18" s="10"/>
      <c r="P18" s="37"/>
    </row>
    <row r="19" spans="1:16" ht="15" customHeight="1" x14ac:dyDescent="0.2">
      <c r="A19" s="32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3">
        <v>519</v>
      </c>
      <c r="B20" s="10"/>
      <c r="C20" s="11"/>
      <c r="D20" s="35"/>
      <c r="E20" s="35"/>
      <c r="F20" s="35"/>
      <c r="G20" s="35"/>
      <c r="H20" s="35"/>
      <c r="I20" s="26"/>
      <c r="J20" s="35"/>
      <c r="K20" s="26"/>
      <c r="L20" s="35"/>
      <c r="M20" s="25"/>
      <c r="N20" s="27"/>
      <c r="O20" s="10"/>
      <c r="P20" s="37"/>
    </row>
    <row r="21" spans="1:16" ht="15" customHeight="1" x14ac:dyDescent="0.2">
      <c r="A21" s="32">
        <v>520</v>
      </c>
      <c r="B21" s="10">
        <v>45946</v>
      </c>
      <c r="C21" s="11"/>
      <c r="D21" s="35">
        <v>1</v>
      </c>
      <c r="E21" s="35">
        <v>1</v>
      </c>
      <c r="F21" s="35">
        <v>1</v>
      </c>
      <c r="G21" s="35"/>
      <c r="H21" s="35"/>
      <c r="I21" s="26"/>
      <c r="J21" s="35"/>
      <c r="K21" s="26"/>
      <c r="L21" s="35"/>
      <c r="M21" s="25" t="s">
        <v>21</v>
      </c>
      <c r="N21" s="27" t="s">
        <v>22</v>
      </c>
      <c r="O21" s="10">
        <v>45946</v>
      </c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3">
        <v>522</v>
      </c>
      <c r="B23" s="10"/>
      <c r="C23" s="11"/>
      <c r="D23" s="35"/>
      <c r="E23" s="35"/>
      <c r="F23" s="35"/>
      <c r="G23" s="35"/>
      <c r="H23" s="35"/>
      <c r="I23" s="26"/>
      <c r="J23" s="35"/>
      <c r="K23" s="26"/>
      <c r="L23" s="35"/>
      <c r="M23" s="25"/>
      <c r="N23" s="27"/>
      <c r="O23" s="10"/>
      <c r="P23" s="37"/>
    </row>
    <row r="24" spans="1:16" ht="15" customHeight="1" x14ac:dyDescent="0.2">
      <c r="A24" s="31">
        <v>523</v>
      </c>
      <c r="B24" s="10">
        <v>45946</v>
      </c>
      <c r="C24" s="11"/>
      <c r="D24" s="35">
        <v>1</v>
      </c>
      <c r="E24" s="35">
        <v>1</v>
      </c>
      <c r="F24" s="35">
        <v>1</v>
      </c>
      <c r="G24" s="35"/>
      <c r="H24" s="35"/>
      <c r="I24" s="26"/>
      <c r="J24" s="35"/>
      <c r="K24" s="26"/>
      <c r="L24" s="35"/>
      <c r="M24" s="25" t="s">
        <v>21</v>
      </c>
      <c r="N24" s="27" t="s">
        <v>22</v>
      </c>
      <c r="O24" s="10">
        <v>45946</v>
      </c>
      <c r="P24" s="36"/>
    </row>
    <row r="25" spans="1:16" ht="15" customHeight="1" x14ac:dyDescent="0.2">
      <c r="A25" s="33">
        <v>524</v>
      </c>
      <c r="B25" s="10"/>
      <c r="C25" s="11"/>
      <c r="D25" s="35"/>
      <c r="E25" s="35"/>
      <c r="F25" s="35"/>
      <c r="G25" s="35"/>
      <c r="H25" s="35"/>
      <c r="I25" s="26"/>
      <c r="J25" s="35"/>
      <c r="K25" s="26"/>
      <c r="L25" s="35"/>
      <c r="M25" s="25"/>
      <c r="N25" s="27"/>
      <c r="O25" s="10"/>
      <c r="P25" s="37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3">
        <v>527</v>
      </c>
      <c r="B28" s="10"/>
      <c r="C28" s="11"/>
      <c r="D28" s="35"/>
      <c r="E28" s="35"/>
      <c r="F28" s="35"/>
      <c r="G28" s="35"/>
      <c r="H28" s="35"/>
      <c r="I28" s="26"/>
      <c r="J28" s="35"/>
      <c r="K28" s="26"/>
      <c r="L28" s="35"/>
      <c r="M28" s="25"/>
      <c r="N28" s="27"/>
      <c r="O28" s="10"/>
      <c r="P28" s="37"/>
    </row>
    <row r="29" spans="1:16" ht="15" customHeight="1" x14ac:dyDescent="0.2">
      <c r="A29" s="31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3">
        <v>529</v>
      </c>
      <c r="B30" s="10"/>
      <c r="C30" s="11"/>
      <c r="D30" s="35"/>
      <c r="E30" s="35"/>
      <c r="F30" s="35"/>
      <c r="G30" s="35"/>
      <c r="H30" s="35"/>
      <c r="I30" s="26"/>
      <c r="J30" s="35"/>
      <c r="K30" s="26"/>
      <c r="L30" s="35"/>
      <c r="M30" s="25"/>
      <c r="N30" s="27"/>
      <c r="O30" s="10"/>
      <c r="P30" s="37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1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3">
        <v>534</v>
      </c>
      <c r="B35" s="10"/>
      <c r="C35" s="11"/>
      <c r="D35" s="35"/>
      <c r="E35" s="35"/>
      <c r="F35" s="35"/>
      <c r="G35" s="35"/>
      <c r="H35" s="35"/>
      <c r="I35" s="26"/>
      <c r="J35" s="35"/>
      <c r="K35" s="26"/>
      <c r="L35" s="35"/>
      <c r="M35" s="25"/>
      <c r="N35" s="27"/>
      <c r="O35" s="10"/>
      <c r="P35" s="37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3">
        <v>536</v>
      </c>
      <c r="B37" s="10"/>
      <c r="C37" s="11"/>
      <c r="D37" s="35"/>
      <c r="E37" s="35"/>
      <c r="F37" s="35"/>
      <c r="G37" s="35"/>
      <c r="H37" s="35"/>
      <c r="I37" s="26"/>
      <c r="J37" s="35"/>
      <c r="K37" s="26"/>
      <c r="L37" s="35"/>
      <c r="M37" s="25"/>
      <c r="N37" s="27"/>
      <c r="O37" s="10"/>
      <c r="P37" s="37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3">
        <v>538</v>
      </c>
      <c r="B39" s="10"/>
      <c r="C39" s="11"/>
      <c r="D39" s="35"/>
      <c r="E39" s="35"/>
      <c r="F39" s="35"/>
      <c r="G39" s="35"/>
      <c r="H39" s="35"/>
      <c r="I39" s="26"/>
      <c r="J39" s="35"/>
      <c r="K39" s="26"/>
      <c r="L39" s="35"/>
      <c r="M39" s="25"/>
      <c r="N39" s="27"/>
      <c r="O39" s="10"/>
      <c r="P39" s="37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3">
        <v>541</v>
      </c>
      <c r="B42" s="10"/>
      <c r="C42" s="11"/>
      <c r="D42" s="35"/>
      <c r="E42" s="35"/>
      <c r="F42" s="35"/>
      <c r="G42" s="35"/>
      <c r="H42" s="35"/>
      <c r="I42" s="26"/>
      <c r="J42" s="35"/>
      <c r="K42" s="26"/>
      <c r="L42" s="35"/>
      <c r="M42" s="25"/>
      <c r="N42" s="27"/>
      <c r="O42" s="10"/>
      <c r="P42" s="37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3">
        <v>543</v>
      </c>
      <c r="B44" s="10"/>
      <c r="C44" s="11"/>
      <c r="D44" s="35"/>
      <c r="E44" s="35"/>
      <c r="F44" s="35"/>
      <c r="G44" s="35"/>
      <c r="H44" s="35"/>
      <c r="I44" s="26"/>
      <c r="J44" s="35"/>
      <c r="K44" s="26"/>
      <c r="L44" s="35"/>
      <c r="M44" s="25"/>
      <c r="N44" s="27"/>
      <c r="O44" s="10"/>
      <c r="P44" s="37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3">
        <v>545</v>
      </c>
      <c r="B46" s="10"/>
      <c r="C46" s="11"/>
      <c r="D46" s="35"/>
      <c r="E46" s="35"/>
      <c r="F46" s="35"/>
      <c r="G46" s="35"/>
      <c r="H46" s="35"/>
      <c r="I46" s="26"/>
      <c r="J46" s="35"/>
      <c r="K46" s="26"/>
      <c r="L46" s="35"/>
      <c r="M46" s="25"/>
      <c r="N46" s="27"/>
      <c r="O46" s="10"/>
      <c r="P46" s="37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3">
        <v>548</v>
      </c>
      <c r="B49" s="10"/>
      <c r="C49" s="11"/>
      <c r="D49" s="35"/>
      <c r="E49" s="35"/>
      <c r="F49" s="35"/>
      <c r="G49" s="35"/>
      <c r="H49" s="35"/>
      <c r="I49" s="26"/>
      <c r="J49" s="35"/>
      <c r="K49" s="26"/>
      <c r="L49" s="35"/>
      <c r="M49" s="25"/>
      <c r="N49" s="27"/>
      <c r="O49" s="10"/>
      <c r="P49" s="37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3">
        <v>550</v>
      </c>
      <c r="B51" s="10"/>
      <c r="C51" s="11"/>
      <c r="D51" s="35"/>
      <c r="E51" s="35"/>
      <c r="F51" s="35"/>
      <c r="G51" s="35"/>
      <c r="H51" s="35"/>
      <c r="I51" s="26"/>
      <c r="J51" s="35"/>
      <c r="K51" s="26"/>
      <c r="L51" s="35"/>
      <c r="M51" s="25"/>
      <c r="N51" s="27"/>
      <c r="O51" s="10"/>
      <c r="P51" s="37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3">
        <v>555</v>
      </c>
      <c r="B56" s="10"/>
      <c r="C56" s="11"/>
      <c r="D56" s="35"/>
      <c r="E56" s="35"/>
      <c r="F56" s="35"/>
      <c r="G56" s="35"/>
      <c r="H56" s="35"/>
      <c r="I56" s="26"/>
      <c r="J56" s="35"/>
      <c r="K56" s="26"/>
      <c r="L56" s="35"/>
      <c r="M56" s="25"/>
      <c r="N56" s="27"/>
      <c r="O56" s="10"/>
      <c r="P56" s="37"/>
    </row>
    <row r="57" spans="1:16" ht="15" customHeight="1" x14ac:dyDescent="0.2">
      <c r="A57" s="33">
        <v>556</v>
      </c>
      <c r="B57" s="10"/>
      <c r="C57" s="11"/>
      <c r="D57" s="35"/>
      <c r="E57" s="35"/>
      <c r="F57" s="35"/>
      <c r="G57" s="35"/>
      <c r="H57" s="35"/>
      <c r="I57" s="26"/>
      <c r="J57" s="35"/>
      <c r="K57" s="26"/>
      <c r="L57" s="35"/>
      <c r="M57" s="25"/>
      <c r="N57" s="27"/>
      <c r="O57" s="10"/>
      <c r="P57" s="37"/>
    </row>
    <row r="58" spans="1:16" ht="15" customHeight="1" x14ac:dyDescent="0.2">
      <c r="A58" s="33">
        <v>557</v>
      </c>
      <c r="B58" s="10"/>
      <c r="C58" s="11"/>
      <c r="D58" s="35"/>
      <c r="E58" s="35"/>
      <c r="F58" s="35"/>
      <c r="G58" s="35"/>
      <c r="H58" s="35"/>
      <c r="I58" s="26"/>
      <c r="J58" s="35"/>
      <c r="K58" s="26"/>
      <c r="L58" s="35"/>
      <c r="M58" s="25"/>
      <c r="N58" s="27"/>
      <c r="O58" s="10"/>
      <c r="P58" s="37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3">
        <v>559</v>
      </c>
      <c r="B60" s="10"/>
      <c r="C60" s="11"/>
      <c r="D60" s="35"/>
      <c r="E60" s="35"/>
      <c r="F60" s="35"/>
      <c r="G60" s="35"/>
      <c r="H60" s="35"/>
      <c r="I60" s="26"/>
      <c r="J60" s="35"/>
      <c r="K60" s="26"/>
      <c r="L60" s="35"/>
      <c r="M60" s="25"/>
      <c r="N60" s="27"/>
      <c r="O60" s="10"/>
      <c r="P60" s="37"/>
    </row>
    <row r="61" spans="1:16" ht="15" customHeight="1" x14ac:dyDescent="0.2">
      <c r="A61" s="32">
        <v>560</v>
      </c>
      <c r="B61" s="10">
        <v>45946</v>
      </c>
      <c r="C61" s="11"/>
      <c r="D61" s="35">
        <v>1</v>
      </c>
      <c r="E61" s="35">
        <v>1</v>
      </c>
      <c r="F61" s="35">
        <v>1</v>
      </c>
      <c r="G61" s="35"/>
      <c r="H61" s="35"/>
      <c r="I61" s="26"/>
      <c r="J61" s="35"/>
      <c r="K61" s="26"/>
      <c r="L61" s="35"/>
      <c r="M61" s="25" t="s">
        <v>21</v>
      </c>
      <c r="N61" s="27" t="s">
        <v>22</v>
      </c>
      <c r="O61" s="10">
        <v>45946</v>
      </c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3">
        <v>562</v>
      </c>
      <c r="B63" s="10"/>
      <c r="C63" s="11"/>
      <c r="D63" s="35"/>
      <c r="E63" s="35"/>
      <c r="F63" s="35"/>
      <c r="G63" s="35"/>
      <c r="H63" s="35"/>
      <c r="I63" s="26"/>
      <c r="J63" s="35"/>
      <c r="K63" s="26"/>
      <c r="L63" s="35"/>
      <c r="M63" s="25"/>
      <c r="N63" s="27"/>
      <c r="O63" s="10"/>
      <c r="P63" s="37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3">
        <v>564</v>
      </c>
      <c r="B65" s="10"/>
      <c r="C65" s="11"/>
      <c r="D65" s="35"/>
      <c r="E65" s="35"/>
      <c r="F65" s="35"/>
      <c r="G65" s="35"/>
      <c r="H65" s="35"/>
      <c r="I65" s="26"/>
      <c r="J65" s="35"/>
      <c r="K65" s="26"/>
      <c r="L65" s="35"/>
      <c r="M65" s="25"/>
      <c r="N65" s="27"/>
      <c r="O65" s="10"/>
      <c r="P65" s="37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3">
        <v>566</v>
      </c>
      <c r="B67" s="10"/>
      <c r="C67" s="11"/>
      <c r="D67" s="35"/>
      <c r="E67" s="35"/>
      <c r="F67" s="35"/>
      <c r="G67" s="35"/>
      <c r="H67" s="35"/>
      <c r="I67" s="26"/>
      <c r="J67" s="35"/>
      <c r="K67" s="26"/>
      <c r="L67" s="35"/>
      <c r="M67" s="25"/>
      <c r="N67" s="27"/>
      <c r="O67" s="10"/>
      <c r="P67" s="37"/>
    </row>
    <row r="68" spans="1:16" x14ac:dyDescent="0.2">
      <c r="A68" s="33">
        <v>567</v>
      </c>
      <c r="B68" s="10"/>
      <c r="C68" s="11"/>
      <c r="D68" s="35"/>
      <c r="E68" s="35"/>
      <c r="F68" s="35"/>
      <c r="G68" s="35"/>
      <c r="H68" s="35"/>
      <c r="I68" s="26"/>
      <c r="J68" s="35"/>
      <c r="K68" s="26"/>
      <c r="L68" s="35"/>
      <c r="M68" s="25"/>
      <c r="N68" s="27"/>
      <c r="O68" s="10"/>
      <c r="P68" s="37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3">
        <v>569</v>
      </c>
      <c r="B70" s="10"/>
      <c r="C70" s="11"/>
      <c r="D70" s="35"/>
      <c r="E70" s="35"/>
      <c r="F70" s="35"/>
      <c r="G70" s="35"/>
      <c r="H70" s="35"/>
      <c r="I70" s="26"/>
      <c r="J70" s="35"/>
      <c r="K70" s="26"/>
      <c r="L70" s="35"/>
      <c r="M70" s="25"/>
      <c r="N70" s="27"/>
      <c r="O70" s="10"/>
      <c r="P70" s="37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3">
        <v>571</v>
      </c>
      <c r="B72" s="10"/>
      <c r="C72" s="11"/>
      <c r="D72" s="35"/>
      <c r="E72" s="35"/>
      <c r="F72" s="35"/>
      <c r="G72" s="35"/>
      <c r="H72" s="35"/>
      <c r="I72" s="26"/>
      <c r="J72" s="35"/>
      <c r="K72" s="26"/>
      <c r="L72" s="35"/>
      <c r="M72" s="25"/>
      <c r="N72" s="27"/>
      <c r="O72" s="10"/>
      <c r="P72" s="37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3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4"/>
      <c r="E75" s="34"/>
      <c r="F75" s="34"/>
      <c r="G75" s="34"/>
      <c r="H75" s="34"/>
      <c r="I75" s="13"/>
      <c r="J75" s="34"/>
      <c r="K75" s="13"/>
      <c r="L75" s="34"/>
      <c r="M75" s="12"/>
      <c r="N75" s="14"/>
      <c r="O75" s="10"/>
      <c r="P75" s="36"/>
    </row>
    <row r="76" spans="1:16" x14ac:dyDescent="0.2">
      <c r="A76" s="32">
        <v>575</v>
      </c>
      <c r="B76" s="10"/>
      <c r="C76" s="11"/>
      <c r="D76" s="34"/>
      <c r="E76" s="34"/>
      <c r="F76" s="34"/>
      <c r="G76" s="34"/>
      <c r="H76" s="34"/>
      <c r="I76" s="13"/>
      <c r="J76" s="34"/>
      <c r="K76" s="13"/>
      <c r="L76" s="34"/>
      <c r="M76" s="12"/>
      <c r="N76" s="14"/>
      <c r="O76" s="10"/>
      <c r="P76" s="36"/>
    </row>
    <row r="77" spans="1:16" x14ac:dyDescent="0.2">
      <c r="A77" s="33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4"/>
      <c r="E78" s="34"/>
      <c r="F78" s="34"/>
      <c r="G78" s="34"/>
      <c r="H78" s="34"/>
      <c r="I78" s="13"/>
      <c r="J78" s="34"/>
      <c r="K78" s="13"/>
      <c r="L78" s="34"/>
      <c r="M78" s="12"/>
      <c r="N78" s="14"/>
      <c r="O78" s="10"/>
      <c r="P78" s="36"/>
    </row>
    <row r="79" spans="1:16" x14ac:dyDescent="0.2">
      <c r="A79" s="33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4"/>
      <c r="E80" s="34"/>
      <c r="F80" s="34"/>
      <c r="G80" s="34"/>
      <c r="H80" s="34"/>
      <c r="I80" s="13"/>
      <c r="J80" s="34"/>
      <c r="K80" s="13"/>
      <c r="L80" s="34"/>
      <c r="M80" s="12"/>
      <c r="N80" s="14"/>
      <c r="O80" s="10"/>
      <c r="P80" s="36"/>
    </row>
    <row r="81" spans="1:16" x14ac:dyDescent="0.2">
      <c r="A81" s="33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4"/>
      <c r="E82" s="34"/>
      <c r="F82" s="34"/>
      <c r="G82" s="34"/>
      <c r="H82" s="34"/>
      <c r="I82" s="13"/>
      <c r="J82" s="34"/>
      <c r="K82" s="13"/>
      <c r="L82" s="34"/>
      <c r="M82" s="12"/>
      <c r="N82" s="14"/>
      <c r="O82" s="10"/>
      <c r="P82" s="36"/>
    </row>
    <row r="83" spans="1:16" x14ac:dyDescent="0.2">
      <c r="A83" s="32">
        <v>582</v>
      </c>
      <c r="B83" s="10">
        <v>45947</v>
      </c>
      <c r="C83" s="11"/>
      <c r="D83" s="34">
        <v>1</v>
      </c>
      <c r="E83" s="34">
        <v>4</v>
      </c>
      <c r="F83" s="34">
        <v>4</v>
      </c>
      <c r="G83" s="34"/>
      <c r="H83" s="34"/>
      <c r="I83" s="13"/>
      <c r="J83" s="34"/>
      <c r="K83" s="13"/>
      <c r="L83" s="34"/>
      <c r="M83" s="12" t="s">
        <v>21</v>
      </c>
      <c r="N83" s="14" t="s">
        <v>23</v>
      </c>
      <c r="O83" s="10">
        <v>45947</v>
      </c>
      <c r="P83" s="36"/>
    </row>
    <row r="84" spans="1:16" x14ac:dyDescent="0.2">
      <c r="A84" s="33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4"/>
      <c r="E85" s="34"/>
      <c r="F85" s="34"/>
      <c r="G85" s="34"/>
      <c r="H85" s="34"/>
      <c r="I85" s="13"/>
      <c r="J85" s="34"/>
      <c r="K85" s="13"/>
      <c r="L85" s="34"/>
      <c r="M85" s="12"/>
      <c r="N85" s="14"/>
      <c r="O85" s="10"/>
      <c r="P85" s="36"/>
    </row>
    <row r="86" spans="1:16" x14ac:dyDescent="0.2">
      <c r="A86" s="33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4"/>
      <c r="E87" s="34"/>
      <c r="F87" s="34"/>
      <c r="G87" s="34"/>
      <c r="H87" s="34"/>
      <c r="I87" s="13"/>
      <c r="J87" s="34"/>
      <c r="K87" s="13"/>
      <c r="L87" s="34"/>
      <c r="M87" s="12"/>
      <c r="N87" s="14"/>
      <c r="O87" s="10"/>
      <c r="P87" s="36"/>
    </row>
    <row r="88" spans="1:16" x14ac:dyDescent="0.2">
      <c r="A88" s="33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4"/>
      <c r="E89" s="34"/>
      <c r="F89" s="34"/>
      <c r="G89" s="34"/>
      <c r="H89" s="34"/>
      <c r="I89" s="13"/>
      <c r="J89" s="34"/>
      <c r="K89" s="13"/>
      <c r="L89" s="34"/>
      <c r="M89" s="12"/>
      <c r="N89" s="14"/>
      <c r="O89" s="10"/>
      <c r="P89" s="36"/>
    </row>
    <row r="90" spans="1:16" x14ac:dyDescent="0.2">
      <c r="A90" s="32">
        <v>589</v>
      </c>
      <c r="B90" s="10"/>
      <c r="C90" s="11"/>
      <c r="D90" s="34"/>
      <c r="E90" s="34"/>
      <c r="F90" s="34"/>
      <c r="G90" s="34"/>
      <c r="H90" s="34"/>
      <c r="I90" s="13"/>
      <c r="J90" s="34"/>
      <c r="K90" s="13"/>
      <c r="L90" s="34"/>
      <c r="M90" s="12"/>
      <c r="N90" s="14"/>
      <c r="O90" s="10"/>
      <c r="P90" s="36"/>
    </row>
    <row r="91" spans="1:16" x14ac:dyDescent="0.2">
      <c r="A91" s="33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4"/>
      <c r="E92" s="34"/>
      <c r="F92" s="34"/>
      <c r="G92" s="34"/>
      <c r="H92" s="34"/>
      <c r="I92" s="13"/>
      <c r="J92" s="34"/>
      <c r="K92" s="13"/>
      <c r="L92" s="34"/>
      <c r="M92" s="12"/>
      <c r="N92" s="14"/>
      <c r="O92" s="10"/>
      <c r="P92" s="36"/>
    </row>
    <row r="93" spans="1:16" x14ac:dyDescent="0.2">
      <c r="A93" s="33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4"/>
      <c r="E94" s="34"/>
      <c r="F94" s="34"/>
      <c r="G94" s="34"/>
      <c r="H94" s="34"/>
      <c r="I94" s="13"/>
      <c r="J94" s="34"/>
      <c r="K94" s="13"/>
      <c r="L94" s="34"/>
      <c r="M94" s="12"/>
      <c r="N94" s="14"/>
      <c r="O94" s="10"/>
      <c r="P94" s="36"/>
    </row>
    <row r="95" spans="1:16" x14ac:dyDescent="0.2">
      <c r="A95" s="33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4"/>
      <c r="E96" s="34"/>
      <c r="F96" s="34"/>
      <c r="G96" s="34"/>
      <c r="H96" s="34"/>
      <c r="I96" s="13"/>
      <c r="J96" s="34"/>
      <c r="K96" s="13"/>
      <c r="L96" s="34"/>
      <c r="M96" s="12"/>
      <c r="N96" s="14"/>
      <c r="O96" s="10"/>
      <c r="P96" s="36"/>
    </row>
    <row r="97" spans="1:16" x14ac:dyDescent="0.2">
      <c r="A97" s="32">
        <v>596</v>
      </c>
      <c r="B97" s="10"/>
      <c r="C97" s="11"/>
      <c r="D97" s="34"/>
      <c r="E97" s="34"/>
      <c r="F97" s="34"/>
      <c r="G97" s="34"/>
      <c r="H97" s="34"/>
      <c r="I97" s="13"/>
      <c r="J97" s="34"/>
      <c r="K97" s="13"/>
      <c r="L97" s="34"/>
      <c r="M97" s="12"/>
      <c r="N97" s="14"/>
      <c r="O97" s="10"/>
      <c r="P97" s="36"/>
    </row>
    <row r="98" spans="1:16" x14ac:dyDescent="0.2">
      <c r="A98" s="33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4"/>
      <c r="E99" s="34"/>
      <c r="F99" s="34"/>
      <c r="G99" s="34"/>
      <c r="H99" s="34"/>
      <c r="I99" s="13"/>
      <c r="J99" s="34"/>
      <c r="K99" s="13"/>
      <c r="L99" s="34"/>
      <c r="M99" s="12"/>
      <c r="N99" s="14"/>
      <c r="O99" s="10"/>
      <c r="P99" s="36"/>
    </row>
    <row r="100" spans="1:16" x14ac:dyDescent="0.2">
      <c r="A100" s="33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4"/>
      <c r="E101" s="34"/>
      <c r="F101" s="34"/>
      <c r="G101" s="34"/>
      <c r="H101" s="34"/>
      <c r="I101" s="13"/>
      <c r="J101" s="34"/>
      <c r="K101" s="13"/>
      <c r="L101" s="34"/>
      <c r="M101" s="12"/>
      <c r="N101" s="14"/>
      <c r="O101" s="10"/>
      <c r="P101" s="36"/>
    </row>
    <row r="102" spans="1:16" x14ac:dyDescent="0.2">
      <c r="A102" s="33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4"/>
      <c r="E103" s="34"/>
      <c r="F103" s="34"/>
      <c r="G103" s="34"/>
      <c r="H103" s="34"/>
      <c r="I103" s="13"/>
      <c r="J103" s="34"/>
      <c r="K103" s="13"/>
      <c r="L103" s="34"/>
      <c r="M103" s="12"/>
      <c r="N103" s="14"/>
      <c r="O103" s="10"/>
      <c r="P103" s="36"/>
    </row>
    <row r="104" spans="1:16" x14ac:dyDescent="0.2">
      <c r="A104" s="32">
        <v>603</v>
      </c>
      <c r="B104" s="10"/>
      <c r="C104" s="11"/>
      <c r="D104" s="34"/>
      <c r="E104" s="34"/>
      <c r="F104" s="34"/>
      <c r="G104" s="34"/>
      <c r="H104" s="34"/>
      <c r="I104" s="13"/>
      <c r="J104" s="34"/>
      <c r="K104" s="13"/>
      <c r="L104" s="34"/>
      <c r="M104" s="12"/>
      <c r="N104" s="14"/>
      <c r="O104" s="10"/>
      <c r="P104" s="36"/>
    </row>
    <row r="105" spans="1:16" x14ac:dyDescent="0.2">
      <c r="A105" s="33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4"/>
      <c r="E106" s="34"/>
      <c r="F106" s="34"/>
      <c r="G106" s="34"/>
      <c r="H106" s="34"/>
      <c r="I106" s="13"/>
      <c r="J106" s="34"/>
      <c r="K106" s="13"/>
      <c r="L106" s="34"/>
      <c r="M106" s="12"/>
      <c r="N106" s="14"/>
      <c r="O106" s="10"/>
      <c r="P106" s="36"/>
    </row>
    <row r="107" spans="1:16" x14ac:dyDescent="0.2">
      <c r="A107" s="33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2">
        <v>607</v>
      </c>
      <c r="B108" s="10"/>
      <c r="C108" s="11"/>
      <c r="D108" s="34"/>
      <c r="E108" s="34"/>
      <c r="F108" s="34"/>
      <c r="G108" s="34"/>
      <c r="H108" s="34"/>
      <c r="I108" s="13"/>
      <c r="J108" s="34"/>
      <c r="K108" s="13"/>
      <c r="L108" s="34"/>
      <c r="M108" s="12"/>
      <c r="N108" s="14"/>
      <c r="O108" s="10"/>
      <c r="P108" s="36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2">
        <v>609</v>
      </c>
      <c r="B110" s="10"/>
      <c r="C110" s="11"/>
      <c r="D110" s="34"/>
      <c r="E110" s="34"/>
      <c r="F110" s="34"/>
      <c r="G110" s="34"/>
      <c r="H110" s="34"/>
      <c r="I110" s="13"/>
      <c r="J110" s="34"/>
      <c r="K110" s="13"/>
      <c r="L110" s="34"/>
      <c r="M110" s="12"/>
      <c r="N110" s="14"/>
      <c r="O110" s="10"/>
      <c r="P110" s="36"/>
    </row>
    <row r="111" spans="1:16" x14ac:dyDescent="0.2">
      <c r="A111" s="32">
        <v>610</v>
      </c>
      <c r="B111" s="10"/>
      <c r="C111" s="11"/>
      <c r="D111" s="34"/>
      <c r="E111" s="34"/>
      <c r="F111" s="34"/>
      <c r="G111" s="34"/>
      <c r="H111" s="34"/>
      <c r="I111" s="13"/>
      <c r="J111" s="34"/>
      <c r="K111" s="13"/>
      <c r="L111" s="34"/>
      <c r="M111" s="12"/>
      <c r="N111" s="14"/>
      <c r="O111" s="10"/>
      <c r="P111" s="36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2">
        <v>612</v>
      </c>
      <c r="B113" s="10"/>
      <c r="C113" s="11"/>
      <c r="D113" s="34"/>
      <c r="E113" s="34"/>
      <c r="F113" s="34"/>
      <c r="G113" s="34"/>
      <c r="H113" s="34"/>
      <c r="I113" s="13"/>
      <c r="J113" s="34"/>
      <c r="K113" s="13"/>
      <c r="L113" s="34"/>
      <c r="M113" s="12"/>
      <c r="N113" s="14"/>
      <c r="O113" s="10"/>
      <c r="P113" s="36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2">
        <v>614</v>
      </c>
      <c r="B115" s="10"/>
      <c r="C115" s="11"/>
      <c r="D115" s="34"/>
      <c r="E115" s="34"/>
      <c r="F115" s="34"/>
      <c r="G115" s="34"/>
      <c r="H115" s="34"/>
      <c r="I115" s="13"/>
      <c r="J115" s="34"/>
      <c r="K115" s="13"/>
      <c r="L115" s="34"/>
      <c r="M115" s="12"/>
      <c r="N115" s="14"/>
      <c r="O115" s="10"/>
      <c r="P115" s="36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2">
        <v>616</v>
      </c>
      <c r="B117" s="10"/>
      <c r="C117" s="11"/>
      <c r="D117" s="34"/>
      <c r="E117" s="34"/>
      <c r="F117" s="34"/>
      <c r="G117" s="34"/>
      <c r="H117" s="34"/>
      <c r="I117" s="13"/>
      <c r="J117" s="34"/>
      <c r="K117" s="13"/>
      <c r="L117" s="34"/>
      <c r="M117" s="12"/>
      <c r="N117" s="14"/>
      <c r="O117" s="10"/>
      <c r="P117" s="36"/>
    </row>
    <row r="118" spans="1:16" x14ac:dyDescent="0.2">
      <c r="A118" s="32">
        <v>617</v>
      </c>
      <c r="B118" s="10"/>
      <c r="C118" s="11"/>
      <c r="D118" s="34"/>
      <c r="E118" s="34"/>
      <c r="F118" s="34"/>
      <c r="G118" s="34"/>
      <c r="H118" s="34"/>
      <c r="I118" s="13"/>
      <c r="J118" s="34"/>
      <c r="K118" s="13"/>
      <c r="L118" s="34"/>
      <c r="M118" s="12"/>
      <c r="N118" s="14"/>
      <c r="O118" s="10"/>
      <c r="P118" s="36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2">
        <v>619</v>
      </c>
      <c r="B120" s="10"/>
      <c r="C120" s="11"/>
      <c r="D120" s="34"/>
      <c r="E120" s="34"/>
      <c r="F120" s="34"/>
      <c r="G120" s="34"/>
      <c r="H120" s="34"/>
      <c r="I120" s="13"/>
      <c r="J120" s="34"/>
      <c r="K120" s="13"/>
      <c r="L120" s="34"/>
      <c r="M120" s="12"/>
      <c r="N120" s="14"/>
      <c r="O120" s="10"/>
      <c r="P120" s="36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2">
        <v>621</v>
      </c>
      <c r="B122" s="10"/>
      <c r="C122" s="11"/>
      <c r="D122" s="34"/>
      <c r="E122" s="34"/>
      <c r="F122" s="34"/>
      <c r="G122" s="34"/>
      <c r="H122" s="34"/>
      <c r="I122" s="13"/>
      <c r="J122" s="34"/>
      <c r="K122" s="13"/>
      <c r="L122" s="34"/>
      <c r="M122" s="12"/>
      <c r="N122" s="14"/>
      <c r="O122" s="10"/>
      <c r="P122" s="36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2">
        <v>623</v>
      </c>
      <c r="B124" s="10"/>
      <c r="C124" s="11"/>
      <c r="D124" s="34"/>
      <c r="E124" s="34"/>
      <c r="F124" s="34"/>
      <c r="G124" s="34"/>
      <c r="H124" s="34"/>
      <c r="I124" s="13"/>
      <c r="J124" s="34"/>
      <c r="K124" s="13"/>
      <c r="L124" s="34"/>
      <c r="M124" s="12"/>
      <c r="N124" s="14"/>
      <c r="O124" s="10"/>
      <c r="P124" s="36"/>
    </row>
    <row r="125" spans="1:16" x14ac:dyDescent="0.2">
      <c r="A125" s="32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2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1">
        <v>628</v>
      </c>
      <c r="B129" s="10">
        <v>45946</v>
      </c>
      <c r="C129" s="11"/>
      <c r="D129" s="35">
        <v>1</v>
      </c>
      <c r="E129" s="35">
        <v>1</v>
      </c>
      <c r="F129" s="35">
        <v>1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24</v>
      </c>
      <c r="O129" s="10">
        <v>45946</v>
      </c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2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2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2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2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2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2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2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2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2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2">
        <v>645</v>
      </c>
      <c r="B146" s="10">
        <v>45946</v>
      </c>
      <c r="C146" s="11"/>
      <c r="D146" s="35">
        <v>1</v>
      </c>
      <c r="E146" s="35">
        <v>1</v>
      </c>
      <c r="F146" s="35">
        <v>1</v>
      </c>
      <c r="G146" s="35"/>
      <c r="H146" s="35"/>
      <c r="I146" s="26"/>
      <c r="J146" s="35"/>
      <c r="K146" s="26"/>
      <c r="L146" s="35"/>
      <c r="M146" s="25" t="s">
        <v>21</v>
      </c>
      <c r="N146" s="27" t="s">
        <v>25</v>
      </c>
      <c r="O146" s="10">
        <v>45946</v>
      </c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2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2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2">
        <v>651</v>
      </c>
      <c r="B152" s="10">
        <v>45946</v>
      </c>
      <c r="C152" s="11"/>
      <c r="D152" s="35">
        <v>1</v>
      </c>
      <c r="E152" s="35">
        <v>1</v>
      </c>
      <c r="F152" s="35">
        <v>1</v>
      </c>
      <c r="G152" s="35"/>
      <c r="H152" s="35"/>
      <c r="I152" s="26"/>
      <c r="J152" s="35"/>
      <c r="K152" s="26"/>
      <c r="L152" s="35"/>
      <c r="M152" s="25" t="s">
        <v>21</v>
      </c>
      <c r="N152" s="27" t="s">
        <v>25</v>
      </c>
      <c r="O152" s="10">
        <v>45946</v>
      </c>
      <c r="P152" s="37"/>
    </row>
    <row r="153" spans="1:16" x14ac:dyDescent="0.2">
      <c r="A153" s="31">
        <v>652</v>
      </c>
      <c r="B153" s="10"/>
      <c r="C153" s="11"/>
      <c r="D153" s="34"/>
      <c r="E153" s="34"/>
      <c r="F153" s="34"/>
      <c r="G153" s="34"/>
      <c r="H153" s="34"/>
      <c r="I153" s="13"/>
      <c r="J153" s="34"/>
      <c r="K153" s="13"/>
      <c r="L153" s="34"/>
      <c r="M153" s="12"/>
      <c r="N153" s="14"/>
      <c r="O153" s="10"/>
      <c r="P153" s="36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2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2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2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2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2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2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2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2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2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2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2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2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2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2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2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2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2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2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RjicYKy8adiCsP9Jckut8kVomc+6Uf3sPs5GkYWr+5L5IhD84NbyNF1jHclfPw4y8UyoRde8Xl/+U9UzZSxeaA==" saltValue="E98TU/+25YqzdDSY4w15W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213 K2:K213 I2:I213 B2:B213" xr:uid="{D2159DCA-8E36-4264-A0E6-DC71BE2348D2}">
      <formula1>45658</formula1>
    </dataValidation>
    <dataValidation type="whole" operator="greaterThanOrEqual" allowBlank="1" showInputMessage="1" showErrorMessage="1" sqref="A2:A213 P2:P213 L2:L213 J2:J213 D2:H213" xr:uid="{3F7FA9B9-DE45-4727-A08C-2690EBDE014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FC05-3FB4-4D94-83E5-BF077B120587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8oCxC+SQEiIGknBK3Y1/YDjA3TSigtfbwgN3gSLVREjYOW0E3pgH8hvGSx3aJzt5fJbp2pOQ6iooT6uc+xoAFw==" saltValue="sz+rc+IjrnqYhXDzIerbQ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301B139F-7E40-4151-88BC-D18EB06AE1C2}">
      <formula1>0</formula1>
    </dataValidation>
    <dataValidation type="date" operator="greaterThanOrEqual" allowBlank="1" showInputMessage="1" showErrorMessage="1" sqref="B2:B213 I2:I213 K2:K213 O2:O213" xr:uid="{12809D42-6B4F-4AD4-9B48-D53869F7707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8721-5CB9-434F-B26F-6AD7A247570B}">
  <dimension ref="A1:U347"/>
  <sheetViews>
    <sheetView workbookViewId="0">
      <selection activeCell="F32" sqref="F32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8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Ja+7g9gUcGznWAvk3LA7O2REJJjdM+oRRRJF5QrLnxLovdWTeokhcv+cbY8VszIcuD8+rcyQOaDt5FZaaNYdLA==" saltValue="df33hqu2r7VtYLEI6IaXh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CE3783D-A3F4-489E-83CF-B3D06D7504BA}">
      <formula1>0</formula1>
    </dataValidation>
    <dataValidation type="date" operator="greaterThanOrEqual" allowBlank="1" showInputMessage="1" showErrorMessage="1" sqref="B2:B213 I2:I213 K2:K213 O2:O213" xr:uid="{3A2338EF-30A3-41FE-B847-7C18D2B31E1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EF62-9956-4D33-BDC3-673DD5E916E1}">
  <dimension ref="A1:U347"/>
  <sheetViews>
    <sheetView workbookViewId="0">
      <selection activeCell="E19" sqref="E19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W6hhxavEqzX474s+mZSvRh3IuYu4k2Wow0tQ6hvyucZ4RHAojVppqdlkgda8XUzFGmwpz7jTVvUkTsM3jw2D9g==" saltValue="O7/oZTJC5NIclwoo390e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7B6474B-5633-42B0-BBF4-B61AD248B8AA}">
      <formula1>0</formula1>
    </dataValidation>
    <dataValidation type="date" operator="greaterThanOrEqual" allowBlank="1" showInputMessage="1" showErrorMessage="1" sqref="B2:B213 I2:I213 K2:K213 O2:O213" xr:uid="{2BEB7B81-C54B-4516-AE03-3592B9D7A22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4303-F78A-40C1-A773-3290CCD00FF1}">
  <dimension ref="A1:U347"/>
  <sheetViews>
    <sheetView workbookViewId="0">
      <selection activeCell="F21" sqref="F21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x14ac:dyDescent="0.2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xVLeMiypdL/0614wNaNueW/8d2MUlvZS24S9jxu/1jgSn6ESxuqqpPAYcZ8eXmwmUB7x0txerBlOzf/JNGttFQ==" saltValue="sXr3MQnLbxp/gfx0L/+CY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670BB03C-9F15-4CDF-B380-4D7437068A3C}">
      <formula1>0</formula1>
    </dataValidation>
    <dataValidation type="date" operator="greaterThanOrEqual" allowBlank="1" showInputMessage="1" showErrorMessage="1" sqref="B2:B213 I2:I213 K2:K213 O2:O213" xr:uid="{3A47AFF1-B46E-47FA-9AE5-D78B6A5BF76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E15F-A1B8-4125-AA89-3A296846E108}">
  <dimension ref="A1:U347"/>
  <sheetViews>
    <sheetView workbookViewId="0">
      <selection activeCell="G27" sqref="G2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nWafegCrQfEOcW1CoekKUnwxKBag2+OpNDfJbg/CLEN7iKBMdmPIMT69wQ1WZuYkCrqwYYFqyBlvMrKBd/Qv6A==" saltValue="G3Z3Ob+0JOqZA2sj1ZXy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BBD836B7-4412-4BA0-AA25-A52E92C5DD22}">
      <formula1>0</formula1>
    </dataValidation>
    <dataValidation type="date" operator="greaterThanOrEqual" allowBlank="1" showInputMessage="1" showErrorMessage="1" sqref="B2:B213 I2:I213 K2:K213 O2:O213" xr:uid="{4E045234-AA67-47EF-805B-9DB6EEF7B56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9602-A023-4394-9C97-F22A3054B190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9s5KrKbKuWGgouI90D/0ozjIf1hkU16vCzZn4JbZV182VGtPLwA9T84+AV6Qqb35i2POrmxH2JLZ4CvZ/zqeug==" saltValue="qei7OS1eWBZovaew/kGlN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F9FC6BB5-4F65-4260-9F5F-E755F0D0B5FC}">
      <formula1>0</formula1>
    </dataValidation>
    <dataValidation type="date" operator="greaterThanOrEqual" allowBlank="1" showInputMessage="1" showErrorMessage="1" sqref="B2:B213 I2:I213 K2:K213 O2:O213" xr:uid="{3FC783ED-2C30-4705-AA41-8C16EBF832A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02D5-D597-4EF8-B304-08BB2E7BF0BA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PbheRhVK5AUP5CMq3chmhdpg5/s6wgX0DZHShZJvNCTyg0lmQnUAfR3hfyom75vnCoopTpxVlVdMv1JVn3ZzKg==" saltValue="2eD424FjGNxrvS4rDTill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72ECEAA0-82C5-4B8E-9AE5-A4BD2DA4DA8E}">
      <formula1>45658</formula1>
    </dataValidation>
    <dataValidation type="whole" operator="greaterThanOrEqual" allowBlank="1" showInputMessage="1" showErrorMessage="1" sqref="A2:A213 D2:H213 J2:J213 L2:L213 P2:P213" xr:uid="{B51974A7-6890-4151-8BDA-B6AF9BD6C3EE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D9A2-0214-4B67-A342-61B35FCB2455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iyvMg9LQ8/vIPcKF0sbGWKJZJSqBB1KZCdWj71hoHuTY6aL14auuaL/Ilop/be5EudP47mIe+a5gF7VC5GeGGQ==" saltValue="+vovQFXBuWd8OJHdKQ/Mc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AAEE73B7-769F-493E-83CE-50967858C83F}">
      <formula1>0</formula1>
    </dataValidation>
    <dataValidation type="date" operator="greaterThanOrEqual" allowBlank="1" showInputMessage="1" showErrorMessage="1" sqref="B2:B213 I2:I213 K2:K213 O2:O213" xr:uid="{9B9BD2A0-1882-4038-A2BF-9482FC0C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BD90-9EA8-403C-904F-4CC71DB3CCF6}">
  <dimension ref="A1:U347"/>
  <sheetViews>
    <sheetView workbookViewId="0">
      <selection activeCell="J24" sqref="J24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531BD565-09AF-43E8-8535-852EAC4EC687}">
      <formula1>45658</formula1>
    </dataValidation>
    <dataValidation type="whole" operator="greaterThanOrEqual" allowBlank="1" showInputMessage="1" showErrorMessage="1" sqref="A2:A213 D2:H213 J2:J213 L2:L213 P2:P213" xr:uid="{A22C0389-819C-48F4-A244-4CF5BE71557C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91D9-888D-4629-806B-94CC39FB3E49}">
  <dimension ref="A1:U347"/>
  <sheetViews>
    <sheetView tabSelected="1" workbookViewId="0">
      <selection activeCell="J24" sqref="J24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8D53EE1A-4DC6-4BA1-A0CB-15408B0EE40E}">
      <formula1>0</formula1>
    </dataValidation>
    <dataValidation type="date" operator="greaterThanOrEqual" allowBlank="1" showInputMessage="1" showErrorMessage="1" sqref="B2:B213 I2:I213 K2:K213 O2:O213" xr:uid="{C6B1C235-E76E-4C2E-B8D7-3E2E27F21E9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6ACC-31C5-4B54-89AA-4F3721C7BBE5}">
  <dimension ref="A1:U347"/>
  <sheetViews>
    <sheetView workbookViewId="0">
      <selection activeCell="J24" sqref="J24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BA9C95D8-7799-4FE5-B87B-7A0DA05C9F90}">
      <formula1>45658</formula1>
    </dataValidation>
    <dataValidation type="whole" operator="greaterThanOrEqual" allowBlank="1" showInputMessage="1" showErrorMessage="1" sqref="A2:A213 D2:H213 J2:J213 L2:L213 P2:P213" xr:uid="{DFBC8418-9102-46C0-A143-A9E20E1978D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4C02-CC8B-45CA-BD27-26B67D2BFDB5}">
  <dimension ref="A1:U347"/>
  <sheetViews>
    <sheetView workbookViewId="0">
      <selection activeCell="G15" sqref="G15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55167D6-CEFA-4AA1-9955-8BE98953E058}">
      <formula1>0</formula1>
    </dataValidation>
    <dataValidation type="date" operator="greaterThanOrEqual" allowBlank="1" showInputMessage="1" showErrorMessage="1" sqref="B2:B213 I2:I213 K2:K213 O2:O213" xr:uid="{BD8A5713-0124-4515-9369-F74FD941A8F9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79DEA0-BEE8-4EA0-A81B-04E7E6DB1433}">
  <ds:schemaRefs>
    <ds:schemaRef ds:uri="http://www.w3.org/XML/1998/namespace"/>
    <ds:schemaRef ds:uri="http://schemas.microsoft.com/office/2006/documentManagement/types"/>
    <ds:schemaRef ds:uri="http://purl.org/dc/elements/1.1/"/>
    <ds:schemaRef ds:uri="d5486727-c7ef-48ef-8f67-294a70abf30d"/>
    <ds:schemaRef ds:uri="http://schemas.microsoft.com/office/2006/metadata/properties"/>
    <ds:schemaRef ds:uri="f09d0ae9-c6ff-4e57-bd1f-955be6ad47ac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F2739F3-E870-4C66-98A1-0871AAA9F2F4}"/>
</file>

<file path=customXml/itemProps3.xml><?xml version="1.0" encoding="utf-8"?>
<ds:datastoreItem xmlns:ds="http://schemas.openxmlformats.org/officeDocument/2006/customXml" ds:itemID="{3ECC010B-2B9E-4E23-94AE-2C876B2036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Northern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2025-10-14T11:31:59Z</dcterms:created>
  <dcterms:modified xsi:type="dcterms:W3CDTF">2025-10-28T22:31:30Z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