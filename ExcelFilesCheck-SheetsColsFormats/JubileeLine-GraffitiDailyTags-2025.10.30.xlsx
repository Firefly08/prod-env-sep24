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15" documentId="13_ncr:1_{80D936BB-D356-4D1C-A9B2-D333A12DDA69}" xr6:coauthVersionLast="47" xr6:coauthVersionMax="47" xr10:uidLastSave="{CD75014A-AD1D-4F77-AE12-EF07242D099A}"/>
  <bookViews>
    <workbookView xWindow="-120" yWindow="-120" windowWidth="29040" windowHeight="15720" firstSheet="7" activeTab="12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/>
  <c r="S4" i="12"/>
  <c r="T4" i="11"/>
  <c r="U4" i="11"/>
  <c r="S4" i="11"/>
  <c r="T4" i="10"/>
  <c r="U4" i="10"/>
  <c r="S4" i="10"/>
  <c r="T4" i="9"/>
  <c r="U4" i="9"/>
  <c r="S4" i="9"/>
  <c r="T4" i="8"/>
  <c r="U4" i="8"/>
  <c r="S4" i="8"/>
  <c r="T4" i="7"/>
  <c r="U4" i="7"/>
  <c r="S4" i="7"/>
  <c r="T4" i="6"/>
  <c r="U4" i="6"/>
  <c r="S4" i="6"/>
  <c r="T4" i="5"/>
  <c r="U4" i="5"/>
  <c r="S4" i="5"/>
  <c r="T4" i="4"/>
  <c r="U4" i="4"/>
  <c r="S4" i="4"/>
  <c r="T4" i="1"/>
  <c r="S4" i="1"/>
  <c r="U4" i="1"/>
</calcChain>
</file>

<file path=xl/sharedStrings.xml><?xml version="1.0" encoding="utf-8"?>
<sst xmlns="http://schemas.openxmlformats.org/spreadsheetml/2006/main" count="366" uniqueCount="27">
  <si>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</si>
  <si>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</si>
  <si>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</si>
  <si>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</si>
  <si>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</si>
  <si>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</si>
  <si>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</si>
  <si>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</si>
  <si>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</si>
  <si>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</si>
  <si>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</si>
  <si>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</si>
  <si>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</si>
  <si>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</si>
  <si>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</si>
  <si>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</si>
  <si>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</si>
  <si>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</si>
  <si>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</si>
  <si>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</si>
  <si>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</si>
  <si>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</si>
  <si>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Jerry</t>
  </si>
  <si>
    <t>Ana Maria</t>
  </si>
  <si>
    <t>Internal</t>
  </si>
  <si>
    <t>External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</si>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</sst>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BD7C4D-6AC9-477A-B567-FD4A89C1A13B}" name="TagsRA10" displayName="TagsRA10" ref="A1:P442" totalsRowShown="0" headerRowDxfId="53" tableBorderDxfId="52">
  <autoFilter ref="A1:P442" xr:uid="{4D85A389-B6F7-470C-AA91-6FB3DD16320D}"/>
  <tableColumns count="16">
    <tableColumn id="1" xr3:uid="{AA379F5F-DF01-422E-872C-1C0676484B14}" name="Unit No." dataDxfId="51"/>
    <tableColumn id="2" xr3:uid="{90892487-D032-4C9A-B4C9-3F1F0B257C18}" name="DATE" dataDxfId="50"/>
    <tableColumn id="3" xr3:uid="{9ECFE21D-2AB3-4387-ACA4-36945EF495A7}" name="Status" dataDxfId="49"/>
    <tableColumn id="4" xr3:uid="{C9638A9D-9B63-4163-8459-92E51E875F4E}" name="Number of cars affected by graffiti/shadows on this unit" dataDxfId="48"/>
    <tableColumn id="5" xr3:uid="{51F6C311-FC64-43E6-9415-A0DB84F09D83}" name="Total Number of Tags found" dataDxfId="47"/>
    <tableColumn id="6" xr3:uid="{27AB0A2A-751F-4286-8BE4-EF578576F1BC}" name="Total Tags Removed / Cleaned" dataDxfId="46"/>
    <tableColumn id="7" xr3:uid="{37823E18-5DBF-4F70-8B0E-50673FA51D17}" name="Total Tags Not Cleaned on this Unit" dataDxfId="45"/>
    <tableColumn id="8" xr3:uid="{37B442A6-BDE8-41E0-8B53-FF2B3C62263F}" name="Car Number (s)  of Tags not cleaned (shadows)" dataDxfId="44"/>
    <tableColumn id="9" xr3:uid="{7823BFCD-9BC0-4376-933D-209F502A7FA3}" name="Date of 2nd visit to clean remaining tags" dataDxfId="43"/>
    <tableColumn id="10" xr3:uid="{326E4950-CB16-4F18-8F94-E35D5C7FBD77}" name="Number of tags removed" dataDxfId="42"/>
    <tableColumn id="11" xr3:uid="{9D185E5A-1153-418E-A450-42F43884336A}" name="Date of 3rd visit to clean remaining tags" dataDxfId="41"/>
    <tableColumn id="12" xr3:uid="{E53D308A-2B10-4F8E-8AFC-EA47B6C32B70}" name="Number of tags removed2" dataDxfId="40"/>
    <tableColumn id="13" xr3:uid="{12C714D5-74B3-4923-A4F1-D8BB115E6C6B}" name="Train Inspected and Fit for service    (Y/N)" dataDxfId="39"/>
    <tableColumn id="14" xr3:uid="{CCE33735-3328-4FD8-AB4F-E266AB722299}" name="Inspected by Supervisor/Manager (Name)" dataDxfId="38"/>
    <tableColumn id="15" xr3:uid="{FF10D7C1-77BC-483F-BB06-24EEFEF0F50C}" name="Date of Completing all shadows (Tags) on this Unit excluding acid etched shadows" dataDxfId="37"/>
    <tableColumn id="16" xr3:uid="{344C2485-B40B-49FA-80DE-C872468492BC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91A8A3-3BB4-48F4-B0A8-323362ED2C72}" name="TagsRA11" displayName="TagsRA11" ref="A1:P442" totalsRowShown="0" headerRowDxfId="35" tableBorderDxfId="34">
  <autoFilter ref="A1:P442" xr:uid="{4D85A389-B6F7-470C-AA91-6FB3DD16320D}"/>
  <tableColumns count="16">
    <tableColumn id="1" xr3:uid="{53A392B4-A36A-410E-8525-C3B7AFE54AAD}" name="Unit No." dataDxfId="33"/>
    <tableColumn id="2" xr3:uid="{B2BAB18B-7A21-45B4-8110-A39D21DE01F9}" name="DATE" dataDxfId="32"/>
    <tableColumn id="3" xr3:uid="{FDEFB6D3-A9F1-4AF0-9F40-BD2D8EE7BAD9}" name="Status" dataDxfId="31"/>
    <tableColumn id="4" xr3:uid="{2E59A7C7-838F-4176-9FF3-BF1BE396FE71}" name="Number of cars affected by graffiti/shadows on this unit" dataDxfId="30"/>
    <tableColumn id="5" xr3:uid="{07FAEE5F-38BD-4280-AB11-0DC272B88DD2}" name="Total Number of Tags found" dataDxfId="29"/>
    <tableColumn id="6" xr3:uid="{CA2A071F-BFE8-4A4C-B21E-9956FF43787F}" name="Total Tags Removed / Cleaned" dataDxfId="28"/>
    <tableColumn id="7" xr3:uid="{A2DEB837-CF65-4DCD-80F8-A75AF17C8D6C}" name="Total Tags Not Cleaned on this Unit" dataDxfId="27"/>
    <tableColumn id="8" xr3:uid="{15A58D05-8BBD-448F-9733-971D1A2669CD}" name="Car Number (s)  of Tags not cleaned (shadows)" dataDxfId="26"/>
    <tableColumn id="9" xr3:uid="{5830CDF2-E527-4BA1-BF91-3048049D1542}" name="Date of 2nd visit to clean remaining tags" dataDxfId="25"/>
    <tableColumn id="10" xr3:uid="{B044B1E3-904F-40B5-8AA3-1E5BEA229FCE}" name="Number of tags removed" dataDxfId="24"/>
    <tableColumn id="11" xr3:uid="{086355D2-7758-4CFC-A64A-08DC2AEDCE52}" name="Date of 3rd visit to clean remaining tags" dataDxfId="23"/>
    <tableColumn id="12" xr3:uid="{931D04E5-CDE0-4866-A1CF-F15500FD54D0}" name="Number of tags removed2" dataDxfId="22"/>
    <tableColumn id="13" xr3:uid="{68E73054-1E2A-439E-B834-3D0280E113DC}" name="Train Inspected and Fit for service    (Y/N)" dataDxfId="21"/>
    <tableColumn id="14" xr3:uid="{F5913904-D139-4A6B-A991-C7C01AEC14B8}" name="Inspected by Supervisor/Manager (Name)" dataDxfId="20"/>
    <tableColumn id="15" xr3:uid="{F4945291-3CE5-4FA9-8D39-3399A5382B5D}" name="Date of Completing all shadows (Tags) on this Unit excluding acid etched shadows" dataDxfId="19"/>
    <tableColumn id="16" xr3:uid="{F0C38973-F08B-44A3-B14A-4E681BC4B22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9CE641-C674-4901-859B-A98954EE7E8B}" name="TagsRA12" displayName="TagsRA12" ref="A1:P442" totalsRowShown="0" headerRowDxfId="17" tableBorderDxfId="16">
  <autoFilter ref="A1:P442" xr:uid="{4D85A389-B6F7-470C-AA91-6FB3DD16320D}"/>
  <tableColumns count="16">
    <tableColumn id="1" xr3:uid="{4996FFE8-0B8D-4FC0-84CD-660ADC3B32A6}" name="Unit No." dataDxfId="15"/>
    <tableColumn id="2" xr3:uid="{595E1E12-A24A-4FBC-96B2-080C59429E43}" name="DATE" dataDxfId="14"/>
    <tableColumn id="3" xr3:uid="{6AD27AE6-8A69-41FB-9960-0E0605C0B6F2}" name="Status" dataDxfId="13"/>
    <tableColumn id="4" xr3:uid="{A9D908A6-EC10-43DD-9F2C-E59C0405A49A}" name="Number of cars affected by graffiti/shadows on this unit" dataDxfId="12"/>
    <tableColumn id="5" xr3:uid="{2D25A5D1-1524-4DA4-AA49-0FBB4D3A3187}" name="Total Number of Tags found" dataDxfId="11"/>
    <tableColumn id="6" xr3:uid="{80734A12-C2A8-4348-8A0D-C2308030F44D}" name="Total Tags Removed / Cleaned" dataDxfId="10"/>
    <tableColumn id="7" xr3:uid="{01E4411B-A6EA-47A8-839E-F8C80239C6FF}" name="Total Tags Not Cleaned on this Unit" dataDxfId="9"/>
    <tableColumn id="8" xr3:uid="{7D7DBC21-57A8-4FA4-A5EC-553160DE34ED}" name="Car Number (s)  of Tags not cleaned (shadows)" dataDxfId="8"/>
    <tableColumn id="9" xr3:uid="{72AE6FCC-81AE-4DCC-8E67-4AB9847F3E89}" name="Date of 2nd visit to clean remaining tags" dataDxfId="7"/>
    <tableColumn id="10" xr3:uid="{0EAC95FB-FAD8-4067-824E-F46F58519D5A}" name="Number of tags removed" dataDxfId="6"/>
    <tableColumn id="11" xr3:uid="{D399B63C-606F-4AE8-9B60-E3549C1DD111}" name="Date of 3rd visit to clean remaining tags" dataDxfId="5"/>
    <tableColumn id="12" xr3:uid="{502D0F55-3857-4479-A83A-EA9242A888BD}" name="Number of tags removed2" dataDxfId="4"/>
    <tableColumn id="13" xr3:uid="{CCBEC332-8E99-45AB-BEB6-A914A864F531}" name="Train Inspected and Fit for service    (Y/N)" dataDxfId="3"/>
    <tableColumn id="14" xr3:uid="{049EA90E-0A15-40FD-B923-28E97B6BA907}" name="Inspected by Supervisor/Manager (Name)" dataDxfId="2"/>
    <tableColumn id="15" xr3:uid="{44589BBC-1D51-4162-8531-4D3E30987BB6}" name="Date of Completing all shadows (Tags) on this Unit excluding acid etched shadows" dataDxfId="1"/>
    <tableColumn id="16" xr3:uid="{AC3EAFBD-A56A-4245-8BAA-530819B0190E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workbookViewId="0">
      <pane xSplit="1" ySplit="1" topLeftCell="B321" activePane="bottomRight" state="frozen"/>
      <selection pane="topRight"/>
      <selection pane="bottomLeft"/>
      <selection pane="bottomRight" activeCell="N332" sqref="N33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2</v>
      </c>
      <c r="U4" s="22">
        <f>T4/S4</f>
        <v>4.5351473922902496E-3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>
        <v>45959</v>
      </c>
      <c r="C23" s="12" t="s">
        <v>24</v>
      </c>
      <c r="D23" s="31">
        <v>1</v>
      </c>
      <c r="E23" s="31">
        <v>3</v>
      </c>
      <c r="F23" s="31">
        <v>3</v>
      </c>
      <c r="G23" s="31">
        <v>0</v>
      </c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/>
      <c r="D25" s="31">
        <v>1</v>
      </c>
      <c r="E25" s="31">
        <v>10</v>
      </c>
      <c r="F25" s="31">
        <v>10</v>
      </c>
      <c r="G25" s="31">
        <v>0</v>
      </c>
      <c r="H25" s="31">
        <v>0</v>
      </c>
      <c r="I25" s="14"/>
      <c r="J25" s="31"/>
      <c r="K25" s="14"/>
      <c r="L25" s="31"/>
      <c r="M25" s="13" t="s">
        <v>21</v>
      </c>
      <c r="N25" s="15" t="s">
        <v>22</v>
      </c>
      <c r="O25" s="11">
        <v>45956</v>
      </c>
      <c r="P25" s="33">
        <v>0</v>
      </c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>
        <v>45959</v>
      </c>
      <c r="C27" s="12" t="s">
        <v>24</v>
      </c>
      <c r="D27" s="31">
        <v>1</v>
      </c>
      <c r="E27" s="31">
        <v>1</v>
      </c>
      <c r="F27" s="31">
        <v>1</v>
      </c>
      <c r="G27" s="31">
        <v>0</v>
      </c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>
        <v>45959</v>
      </c>
      <c r="C44" s="12" t="s">
        <v>24</v>
      </c>
      <c r="D44" s="31">
        <v>1</v>
      </c>
      <c r="E44" s="31">
        <v>2</v>
      </c>
      <c r="F44" s="31">
        <v>2</v>
      </c>
      <c r="G44" s="31">
        <v>0</v>
      </c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23</v>
      </c>
      <c r="O57" s="11">
        <v>45947</v>
      </c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>
        <v>45959</v>
      </c>
      <c r="C88" s="12" t="s">
        <v>24</v>
      </c>
      <c r="D88" s="32">
        <v>1</v>
      </c>
      <c r="E88" s="32">
        <v>2</v>
      </c>
      <c r="F88" s="32">
        <v>2</v>
      </c>
      <c r="G88" s="32">
        <v>0</v>
      </c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24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>
        <v>45960</v>
      </c>
      <c r="C151" s="12" t="s">
        <v>24</v>
      </c>
      <c r="D151" s="32">
        <v>1</v>
      </c>
      <c r="E151" s="32">
        <v>2</v>
      </c>
      <c r="F151" s="32">
        <v>2</v>
      </c>
      <c r="G151" s="32">
        <v>0</v>
      </c>
      <c r="H151" s="32"/>
      <c r="I151" s="27"/>
      <c r="J151" s="32"/>
      <c r="K151" s="27"/>
      <c r="L151" s="32"/>
      <c r="M151" s="26"/>
      <c r="N151" s="28" t="s">
        <v>23</v>
      </c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>
        <v>45959</v>
      </c>
      <c r="C163" s="12" t="s">
        <v>24</v>
      </c>
      <c r="D163" s="32">
        <v>1</v>
      </c>
      <c r="E163" s="32">
        <v>1</v>
      </c>
      <c r="F163" s="32">
        <v>1</v>
      </c>
      <c r="G163" s="32">
        <v>0</v>
      </c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>
        <v>45946</v>
      </c>
      <c r="C199" s="12"/>
      <c r="D199" s="32">
        <v>1</v>
      </c>
      <c r="E199" s="32">
        <v>2</v>
      </c>
      <c r="F199" s="32">
        <v>2</v>
      </c>
      <c r="G199" s="32">
        <v>0</v>
      </c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>
        <v>0</v>
      </c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>
        <v>45947</v>
      </c>
      <c r="C311" s="12" t="s">
        <v>24</v>
      </c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23</v>
      </c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>
        <v>45959</v>
      </c>
      <c r="C324" s="12" t="s">
        <v>24</v>
      </c>
      <c r="D324" s="32">
        <v>1</v>
      </c>
      <c r="E324" s="32">
        <v>3</v>
      </c>
      <c r="F324" s="32">
        <v>3</v>
      </c>
      <c r="G324" s="32">
        <v>0</v>
      </c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>
        <v>45960</v>
      </c>
      <c r="C332" s="12" t="s">
        <v>24</v>
      </c>
      <c r="D332" s="32">
        <v>1</v>
      </c>
      <c r="E332" s="32">
        <v>2</v>
      </c>
      <c r="F332" s="32">
        <v>2</v>
      </c>
      <c r="G332" s="32">
        <v>0</v>
      </c>
      <c r="H332" s="32"/>
      <c r="I332" s="27"/>
      <c r="J332" s="32"/>
      <c r="K332" s="27"/>
      <c r="L332" s="32"/>
      <c r="M332" s="26"/>
      <c r="N332" s="28" t="s">
        <v>22</v>
      </c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>
        <v>45959</v>
      </c>
      <c r="C392" s="12" t="s">
        <v>24</v>
      </c>
      <c r="D392" s="32">
        <v>1</v>
      </c>
      <c r="E392" s="32">
        <v>3</v>
      </c>
      <c r="F392" s="32">
        <v>3</v>
      </c>
      <c r="G392" s="32">
        <v>0</v>
      </c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45947</v>
      </c>
      <c r="C401" s="12" t="s">
        <v>24</v>
      </c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23</v>
      </c>
      <c r="O401" s="11"/>
      <c r="P401" s="34"/>
    </row>
    <row r="402" spans="1:16" x14ac:dyDescent="0.25">
      <c r="A402" s="29">
        <v>96445</v>
      </c>
      <c r="B402" s="11">
        <v>45959</v>
      </c>
      <c r="C402" s="12" t="s">
        <v>24</v>
      </c>
      <c r="D402" s="32">
        <v>1</v>
      </c>
      <c r="E402" s="32">
        <v>1</v>
      </c>
      <c r="F402" s="32">
        <v>1</v>
      </c>
      <c r="G402" s="32">
        <v>0</v>
      </c>
      <c r="H402" s="32"/>
      <c r="I402" s="27"/>
      <c r="J402" s="32"/>
      <c r="K402" s="27"/>
      <c r="L402" s="32"/>
      <c r="M402" s="26"/>
      <c r="N402" s="28" t="s">
        <v>23</v>
      </c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 t="s">
        <v>24</v>
      </c>
      <c r="D416" s="32">
        <v>1</v>
      </c>
      <c r="E416" s="32">
        <v>1</v>
      </c>
      <c r="F416" s="32">
        <v>1</v>
      </c>
      <c r="G416" s="32">
        <v>0</v>
      </c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>
        <v>45960</v>
      </c>
      <c r="C430" s="12" t="s">
        <v>24</v>
      </c>
      <c r="D430" s="32">
        <v>1</v>
      </c>
      <c r="E430" s="32">
        <v>2</v>
      </c>
      <c r="F430" s="32">
        <v>2</v>
      </c>
      <c r="G430" s="32">
        <v>0</v>
      </c>
      <c r="H430" s="32"/>
      <c r="I430" s="27"/>
      <c r="J430" s="32"/>
      <c r="K430" s="27"/>
      <c r="L430" s="32"/>
      <c r="M430" s="26"/>
      <c r="N430" s="28" t="s">
        <v>23</v>
      </c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>
        <v>45959</v>
      </c>
      <c r="C434" s="12" t="s">
        <v>24</v>
      </c>
      <c r="D434" s="32">
        <v>1</v>
      </c>
      <c r="E434" s="32">
        <v>1</v>
      </c>
      <c r="F434" s="32">
        <v>1</v>
      </c>
      <c r="G434" s="32">
        <v>0</v>
      </c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topLeftCell="A354" workbookViewId="0">
      <selection activeCell="F375" sqref="F37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45959</v>
      </c>
      <c r="C375" s="12" t="s">
        <v>26</v>
      </c>
      <c r="D375" s="32">
        <v>1</v>
      </c>
      <c r="E375" s="32">
        <v>2</v>
      </c>
      <c r="F375" s="32">
        <v>2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topLeftCell="A88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topLeftCell="A104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topLeftCell="A90" workbookViewId="0">
      <selection activeCell="B110" sqref="B110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topLeftCell="A100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topLeftCell="A94" workbookViewId="0">
      <selection activeCell="B110" sqref="B109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topLeftCell="A103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topLeftCell="A94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topLeftCell="A360" workbookViewId="0">
      <selection activeCell="I383" sqref="I38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>
        <v>45958</v>
      </c>
      <c r="C13" s="12" t="s">
        <v>24</v>
      </c>
      <c r="D13" s="31">
        <v>1</v>
      </c>
      <c r="E13" s="31">
        <v>2</v>
      </c>
      <c r="F13" s="31">
        <v>2</v>
      </c>
      <c r="G13" s="31">
        <v>0</v>
      </c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 t="s">
        <v>24</v>
      </c>
      <c r="D25" s="31">
        <v>1</v>
      </c>
      <c r="E25" s="31">
        <v>3</v>
      </c>
      <c r="F25" s="31">
        <v>3</v>
      </c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>
        <v>45958</v>
      </c>
      <c r="C168" s="12" t="s">
        <v>24</v>
      </c>
      <c r="D168" s="32">
        <v>1</v>
      </c>
      <c r="E168" s="32">
        <v>1</v>
      </c>
      <c r="F168" s="32">
        <v>1</v>
      </c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>
        <v>45956</v>
      </c>
      <c r="C240" s="12" t="s">
        <v>24</v>
      </c>
      <c r="D240" s="32">
        <v>1</v>
      </c>
      <c r="E240" s="32">
        <v>2</v>
      </c>
      <c r="F240" s="32">
        <v>2</v>
      </c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>
        <v>45958</v>
      </c>
      <c r="C342" s="12" t="s">
        <v>24</v>
      </c>
      <c r="D342" s="32">
        <v>1</v>
      </c>
      <c r="E342" s="32">
        <v>3</v>
      </c>
      <c r="F342" s="32">
        <v>3</v>
      </c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45958</v>
      </c>
      <c r="C401" s="12" t="s">
        <v>24</v>
      </c>
      <c r="D401" s="32">
        <v>1</v>
      </c>
      <c r="E401" s="32">
        <v>3</v>
      </c>
      <c r="F401" s="32">
        <v>3</v>
      </c>
      <c r="G401" s="32">
        <v>0</v>
      </c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03VKkHbEM0iATo+BOk/vEpYpI9ZH3Z6XZUmrK57v0XcVwJlj+hLAn1CxoxtAXQImiTaQtZ/RZ4jf3NwKRoxJng==" saltValue="N4VDcKHMdctRr33bO1K5M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922E-FD5A-4056-B794-7389B8C409D2}">
  <dimension ref="A1:U576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HU42H4sZMxwz6AIwkX3yQudlaJBoLzdDcVRuHQ19vHAu3pJImDTOT4+Qdkk8/XsNNy5WSRdw1kfHmXCEXbBg9w==" saltValue="HmVUs/Hda8oVSAvQmWKIo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0B4913B-58B3-470F-B065-A200689917A8}">
      <formula1>45658</formula1>
    </dataValidation>
    <dataValidation type="whole" operator="greaterThanOrEqual" allowBlank="1" showInputMessage="1" showErrorMessage="1" sqref="P2:P442 D2:H442 J2:J442 L2:L442" xr:uid="{ED7AA5E8-3462-4D4D-9EAF-D91778DDE7F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F7BF-3D77-4B3A-8BD7-2509A9BCB880}">
  <dimension ref="A1:U576"/>
  <sheetViews>
    <sheetView topLeftCell="B1" workbookViewId="0">
      <selection activeCell="C8" sqref="C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g12Njsy/vUZjBnZP75kLY1K+nVSEhcLca566rz5llIUWYs2isQ2qa9/OOnN0FqgRxiRrJIN1/zVVmXUhJCCcrw==" saltValue="s4ZEswfaJzHDll+tCnjy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466E599F-2DB4-4400-97E3-38160B541C91}">
      <formula1>0</formula1>
    </dataValidation>
    <dataValidation type="date" operator="greaterThanOrEqual" allowBlank="1" showInputMessage="1" showErrorMessage="1" sqref="B2:B442 I2:I442 K2:K442 O2:O442" xr:uid="{524E2490-0AF0-4C8E-9B70-6166DD4D250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A82D-D6B2-4099-BD51-9442F4DA9198}">
  <dimension ref="A1:U576"/>
  <sheetViews>
    <sheetView tabSelected="1" topLeftCell="B1" workbookViewId="0">
      <selection activeCell="D10" sqref="D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pgRzavFawoPt5K9UxXI0xOBH19ALCpmpMlyjlABsic6lGpgoPnvXND5omD5OFXgLAMIe0vH7QBI9uHB3Xcob/g==" saltValue="+MNZWvzFOzevW/FmY+Wk2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FEB1D797-64E1-4572-8E9A-1446B0334A9C}">
      <formula1>45658</formula1>
    </dataValidation>
    <dataValidation type="whole" operator="greaterThanOrEqual" allowBlank="1" showInputMessage="1" showErrorMessage="1" sqref="P2:P442 D2:H442 J2:J442 L2:L442" xr:uid="{F6B2C0CA-85AD-44CC-95BD-C6E1CFC944FF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06272F-D7DA-41E1-A8ED-E2B6BC996152}">
  <ds:schemaRefs>
    <ds:schemaRef ds:uri="http://purl.org/dc/elements/1.1/"/>
    <ds:schemaRef ds:uri="d5486727-c7ef-48ef-8f67-294a70abf30d"/>
    <ds:schemaRef ds:uri="http://purl.org/dc/dcmitype/"/>
    <ds:schemaRef ds:uri="http://schemas.microsoft.com/office/2006/documentManagement/types"/>
    <ds:schemaRef ds:uri="http://purl.org/dc/terms/"/>
    <ds:schemaRef ds:uri="f09d0ae9-c6ff-4e57-bd1f-955be6ad47ac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46E6AD-B357-4E02-AE83-CBF4B8AD9C7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09d0ae9-c6ff-4e57-bd1f-955be6ad47ac"/>
    <ds:schemaRef ds:uri="d5486727-c7ef-48ef-8f67-294a70abf30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2025-10-31T15:30:09Z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