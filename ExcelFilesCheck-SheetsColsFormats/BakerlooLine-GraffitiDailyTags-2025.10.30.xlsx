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580" documentId="13_ncr:1_{396C4AB3-B9B8-4642-B625-64F39B46BC53}" xr6:coauthVersionLast="47" xr6:coauthVersionMax="47" xr10:uidLastSave="{C02B39C1-60F4-4693-AA36-B98050A31A16}"/>
  <bookViews>
    <workbookView xWindow="-1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<sst xmlns="http://schemas.openxmlformats.org/spreadsheetml/2006/main" count="1096" uniqueCount="35">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</sst>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0BFE66-08EA-42D1-A15F-F630463D52B0}" name="TagsRA11" displayName="TagsRA11" ref="A1:P73" totalsRowShown="0" headerRowDxfId="35" tableBorderDxfId="34">
  <autoFilter ref="A1:P73" xr:uid="{30E73D74-4515-4083-9342-4DA04CAF52D8}"/>
  <tableColumns count="16">
    <tableColumn id="1" xr3:uid="{4BE01FA9-8A41-40C3-A217-9BD70D602A0A}" name="Unit No." dataDxfId="33"/>
    <tableColumn id="2" xr3:uid="{E83A4A98-9DC6-4C9E-9869-55192172108A}" name="DATE" dataDxfId="32"/>
    <tableColumn id="3" xr3:uid="{DF2C43B1-B63F-4AAB-9A93-C22651D8DAD7}" name="Status" dataDxfId="31"/>
    <tableColumn id="4" xr3:uid="{D318E72D-DD13-4377-A419-D5118E1F7147}" name="Number of cars affected by graffiti/shadows on this unit" dataDxfId="30"/>
    <tableColumn id="5" xr3:uid="{C6B0DEB1-4600-4241-89BA-22EA2E9EE482}" name="Total Number of Tags found" dataDxfId="29"/>
    <tableColumn id="6" xr3:uid="{C99CA233-E143-45E7-9863-4B933DF10433}" name="Total Tags Removed / Cleaned" dataDxfId="28"/>
    <tableColumn id="7" xr3:uid="{FD8310F0-7E3A-411B-AC76-F417304426C4}" name="Total Tags Not Cleaned on this Unit" dataDxfId="27"/>
    <tableColumn id="8" xr3:uid="{DA0AA8F9-E2C2-4CA4-A7DC-70B31CAD7006}" name="Car Number (s)  of Tags not cleaned (shadows)" dataDxfId="26"/>
    <tableColumn id="9" xr3:uid="{1FBE74A9-3E62-4E36-8A8F-FD2D3BC5EAFF}" name="Date of 2nd visit to clean remaining tags" dataDxfId="25"/>
    <tableColumn id="10" xr3:uid="{DE026A54-AFD7-4F7E-8261-FA70C14DD766}" name="Number of tags removed" dataDxfId="24"/>
    <tableColumn id="11" xr3:uid="{7889A2DC-375C-484B-BEF6-60647D3688CF}" name="Date of 3rd visit to clean remaining tags" dataDxfId="23"/>
    <tableColumn id="12" xr3:uid="{63620FC1-791D-4F42-AE0A-1914F8444C23}" name="Number of tags removed2" dataDxfId="22"/>
    <tableColumn id="13" xr3:uid="{BA97DFAB-9005-4937-8EE6-F62AADF0C20D}" name="Train Inspected and Fit for service    (Y/N)" dataDxfId="21"/>
    <tableColumn id="14" xr3:uid="{DC7D172E-D8E7-40CC-A8BF-D0D9AE80370F}" name="Inspected by Supervisor/Manager (Name)" dataDxfId="20"/>
    <tableColumn id="15" xr3:uid="{7DD2E436-24C8-46BC-B68B-D145F9866007}" name="Date of Completing all shadows (Tags) on this Unit excluding acid etched shadows" dataDxfId="19"/>
    <tableColumn id="16" xr3:uid="{B9C7A0FC-FA2F-45CD-99BC-2BBA1CF4440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22A180-2767-462C-B9EA-3B155CD89F6C}" name="TagsRA12" displayName="TagsRA12" ref="A1:P73" totalsRowShown="0" headerRowDxfId="17" tableBorderDxfId="16">
  <autoFilter ref="A1:P73" xr:uid="{30E73D74-4515-4083-9342-4DA04CAF52D8}"/>
  <tableColumns count="16">
    <tableColumn id="1" xr3:uid="{B65DF3CF-F7D7-4D9B-B1D1-3B59000AD349}" name="Unit No." dataDxfId="15"/>
    <tableColumn id="2" xr3:uid="{808C7654-4C9A-4971-8A12-4F86C0680BA1}" name="DATE" dataDxfId="14"/>
    <tableColumn id="3" xr3:uid="{1A08FD73-A197-4CDA-B5F0-1B30A2DF79B6}" name="Status" dataDxfId="13"/>
    <tableColumn id="4" xr3:uid="{32D2DCC6-5563-4EDB-8E22-C83875EA96EB}" name="Number of cars affected by graffiti/shadows on this unit" dataDxfId="12"/>
    <tableColumn id="5" xr3:uid="{14A583C5-AD6B-4CF3-AE87-012C92921B79}" name="Total Number of Tags found" dataDxfId="11"/>
    <tableColumn id="6" xr3:uid="{F69A8612-C441-49CD-87CD-DD6480E5B470}" name="Total Tags Removed / Cleaned" dataDxfId="10"/>
    <tableColumn id="7" xr3:uid="{83ED0424-0624-49A0-9A50-14CC99825F21}" name="Total Tags Not Cleaned on this Unit" dataDxfId="9"/>
    <tableColumn id="8" xr3:uid="{BDB89543-1F40-458F-A957-5A5911A88FC4}" name="Car Number (s)  of Tags not cleaned (shadows)" dataDxfId="8"/>
    <tableColumn id="9" xr3:uid="{CCFF2B94-5B29-46FC-9AC9-4A37609E3FF2}" name="Date of 2nd visit to clean remaining tags" dataDxfId="7"/>
    <tableColumn id="10" xr3:uid="{96686CCB-0B3A-437B-A190-336783C47DEA}" name="Number of tags removed" dataDxfId="6"/>
    <tableColumn id="11" xr3:uid="{E0B2AC55-2ABF-4188-86AF-DBAD8B5E6757}" name="Date of 3rd visit to clean remaining tags" dataDxfId="5"/>
    <tableColumn id="12" xr3:uid="{7C736CA7-5FED-483A-8B1E-B31F98BABE45}" name="Number of tags removed2" dataDxfId="4"/>
    <tableColumn id="13" xr3:uid="{44135605-1D16-4A0D-B215-0FF558214D02}" name="Train Inspected and Fit for service    (Y/N)" dataDxfId="3"/>
    <tableColumn id="14" xr3:uid="{73281F92-7904-4855-8562-A9D1D37707CE}" name="Inspected by Supervisor/Manager (Name)" dataDxfId="2"/>
    <tableColumn id="15" xr3:uid="{30595DE0-B47F-45F2-989E-E23B2CFC6F77}" name="Date of Completing all shadows (Tags) on this Unit excluding acid etched shadows" dataDxfId="1"/>
    <tableColumn id="16" xr3:uid="{2DF9927D-6D05-48C9-AE9B-558DF8DAF62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4" workbookViewId="0">
      <selection activeCell="N12" sqref="N12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 x14ac:dyDescent="0.35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 x14ac:dyDescent="0.3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 x14ac:dyDescent="0.3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 x14ac:dyDescent="0.3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 x14ac:dyDescent="0.3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 x14ac:dyDescent="0.3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 x14ac:dyDescent="0.3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 x14ac:dyDescent="0.3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 x14ac:dyDescent="0.3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 x14ac:dyDescent="0.3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 x14ac:dyDescent="0.3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 x14ac:dyDescent="0.3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 x14ac:dyDescent="0.3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 x14ac:dyDescent="0.3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 x14ac:dyDescent="0.3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 x14ac:dyDescent="0.3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 x14ac:dyDescent="0.3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 x14ac:dyDescent="0.3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 x14ac:dyDescent="0.3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 x14ac:dyDescent="0.3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 x14ac:dyDescent="0.3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 x14ac:dyDescent="0.3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 x14ac:dyDescent="0.3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 x14ac:dyDescent="0.3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 x14ac:dyDescent="0.3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 x14ac:dyDescent="0.3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 x14ac:dyDescent="0.3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 x14ac:dyDescent="0.3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 x14ac:dyDescent="0.3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 x14ac:dyDescent="0.3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 x14ac:dyDescent="0.3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 x14ac:dyDescent="0.3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 x14ac:dyDescent="0.3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 x14ac:dyDescent="0.3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 x14ac:dyDescent="0.3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 x14ac:dyDescent="0.3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 x14ac:dyDescent="0.3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 x14ac:dyDescent="0.3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 x14ac:dyDescent="0.3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 x14ac:dyDescent="0.3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 x14ac:dyDescent="0.3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 x14ac:dyDescent="0.3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 x14ac:dyDescent="0.3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 x14ac:dyDescent="0.3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 x14ac:dyDescent="0.3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 x14ac:dyDescent="0.3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 x14ac:dyDescent="0.3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 x14ac:dyDescent="0.3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 x14ac:dyDescent="0.3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 x14ac:dyDescent="0.3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 x14ac:dyDescent="0.3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 x14ac:dyDescent="0.3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 x14ac:dyDescent="0.3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 x14ac:dyDescent="0.3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 x14ac:dyDescent="0.3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 x14ac:dyDescent="0.3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 x14ac:dyDescent="0.3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.75" x14ac:dyDescent="0.3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.75" x14ac:dyDescent="0.3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.75" x14ac:dyDescent="0.3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.75" x14ac:dyDescent="0.3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.75" x14ac:dyDescent="0.3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 x14ac:dyDescent="0.25">
      <c r="A75" s="27" t="s">
        <v>26</v>
      </c>
      <c r="B75" s="28"/>
    </row>
    <row r="76" spans="1:16" ht="30" x14ac:dyDescent="0.25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D23" workbookViewId="0">
      <selection activeCell="O39" sqref="O39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 x14ac:dyDescent="0.3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65</v>
      </c>
      <c r="U4" s="16">
        <f>T4/S4</f>
        <v>0.90277777777777779</v>
      </c>
    </row>
    <row r="5" spans="1:21" ht="15" customHeight="1" x14ac:dyDescent="0.3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 x14ac:dyDescent="0.3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 x14ac:dyDescent="0.3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 x14ac:dyDescent="0.3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 x14ac:dyDescent="0.3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 x14ac:dyDescent="0.3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 x14ac:dyDescent="0.3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 x14ac:dyDescent="0.3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 x14ac:dyDescent="0.3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 x14ac:dyDescent="0.3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 x14ac:dyDescent="0.3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 x14ac:dyDescent="0.3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 x14ac:dyDescent="0.3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 x14ac:dyDescent="0.3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 x14ac:dyDescent="0.3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 x14ac:dyDescent="0.3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 x14ac:dyDescent="0.3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 x14ac:dyDescent="0.3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 x14ac:dyDescent="0.3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 x14ac:dyDescent="0.3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 x14ac:dyDescent="0.3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 x14ac:dyDescent="0.3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 x14ac:dyDescent="0.3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 x14ac:dyDescent="0.3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 x14ac:dyDescent="0.3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 x14ac:dyDescent="0.3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 x14ac:dyDescent="0.3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 x14ac:dyDescent="0.3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 x14ac:dyDescent="0.3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 x14ac:dyDescent="0.3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 x14ac:dyDescent="0.3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5">
        <v>45960</v>
      </c>
      <c r="C41" s="8"/>
      <c r="D41" s="59">
        <v>1</v>
      </c>
      <c r="E41" s="59">
        <v>24</v>
      </c>
      <c r="F41" s="59">
        <v>24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45960</v>
      </c>
      <c r="P41" s="61">
        <v>3534</v>
      </c>
    </row>
    <row r="42" spans="1:16" ht="15" customHeight="1" x14ac:dyDescent="0.3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 x14ac:dyDescent="0.3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 x14ac:dyDescent="0.3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 x14ac:dyDescent="0.3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 x14ac:dyDescent="0.3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 x14ac:dyDescent="0.3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 x14ac:dyDescent="0.3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 x14ac:dyDescent="0.3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 x14ac:dyDescent="0.3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 x14ac:dyDescent="0.3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 x14ac:dyDescent="0.3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 x14ac:dyDescent="0.3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 x14ac:dyDescent="0.3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 x14ac:dyDescent="0.3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 x14ac:dyDescent="0.3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 x14ac:dyDescent="0.3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 x14ac:dyDescent="0.3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 x14ac:dyDescent="0.3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 x14ac:dyDescent="0.3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 x14ac:dyDescent="0.3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 x14ac:dyDescent="0.3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 x14ac:dyDescent="0.3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 x14ac:dyDescent="0.3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 x14ac:dyDescent="0.3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 x14ac:dyDescent="0.3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.75" x14ac:dyDescent="0.3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.75" x14ac:dyDescent="0.3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.75" x14ac:dyDescent="0.3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.75" x14ac:dyDescent="0.3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.75" x14ac:dyDescent="0.3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.75" x14ac:dyDescent="0.3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5"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 x14ac:dyDescent="0.3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 x14ac:dyDescent="0.3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 x14ac:dyDescent="0.3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 x14ac:dyDescent="0.3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 x14ac:dyDescent="0.3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 x14ac:dyDescent="0.3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 x14ac:dyDescent="0.3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 x14ac:dyDescent="0.3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 x14ac:dyDescent="0.3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 x14ac:dyDescent="0.3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 x14ac:dyDescent="0.3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 x14ac:dyDescent="0.3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 x14ac:dyDescent="0.3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 x14ac:dyDescent="0.3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 x14ac:dyDescent="0.3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 x14ac:dyDescent="0.3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 x14ac:dyDescent="0.3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 x14ac:dyDescent="0.3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 x14ac:dyDescent="0.3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 x14ac:dyDescent="0.3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 x14ac:dyDescent="0.3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 x14ac:dyDescent="0.3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 x14ac:dyDescent="0.3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 x14ac:dyDescent="0.3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 x14ac:dyDescent="0.3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 x14ac:dyDescent="0.3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 x14ac:dyDescent="0.3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 x14ac:dyDescent="0.3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 x14ac:dyDescent="0.3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 x14ac:dyDescent="0.3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 x14ac:dyDescent="0.3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 x14ac:dyDescent="0.3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 x14ac:dyDescent="0.3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 x14ac:dyDescent="0.3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 x14ac:dyDescent="0.3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 x14ac:dyDescent="0.3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 x14ac:dyDescent="0.3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 x14ac:dyDescent="0.3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 x14ac:dyDescent="0.3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 x14ac:dyDescent="0.3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 x14ac:dyDescent="0.3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.75" x14ac:dyDescent="0.3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.75" x14ac:dyDescent="0.3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.75" x14ac:dyDescent="0.3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.75" x14ac:dyDescent="0.3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.75" x14ac:dyDescent="0.3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38" workbookViewId="0">
      <selection activeCell="L14" sqref="L14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 x14ac:dyDescent="0.3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68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54</v>
      </c>
      <c r="U4" s="16">
        <f>T4/S4</f>
        <v>0.75</v>
      </c>
    </row>
    <row r="5" spans="1:21" ht="15" hidden="1" customHeight="1" x14ac:dyDescent="0.3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 x14ac:dyDescent="0.3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 x14ac:dyDescent="0.3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hidden="1" customHeight="1" x14ac:dyDescent="0.3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 x14ac:dyDescent="0.3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 x14ac:dyDescent="0.3">
      <c r="A10" s="63">
        <v>3239</v>
      </c>
      <c r="B10" s="51">
        <v>45960</v>
      </c>
      <c r="C10" s="8"/>
      <c r="D10" s="59">
        <v>2</v>
      </c>
      <c r="E10" s="59">
        <v>24</v>
      </c>
      <c r="F10" s="59">
        <v>24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45960</v>
      </c>
      <c r="P10" s="61">
        <v>3239</v>
      </c>
    </row>
    <row r="11" spans="1:21" ht="15" customHeight="1" x14ac:dyDescent="0.3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 x14ac:dyDescent="0.3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 x14ac:dyDescent="0.3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 x14ac:dyDescent="0.3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 x14ac:dyDescent="0.3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 x14ac:dyDescent="0.3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 x14ac:dyDescent="0.3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 x14ac:dyDescent="0.3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 x14ac:dyDescent="0.3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 x14ac:dyDescent="0.3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 x14ac:dyDescent="0.3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 x14ac:dyDescent="0.3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 x14ac:dyDescent="0.3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 x14ac:dyDescent="0.3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 x14ac:dyDescent="0.3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 x14ac:dyDescent="0.3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 x14ac:dyDescent="0.3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 x14ac:dyDescent="0.3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 x14ac:dyDescent="0.3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 x14ac:dyDescent="0.3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 x14ac:dyDescent="0.3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 x14ac:dyDescent="0.3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 x14ac:dyDescent="0.3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 x14ac:dyDescent="0.3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 x14ac:dyDescent="0.3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 x14ac:dyDescent="0.3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 x14ac:dyDescent="0.3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 x14ac:dyDescent="0.3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 x14ac:dyDescent="0.3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 x14ac:dyDescent="0.3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 x14ac:dyDescent="0.3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 x14ac:dyDescent="0.3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 x14ac:dyDescent="0.3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 x14ac:dyDescent="0.3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 x14ac:dyDescent="0.3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 x14ac:dyDescent="0.3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 x14ac:dyDescent="0.3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 x14ac:dyDescent="0.3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 x14ac:dyDescent="0.3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 x14ac:dyDescent="0.3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 x14ac:dyDescent="0.3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 x14ac:dyDescent="0.3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 x14ac:dyDescent="0.3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 x14ac:dyDescent="0.3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 x14ac:dyDescent="0.3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 x14ac:dyDescent="0.3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 x14ac:dyDescent="0.3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 x14ac:dyDescent="0.3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 x14ac:dyDescent="0.3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.75" x14ac:dyDescent="0.3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.75" x14ac:dyDescent="0.3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.75" x14ac:dyDescent="0.3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.75" x14ac:dyDescent="0.3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.75" x14ac:dyDescent="0.3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11" workbookViewId="0">
      <selection activeCell="O25" sqref="O25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 x14ac:dyDescent="0.3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47</v>
      </c>
      <c r="U4" s="21">
        <f>T4/S4</f>
        <v>0.65277777777777779</v>
      </c>
    </row>
    <row r="5" spans="1:21" ht="15" customHeight="1" x14ac:dyDescent="0.3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 x14ac:dyDescent="0.3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 x14ac:dyDescent="0.3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 x14ac:dyDescent="0.3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 x14ac:dyDescent="0.3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 x14ac:dyDescent="0.35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 x14ac:dyDescent="0.3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 x14ac:dyDescent="0.3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 x14ac:dyDescent="0.3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 x14ac:dyDescent="0.3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 x14ac:dyDescent="0.3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 x14ac:dyDescent="0.3">
      <c r="A20" s="18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3">
        <v>3254</v>
      </c>
      <c r="B24" s="51">
        <v>45960</v>
      </c>
      <c r="C24" s="8"/>
      <c r="D24" s="59">
        <v>1</v>
      </c>
      <c r="E24" s="59">
        <v>13</v>
      </c>
      <c r="F24" s="59">
        <v>13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45960</v>
      </c>
      <c r="P24" s="61">
        <v>3254</v>
      </c>
    </row>
    <row r="25" spans="1:16" ht="15" customHeight="1" x14ac:dyDescent="0.3">
      <c r="A25" s="18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 x14ac:dyDescent="0.3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 x14ac:dyDescent="0.3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 x14ac:dyDescent="0.3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 x14ac:dyDescent="0.3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 x14ac:dyDescent="0.35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 x14ac:dyDescent="0.3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 x14ac:dyDescent="0.3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 x14ac:dyDescent="0.3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 x14ac:dyDescent="0.3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 x14ac:dyDescent="0.3">
      <c r="A43" s="18">
        <v>3536</v>
      </c>
      <c r="B43" s="51">
        <v>45960</v>
      </c>
      <c r="C43" s="8"/>
      <c r="D43" s="59">
        <v>3</v>
      </c>
      <c r="E43" s="59">
        <v>35</v>
      </c>
      <c r="F43" s="59">
        <v>35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45960</v>
      </c>
      <c r="P43" s="61">
        <v>3536</v>
      </c>
    </row>
    <row r="44" spans="1:16" ht="15" customHeight="1" x14ac:dyDescent="0.3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 x14ac:dyDescent="0.35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 x14ac:dyDescent="0.3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 x14ac:dyDescent="0.3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 x14ac:dyDescent="0.3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 x14ac:dyDescent="0.3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 x14ac:dyDescent="0.3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 x14ac:dyDescent="0.3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 x14ac:dyDescent="0.35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 x14ac:dyDescent="0.3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 x14ac:dyDescent="0.3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 x14ac:dyDescent="0.3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 x14ac:dyDescent="0.3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 x14ac:dyDescent="0.3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 x14ac:dyDescent="0.3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 x14ac:dyDescent="0.3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 x14ac:dyDescent="0.35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 x14ac:dyDescent="0.3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 x14ac:dyDescent="0.3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.75" x14ac:dyDescent="0.3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.75" x14ac:dyDescent="0.3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.75" x14ac:dyDescent="0.3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.75" x14ac:dyDescent="0.3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.75" x14ac:dyDescent="0.3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P48" sqref="P4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41</v>
      </c>
      <c r="U4" s="21">
        <f>T4/S4</f>
        <v>0.56944444444444442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5"/>
      <c r="N5" s="25"/>
      <c r="O5" s="51"/>
      <c r="P5" s="61"/>
    </row>
    <row r="6" spans="1:21" ht="15" customHeight="1" x14ac:dyDescent="0.3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 x14ac:dyDescent="0.3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 x14ac:dyDescent="0.3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 x14ac:dyDescent="0.3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 x14ac:dyDescent="0.35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 x14ac:dyDescent="0.3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 x14ac:dyDescent="0.3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 x14ac:dyDescent="0.3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 x14ac:dyDescent="0.3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 x14ac:dyDescent="0.3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 x14ac:dyDescent="0.3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 x14ac:dyDescent="0.3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 x14ac:dyDescent="0.3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 x14ac:dyDescent="0.3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 x14ac:dyDescent="0.3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 x14ac:dyDescent="0.3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 x14ac:dyDescent="0.3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 x14ac:dyDescent="0.3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 x14ac:dyDescent="0.3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 x14ac:dyDescent="0.3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 x14ac:dyDescent="0.35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 x14ac:dyDescent="0.3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 x14ac:dyDescent="0.3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 x14ac:dyDescent="0.3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 x14ac:dyDescent="0.3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 x14ac:dyDescent="0.3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 x14ac:dyDescent="0.3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 x14ac:dyDescent="0.35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 x14ac:dyDescent="0.3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 x14ac:dyDescent="0.3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 x14ac:dyDescent="0.3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 x14ac:dyDescent="0.3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 x14ac:dyDescent="0.3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 x14ac:dyDescent="0.3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 x14ac:dyDescent="0.35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 x14ac:dyDescent="0.3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 x14ac:dyDescent="0.3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.75" x14ac:dyDescent="0.3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.75" x14ac:dyDescent="0.3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.75" x14ac:dyDescent="0.3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10" zoomScaleNormal="100" workbookViewId="0">
      <selection activeCell="M23" sqref="M2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34</v>
      </c>
      <c r="U4" s="21">
        <f>T4/S4</f>
        <v>0.47222222222222221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 x14ac:dyDescent="0.3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 x14ac:dyDescent="0.35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 x14ac:dyDescent="0.3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 x14ac:dyDescent="0.3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 x14ac:dyDescent="0.3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>
        <v>45960</v>
      </c>
      <c r="C17" s="8"/>
      <c r="D17" s="59">
        <v>1</v>
      </c>
      <c r="E17" s="59">
        <v>16</v>
      </c>
      <c r="F17" s="59">
        <v>16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 x14ac:dyDescent="0.3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>
        <v>45960</v>
      </c>
      <c r="C44" s="8"/>
      <c r="D44" s="59">
        <v>1</v>
      </c>
      <c r="E44" s="59">
        <v>12</v>
      </c>
      <c r="F44" s="59">
        <v>12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/>
      <c r="O44" s="51">
        <v>45960</v>
      </c>
      <c r="P44" s="61">
        <v>3537</v>
      </c>
    </row>
    <row r="45" spans="1:16" ht="15" customHeight="1" thickBot="1" x14ac:dyDescent="0.35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 x14ac:dyDescent="0.3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 x14ac:dyDescent="0.3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 x14ac:dyDescent="0.3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 x14ac:dyDescent="0.3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 x14ac:dyDescent="0.3">
      <c r="A62" s="73">
        <v>3556</v>
      </c>
      <c r="B62" s="51">
        <v>45960</v>
      </c>
      <c r="C62" s="8"/>
      <c r="D62" s="59">
        <v>2</v>
      </c>
      <c r="E62" s="59">
        <v>27</v>
      </c>
      <c r="F62" s="59">
        <v>27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45960</v>
      </c>
      <c r="P62" s="61">
        <v>3556</v>
      </c>
    </row>
    <row r="63" spans="1:16" ht="15" customHeight="1" x14ac:dyDescent="0.3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 x14ac:dyDescent="0.3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 x14ac:dyDescent="0.35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.75" x14ac:dyDescent="0.3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A11" zoomScaleNormal="100" workbookViewId="0">
      <selection activeCell="D26" sqref="D2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>
        <v>45960</v>
      </c>
      <c r="C3" s="8"/>
      <c r="D3" s="59">
        <v>2</v>
      </c>
      <c r="E3" s="59">
        <v>13</v>
      </c>
      <c r="F3" s="59">
        <v>13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45960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22</v>
      </c>
      <c r="U4" s="21">
        <f>T4/S4</f>
        <v>0.30555555555555558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>
        <v>45960</v>
      </c>
      <c r="C35" s="8"/>
      <c r="D35" s="59">
        <v>2</v>
      </c>
      <c r="E35" s="59">
        <v>44</v>
      </c>
      <c r="F35" s="59">
        <v>44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45960</v>
      </c>
      <c r="P35" s="61">
        <v>3266</v>
      </c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 x14ac:dyDescent="0.3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 x14ac:dyDescent="0.3">
      <c r="A49" s="73">
        <v>3543</v>
      </c>
      <c r="B49" s="51">
        <v>45960</v>
      </c>
      <c r="C49" s="8"/>
      <c r="D49" s="59">
        <v>1</v>
      </c>
      <c r="E49" s="59">
        <v>9</v>
      </c>
      <c r="F49" s="59">
        <v>9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45960</v>
      </c>
      <c r="P49" s="61">
        <v>3243</v>
      </c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>
        <v>45960</v>
      </c>
      <c r="C51" s="8"/>
      <c r="D51" s="59">
        <v>3</v>
      </c>
      <c r="E51" s="59">
        <v>65</v>
      </c>
      <c r="F51" s="59">
        <v>65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45960</v>
      </c>
      <c r="P51" s="61">
        <v>3545</v>
      </c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 x14ac:dyDescent="0.3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 x14ac:dyDescent="0.3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>
        <v>45960</v>
      </c>
      <c r="C59" s="8"/>
      <c r="D59" s="59">
        <v>1</v>
      </c>
      <c r="E59" s="59">
        <v>2</v>
      </c>
      <c r="F59" s="59">
        <v>2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45960</v>
      </c>
      <c r="P59" s="61">
        <v>3553</v>
      </c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 x14ac:dyDescent="0.3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 x14ac:dyDescent="0.35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.75" x14ac:dyDescent="0.3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10" zoomScaleNormal="100" workbookViewId="0">
      <selection activeCell="P50" sqref="P5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11</v>
      </c>
      <c r="U4" s="21">
        <f>T4/S4</f>
        <v>0.15277777777777779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>
        <v>45960</v>
      </c>
      <c r="C47" s="8"/>
      <c r="D47" s="59">
        <v>1</v>
      </c>
      <c r="E47" s="59">
        <v>45</v>
      </c>
      <c r="F47" s="59">
        <v>45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45960</v>
      </c>
      <c r="P47" s="61">
        <v>3541</v>
      </c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>
        <v>45960</v>
      </c>
      <c r="C53" s="8"/>
      <c r="D53" s="59">
        <v>1</v>
      </c>
      <c r="E53" s="59">
        <v>23</v>
      </c>
      <c r="F53" s="59">
        <v>23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45960</v>
      </c>
      <c r="P53" s="61">
        <v>3547</v>
      </c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5" zoomScaleNormal="100" workbookViewId="0">
      <selection activeCell="H61" sqref="H6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</v>
      </c>
      <c r="U4" s="21">
        <f>T4/S4</f>
        <v>4.1666666666666664E-2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opLeftCell="A2" zoomScaleNormal="100" workbookViewId="0">
      <selection activeCell="E18" sqref="E1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" x14ac:dyDescent="0.2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x14ac:dyDescent="0.3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x14ac:dyDescent="0.3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x14ac:dyDescent="0.3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x14ac:dyDescent="0.3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x14ac:dyDescent="0.3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x14ac:dyDescent="0.3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x14ac:dyDescent="0.3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YVZG5q4CcX2nQFdaMBGeO8ciLNcilM31JC0mRhJs5VD8AZSvXwkBVa46OZYhP24dG8J6IhoFtzUmJp2RgIg5PQ==" saltValue="TJXbQpJAfyMQZkOBkMhey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CE7-A7F7-4C10-93B2-7500DB3819F3}">
  <dimension ref="A1:U207"/>
  <sheetViews>
    <sheetView zoomScaleNormal="100" workbookViewId="0">
      <selection activeCell="I12" sqref="I1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U9lLZZmQnkwaoI4IU/ZM9w8nsE0AcO4kaJrn/eFPQeAAMx4xshXKJfdskAMZX5Z5tvSIKNx9WBsJq7uUKUiJyQ==" saltValue="0aoprm8kzsvj+zT1Iib61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632237F2-14EF-4397-B7C8-C81E9E37B4A2}">
      <formula1>0</formula1>
    </dataValidation>
    <dataValidation type="date" operator="greaterThanOrEqual" allowBlank="1" showInputMessage="1" showErrorMessage="1" sqref="B2:B73 I2:I73 K2:K73 O2:O73" xr:uid="{78876164-01A5-46C1-BB37-ADDC122B9A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D787F-36FB-4664-82FA-15043406890C}">
          <x14:formula1>
            <xm:f>Inspected!$D$1</xm:f>
          </x14:formula1>
          <xm:sqref>C2:C73</xm:sqref>
        </x14:dataValidation>
        <x14:dataValidation type="list" allowBlank="1" showInputMessage="1" showErrorMessage="1" xr:uid="{791F296D-DD86-40D6-8E45-1A236D26C832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5A8-66E2-400A-8699-D7C628358FAB}">
  <dimension ref="A1:U207"/>
  <sheetViews>
    <sheetView topLeftCell="A16" zoomScaleNormal="100" workbookViewId="0">
      <selection activeCell="G9" sqref="G9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 x14ac:dyDescent="0.3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 x14ac:dyDescent="0.3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 x14ac:dyDescent="0.35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 x14ac:dyDescent="0.3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 x14ac:dyDescent="0.3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 x14ac:dyDescent="0.3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 x14ac:dyDescent="0.3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 x14ac:dyDescent="0.3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 x14ac:dyDescent="0.3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 x14ac:dyDescent="0.35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 x14ac:dyDescent="0.3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 x14ac:dyDescent="0.3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 x14ac:dyDescent="0.3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 x14ac:dyDescent="0.3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 x14ac:dyDescent="0.3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 x14ac:dyDescent="0.3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 x14ac:dyDescent="0.3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 x14ac:dyDescent="0.3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 x14ac:dyDescent="0.3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 x14ac:dyDescent="0.3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 x14ac:dyDescent="0.35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 x14ac:dyDescent="0.3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 x14ac:dyDescent="0.3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 x14ac:dyDescent="0.3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 x14ac:dyDescent="0.3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 x14ac:dyDescent="0.3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 x14ac:dyDescent="0.3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 x14ac:dyDescent="0.3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 x14ac:dyDescent="0.3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 x14ac:dyDescent="0.3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 x14ac:dyDescent="0.3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 x14ac:dyDescent="0.35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 x14ac:dyDescent="0.3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 x14ac:dyDescent="0.3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 x14ac:dyDescent="0.3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 x14ac:dyDescent="0.3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 x14ac:dyDescent="0.3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 x14ac:dyDescent="0.3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 x14ac:dyDescent="0.3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 x14ac:dyDescent="0.3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 x14ac:dyDescent="0.3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 x14ac:dyDescent="0.3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 x14ac:dyDescent="0.35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 x14ac:dyDescent="0.3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 x14ac:dyDescent="0.3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 x14ac:dyDescent="0.3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 x14ac:dyDescent="0.3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 x14ac:dyDescent="0.3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 x14ac:dyDescent="0.3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 x14ac:dyDescent="0.3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 x14ac:dyDescent="0.3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 x14ac:dyDescent="0.3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 x14ac:dyDescent="0.3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 x14ac:dyDescent="0.35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 x14ac:dyDescent="0.3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 x14ac:dyDescent="0.3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 x14ac:dyDescent="0.3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 x14ac:dyDescent="0.3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 x14ac:dyDescent="0.3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 x14ac:dyDescent="0.3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 x14ac:dyDescent="0.3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 x14ac:dyDescent="0.3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 x14ac:dyDescent="0.35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 x14ac:dyDescent="0.3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 x14ac:dyDescent="0.3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.75" x14ac:dyDescent="0.3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.75" x14ac:dyDescent="0.3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.75" x14ac:dyDescent="0.3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.75" x14ac:dyDescent="0.3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.75" x14ac:dyDescent="0.3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.75" x14ac:dyDescent="0.3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XksJxQbQ5vVSetMP5EuHdDl9rceLQ20wzwSHlRbPA2Hs6nDugtwQu7/OlUQUQ3vbAfbjNrD259TysHWQYOm6Gw==" saltValue="A1vnmiCD6hQEeEa0PvAEk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386B779-6702-4D3D-B0BE-CD1F2A95E545}">
      <formula1>45658</formula1>
    </dataValidation>
    <dataValidation type="whole" operator="greaterThanOrEqual" allowBlank="1" showInputMessage="1" showErrorMessage="1" sqref="A2:A73 D2:H73 J2:J73 L2:L73 P2:P73" xr:uid="{9EF3EDB9-5D78-4944-8967-60BCDCEFD94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73177E-D844-48E1-B2B7-D0D6750921A2}">
          <x14:formula1>
            <xm:f>Inspected!$A$1:$A$2</xm:f>
          </x14:formula1>
          <xm:sqref>M2:M73</xm:sqref>
        </x14:dataValidation>
        <x14:dataValidation type="list" allowBlank="1" showInputMessage="1" showErrorMessage="1" xr:uid="{8C9A8C4F-404D-47B4-9B5E-6C5FAB85F58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purl.org/dc/dcmitype/"/>
    <ds:schemaRef ds:uri="http://schemas.microsoft.com/office/2006/documentManagement/types"/>
    <ds:schemaRef ds:uri="d5486727-c7ef-48ef-8f67-294a70abf30d"/>
    <ds:schemaRef ds:uri="http://schemas.openxmlformats.org/package/2006/metadata/core-properties"/>
    <ds:schemaRef ds:uri="http://purl.org/dc/terms/"/>
    <ds:schemaRef ds:uri="f09d0ae9-c6ff-4e57-bd1f-955be6ad47ac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D3834C0-E432-439C-BE5B-793F0CCD7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2025-10-31T16:09:15Z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