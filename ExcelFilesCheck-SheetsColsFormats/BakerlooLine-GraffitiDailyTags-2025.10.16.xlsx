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14" documentId="13_ncr:1_{396C4AB3-B9B8-4642-B625-64F39B46BC53}" xr6:coauthVersionLast="47" xr6:coauthVersionMax="47" xr10:uidLastSave="{FA6C1742-8261-409F-8C3D-9FF3C5580736}"/>
  <bookViews>
    <workbookView xWindow="-28920" yWindow="-120" windowWidth="29040" windowHeight="15720" tabRatio="823" firstSheet="1" activeTab="8" xr2:uid="{EF5C035C-41B0-4463-AED5-105A1C53EA14}"/>
  </bookViews>
  <sheets>
    <sheet name="Inspected" sheetId="11" state="hidden" r:id="rId1"/>
    <sheet name="Bakeloo Line " sheetId="1" r:id="rId2"/>
    <sheet name="Repeat Attacks 1" sheetId="2" r:id="rId3"/>
    <sheet name="Repeat Attacks 2" sheetId="3" r:id="rId4"/>
    <sheet name="Repeat Attacks 3" sheetId="4" r:id="rId5"/>
    <sheet name="Repeat Attacks 4" sheetId="5" r:id="rId6"/>
    <sheet name="Repeat Attacks 5" sheetId="6" r:id="rId7"/>
    <sheet name="Repeat Attacks 6" sheetId="7" r:id="rId8"/>
    <sheet name="Repeat Attacks 7" sheetId="9" r:id="rId9"/>
    <sheet name="Repeat Attacks 8" sheetId="8" r:id="rId10"/>
    <sheet name="Repeat Attacks 9" sheetId="10" r:id="rId11"/>
    <sheet name="Repeat Attacks 10" sheetId="12" r:id="rId12"/>
    <sheet name="Repeat Attacks 11" sheetId="13" r:id="rId13"/>
    <sheet name="Repeat Attacks 12" sheetId="14" r:id="rId14"/>
  </sheets>
  <definedNames>
    <definedName name="_xlnm._FilterDatabase" localSheetId="1" hidden="1">'Bakeloo Line '!$A$1:$A$73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4" l="1"/>
  <c r="U4" i="14" s="1"/>
  <c r="S4" i="14"/>
  <c r="T4" i="13"/>
  <c r="U4" i="13" s="1"/>
  <c r="S4" i="13"/>
  <c r="T4" i="12"/>
  <c r="U4" i="12" s="1"/>
  <c r="S4" i="12"/>
  <c r="T4" i="10"/>
  <c r="U4" i="10" s="1"/>
  <c r="S4" i="10"/>
  <c r="T4" i="9"/>
  <c r="U4" i="9" s="1"/>
  <c r="S4" i="9"/>
  <c r="T4" i="8"/>
  <c r="U4" i="8" s="1"/>
  <c r="S4" i="8"/>
  <c r="S4" i="1"/>
  <c r="T4" i="7"/>
  <c r="S4" i="7"/>
  <c r="T4" i="6"/>
  <c r="U4" i="6" s="1"/>
  <c r="S4" i="6"/>
  <c r="T4" i="5"/>
  <c r="U4" i="5" s="1"/>
  <c r="S4" i="5"/>
  <c r="T4" i="4"/>
  <c r="U4" i="4" s="1"/>
  <c r="S4" i="4"/>
  <c r="T4" i="3"/>
  <c r="S4" i="3"/>
  <c r="T4" i="2"/>
  <c r="U4" i="2" s="1"/>
  <c r="S4" i="2"/>
  <c r="T4" i="1"/>
  <c r="U4" i="7" l="1"/>
  <c r="U4" i="3"/>
  <c r="U4" i="1"/>
</calcChain>
</file>

<file path=xl/sharedStrings.xml><?xml version="1.0" encoding="utf-8"?>
<sst xmlns="http://schemas.openxmlformats.org/spreadsheetml/2006/main" count="999" uniqueCount="34">
  <si>
    <t>Unit No.</t>
  </si>
  <si>
    <t>DATE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</si>
  <si>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</si>
  <si>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</si>
  <si>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</si>
  <si>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</si>
  <si>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</si>
  <si>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</si>
  <si>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</si>
  <si>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</si>
  <si>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</si>
  <si>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</si>
  <si>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</si>
  <si>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</si>
  <si>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Daniela</t>
  </si>
  <si>
    <t>Total Units Completed</t>
  </si>
  <si>
    <t>Total Trains</t>
  </si>
  <si>
    <t>Total Units</t>
  </si>
  <si>
    <t>Units Compled</t>
  </si>
  <si>
    <t>% Completed</t>
  </si>
  <si>
    <t>Key</t>
  </si>
  <si>
    <t>Stopped Units</t>
  </si>
  <si>
    <t xml:space="preserve"> </t>
  </si>
  <si>
    <t>Units Completed</t>
  </si>
  <si>
    <t>Y</t>
  </si>
  <si>
    <t>20/07/205</t>
  </si>
  <si>
    <t>Status</t>
  </si>
  <si>
    <t>Number of tags removed2</t>
  </si>
  <si>
    <t>Stopped</t>
  </si>
  <si>
    <t>y</t>
  </si>
  <si>
    <t>Cristina</t>
  </si>
  <si>
    <t>Samuel</t>
  </si>
  <si>
    <t>SAMUEL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</si>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</sst>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63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4"/>
      <color theme="1"/>
      <name val="Calibri"/>
      <family val="2"/>
      <scheme val="minor"/>
    </font>
    <font>
      <b/>
      <sz val="9"/>
      <name val="Arial"/>
      <family val="2"/>
    </font>
    <font>
      <b/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4">
    <xf numFmtId="0" fontId="0" fillId="0" borderId="0" xfId="0"/>
    <xf numFmtId="0" fontId="0" fillId="0" borderId="0" xfId="0" applyAlignment="1">
      <alignment horizontal="left" vertical="top" wrapText="1" indent="1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2" fontId="0" fillId="0" borderId="0" xfId="0" applyNumberFormat="1" applyAlignment="1">
      <alignment horizontal="left" vertical="top" wrapText="1" indent="1"/>
    </xf>
    <xf numFmtId="14" fontId="0" fillId="0" borderId="0" xfId="0" applyNumberFormat="1" applyAlignment="1">
      <alignment horizontal="left" vertical="top" wrapText="1" indent="1"/>
    </xf>
    <xf numFmtId="0" fontId="1" fillId="3" borderId="11" xfId="0" applyFont="1" applyFill="1" applyBorder="1" applyAlignment="1">
      <alignment horizontal="center"/>
    </xf>
    <xf numFmtId="164" fontId="5" fillId="0" borderId="13" xfId="0" applyNumberFormat="1" applyFont="1" applyBorder="1" applyAlignment="1" applyProtection="1">
      <alignment horizontal="left" vertical="center"/>
      <protection locked="0"/>
    </xf>
    <xf numFmtId="0" fontId="1" fillId="3" borderId="14" xfId="0" applyFont="1" applyFill="1" applyBorder="1" applyAlignment="1">
      <alignment horizontal="center"/>
    </xf>
    <xf numFmtId="0" fontId="0" fillId="0" borderId="14" xfId="0" applyBorder="1" applyAlignment="1">
      <alignment horizontal="left" vertical="top" wrapText="1" indent="1"/>
    </xf>
    <xf numFmtId="0" fontId="0" fillId="7" borderId="13" xfId="0" applyFill="1" applyBorder="1" applyAlignment="1">
      <alignment horizontal="left" vertical="top" wrapText="1" indent="1"/>
    </xf>
    <xf numFmtId="0" fontId="0" fillId="8" borderId="13" xfId="0" applyFill="1" applyBorder="1" applyAlignment="1">
      <alignment horizontal="left" vertical="top" wrapText="1" indent="1"/>
    </xf>
    <xf numFmtId="0" fontId="0" fillId="6" borderId="11" xfId="0" applyFill="1" applyBorder="1" applyAlignment="1">
      <alignment horizontal="left" vertical="top" wrapText="1" indent="1"/>
    </xf>
    <xf numFmtId="0" fontId="0" fillId="0" borderId="15" xfId="0" applyBorder="1" applyAlignment="1">
      <alignment horizontal="left" vertical="top" wrapText="1" indent="1"/>
    </xf>
    <xf numFmtId="0" fontId="0" fillId="0" borderId="16" xfId="0" applyBorder="1" applyAlignment="1">
      <alignment horizontal="center" vertical="top" wrapText="1"/>
    </xf>
    <xf numFmtId="9" fontId="0" fillId="0" borderId="17" xfId="1" applyFont="1" applyBorder="1" applyAlignment="1">
      <alignment horizontal="center" vertical="top" wrapText="1"/>
    </xf>
    <xf numFmtId="0" fontId="1" fillId="3" borderId="15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0" fillId="0" borderId="13" xfId="0" applyBorder="1" applyAlignment="1">
      <alignment horizontal="left" vertical="top" wrapText="1" indent="1"/>
    </xf>
    <xf numFmtId="0" fontId="0" fillId="0" borderId="17" xfId="1" applyNumberFormat="1" applyFont="1" applyBorder="1" applyAlignment="1">
      <alignment horizontal="center" vertical="top" wrapText="1"/>
    </xf>
    <xf numFmtId="0" fontId="5" fillId="0" borderId="13" xfId="0" applyFont="1" applyBorder="1" applyAlignment="1" applyProtection="1">
      <alignment horizontal="center" vertical="center"/>
      <protection locked="0"/>
    </xf>
    <xf numFmtId="0" fontId="4" fillId="3" borderId="13" xfId="0" applyFont="1" applyFill="1" applyBorder="1" applyAlignment="1" applyProtection="1">
      <alignment horizontal="center" vertical="center"/>
      <protection locked="0"/>
    </xf>
    <xf numFmtId="0" fontId="3" fillId="9" borderId="13" xfId="0" applyFont="1" applyFill="1" applyBorder="1" applyAlignment="1" applyProtection="1">
      <alignment horizontal="center" vertical="center"/>
      <protection hidden="1"/>
    </xf>
    <xf numFmtId="0" fontId="5" fillId="0" borderId="13" xfId="0" applyFont="1" applyBorder="1" applyAlignment="1" applyProtection="1">
      <alignment vertical="center"/>
      <protection locked="0"/>
    </xf>
    <xf numFmtId="0" fontId="0" fillId="12" borderId="13" xfId="0" applyFill="1" applyBorder="1" applyAlignment="1">
      <alignment horizontal="left" vertical="top" wrapText="1" indent="1"/>
    </xf>
    <xf numFmtId="0" fontId="0" fillId="13" borderId="12" xfId="0" applyFill="1" applyBorder="1" applyAlignment="1">
      <alignment horizontal="left" vertical="top" wrapText="1" indent="1"/>
    </xf>
    <xf numFmtId="0" fontId="0" fillId="0" borderId="18" xfId="0" applyBorder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4" fillId="3" borderId="13" xfId="0" applyFont="1" applyFill="1" applyBorder="1" applyAlignment="1" applyProtection="1">
      <alignment horizontal="left" vertical="center"/>
      <protection locked="0"/>
    </xf>
    <xf numFmtId="0" fontId="3" fillId="9" borderId="13" xfId="0" applyFont="1" applyFill="1" applyBorder="1" applyAlignment="1" applyProtection="1">
      <alignment horizontal="left" vertical="center"/>
      <protection hidden="1"/>
    </xf>
    <xf numFmtId="0" fontId="1" fillId="3" borderId="23" xfId="0" applyFont="1" applyFill="1" applyBorder="1" applyAlignment="1">
      <alignment horizontal="center"/>
    </xf>
    <xf numFmtId="0" fontId="7" fillId="2" borderId="1" xfId="0" applyFont="1" applyFill="1" applyBorder="1" applyAlignment="1" applyProtection="1">
      <alignment horizontal="center" vertical="center"/>
      <protection hidden="1"/>
    </xf>
    <xf numFmtId="0" fontId="8" fillId="4" borderId="5" xfId="0" applyFont="1" applyFill="1" applyBorder="1" applyAlignment="1" applyProtection="1">
      <alignment horizontal="center" vertical="center" wrapText="1"/>
      <protection hidden="1"/>
    </xf>
    <xf numFmtId="0" fontId="8" fillId="5" borderId="5" xfId="0" applyFont="1" applyFill="1" applyBorder="1" applyAlignment="1" applyProtection="1">
      <alignment horizontal="center" vertical="center" wrapText="1"/>
      <protection hidden="1"/>
    </xf>
    <xf numFmtId="0" fontId="8" fillId="10" borderId="9" xfId="0" applyFont="1" applyFill="1" applyBorder="1" applyAlignment="1" applyProtection="1">
      <alignment horizontal="center" vertical="center" wrapText="1"/>
      <protection hidden="1"/>
    </xf>
    <xf numFmtId="0" fontId="8" fillId="11" borderId="9" xfId="0" applyFont="1" applyFill="1" applyBorder="1" applyAlignment="1" applyProtection="1">
      <alignment horizontal="center" vertical="center" wrapText="1"/>
      <protection hidden="1"/>
    </xf>
    <xf numFmtId="0" fontId="8" fillId="5" borderId="9" xfId="0" applyFont="1" applyFill="1" applyBorder="1" applyAlignment="1" applyProtection="1">
      <alignment horizontal="center" vertical="center" wrapText="1"/>
      <protection hidden="1"/>
    </xf>
    <xf numFmtId="0" fontId="8" fillId="5" borderId="13" xfId="0" applyFont="1" applyFill="1" applyBorder="1" applyAlignment="1" applyProtection="1">
      <alignment horizontal="center" vertical="center" wrapText="1"/>
      <protection hidden="1"/>
    </xf>
    <xf numFmtId="0" fontId="8" fillId="5" borderId="10" xfId="0" applyFont="1" applyFill="1" applyBorder="1" applyAlignment="1" applyProtection="1">
      <alignment horizontal="center" vertical="center" wrapText="1"/>
      <protection hidden="1"/>
    </xf>
    <xf numFmtId="0" fontId="8" fillId="3" borderId="13" xfId="0" applyFont="1" applyFill="1" applyBorder="1" applyAlignment="1" applyProtection="1">
      <alignment horizontal="center" vertical="center" wrapText="1"/>
      <protection hidden="1"/>
    </xf>
    <xf numFmtId="0" fontId="8" fillId="4" borderId="5" xfId="0" applyFont="1" applyFill="1" applyBorder="1" applyAlignment="1" applyProtection="1">
      <alignment horizontal="left" vertical="center" wrapText="1"/>
      <protection hidden="1"/>
    </xf>
    <xf numFmtId="0" fontId="8" fillId="4" borderId="1" xfId="0" applyFont="1" applyFill="1" applyBorder="1" applyAlignment="1" applyProtection="1">
      <alignment horizontal="left" vertical="center" wrapText="1"/>
      <protection hidden="1"/>
    </xf>
    <xf numFmtId="0" fontId="8" fillId="5" borderId="1" xfId="0" applyFont="1" applyFill="1" applyBorder="1" applyAlignment="1" applyProtection="1">
      <alignment horizontal="center" vertical="center" wrapText="1"/>
      <protection hidden="1"/>
    </xf>
    <xf numFmtId="0" fontId="8" fillId="10" borderId="20" xfId="0" applyFont="1" applyFill="1" applyBorder="1" applyAlignment="1" applyProtection="1">
      <alignment horizontal="center" vertical="center" wrapText="1"/>
      <protection hidden="1"/>
    </xf>
    <xf numFmtId="0" fontId="8" fillId="11" borderId="20" xfId="0" applyFont="1" applyFill="1" applyBorder="1" applyAlignment="1" applyProtection="1">
      <alignment horizontal="center" vertical="center" wrapText="1"/>
      <protection hidden="1"/>
    </xf>
    <xf numFmtId="0" fontId="8" fillId="5" borderId="20" xfId="0" applyFont="1" applyFill="1" applyBorder="1" applyAlignment="1" applyProtection="1">
      <alignment horizontal="center" vertical="center" wrapText="1"/>
      <protection hidden="1"/>
    </xf>
    <xf numFmtId="0" fontId="8" fillId="5" borderId="22" xfId="0" applyFont="1" applyFill="1" applyBorder="1" applyAlignment="1" applyProtection="1">
      <alignment horizontal="center" vertical="center" wrapText="1"/>
      <protection hidden="1"/>
    </xf>
    <xf numFmtId="0" fontId="8" fillId="5" borderId="21" xfId="0" applyFont="1" applyFill="1" applyBorder="1" applyAlignment="1" applyProtection="1">
      <alignment horizontal="center" vertical="center" wrapText="1"/>
      <protection hidden="1"/>
    </xf>
    <xf numFmtId="0" fontId="8" fillId="3" borderId="24" xfId="0" applyFont="1" applyFill="1" applyBorder="1" applyAlignment="1" applyProtection="1">
      <alignment horizontal="center" vertical="center" wrapText="1"/>
      <protection hidden="1"/>
    </xf>
    <xf numFmtId="0" fontId="7" fillId="2" borderId="1" xfId="0" applyFont="1" applyFill="1" applyBorder="1" applyAlignment="1" applyProtection="1">
      <alignment horizontal="left" vertical="center"/>
      <protection hidden="1"/>
    </xf>
    <xf numFmtId="0" fontId="8" fillId="5" borderId="19" xfId="0" applyFont="1" applyFill="1" applyBorder="1" applyAlignment="1" applyProtection="1">
      <alignment horizontal="center" vertical="center" wrapText="1"/>
      <protection hidden="1"/>
    </xf>
    <xf numFmtId="164" fontId="5" fillId="0" borderId="13" xfId="0" applyNumberFormat="1" applyFont="1" applyBorder="1" applyAlignment="1" applyProtection="1">
      <alignment horizontal="center" vertical="center"/>
      <protection locked="0"/>
    </xf>
    <xf numFmtId="2" fontId="8" fillId="5" borderId="1" xfId="0" applyNumberFormat="1" applyFont="1" applyFill="1" applyBorder="1" applyAlignment="1" applyProtection="1">
      <alignment horizontal="center" vertical="center" wrapText="1"/>
      <protection hidden="1"/>
    </xf>
    <xf numFmtId="2" fontId="0" fillId="0" borderId="0" xfId="0" applyNumberFormat="1" applyAlignment="1">
      <alignment horizontal="center" vertical="top" wrapText="1"/>
    </xf>
    <xf numFmtId="14" fontId="8" fillId="10" borderId="20" xfId="0" applyNumberFormat="1" applyFont="1" applyFill="1" applyBorder="1" applyAlignment="1" applyProtection="1">
      <alignment horizontal="center" vertical="center" wrapText="1"/>
      <protection hidden="1"/>
    </xf>
    <xf numFmtId="14" fontId="5" fillId="0" borderId="13" xfId="0" applyNumberFormat="1" applyFont="1" applyBorder="1" applyAlignment="1" applyProtection="1">
      <alignment horizontal="center" vertical="center"/>
      <protection locked="0"/>
    </xf>
    <xf numFmtId="14" fontId="8" fillId="11" borderId="20" xfId="0" applyNumberFormat="1" applyFont="1" applyFill="1" applyBorder="1" applyAlignment="1" applyProtection="1">
      <alignment horizontal="center" vertical="center" wrapText="1"/>
      <protection hidden="1"/>
    </xf>
    <xf numFmtId="14" fontId="8" fillId="10" borderId="9" xfId="0" applyNumberFormat="1" applyFont="1" applyFill="1" applyBorder="1" applyAlignment="1" applyProtection="1">
      <alignment horizontal="center" vertical="center" wrapText="1"/>
      <protection hidden="1"/>
    </xf>
    <xf numFmtId="0" fontId="4" fillId="0" borderId="13" xfId="0" applyFont="1" applyBorder="1" applyAlignment="1" applyProtection="1">
      <alignment vertical="center"/>
      <protection locked="0"/>
    </xf>
    <xf numFmtId="1" fontId="5" fillId="0" borderId="13" xfId="0" applyNumberFormat="1" applyFont="1" applyBorder="1" applyAlignment="1" applyProtection="1">
      <alignment horizontal="center" vertical="center"/>
      <protection locked="0"/>
    </xf>
    <xf numFmtId="1" fontId="8" fillId="5" borderId="5" xfId="0" applyNumberFormat="1" applyFont="1" applyFill="1" applyBorder="1" applyAlignment="1" applyProtection="1">
      <alignment horizontal="center" vertical="center" wrapText="1"/>
      <protection hidden="1"/>
    </xf>
    <xf numFmtId="1" fontId="5" fillId="0" borderId="12" xfId="0" applyNumberFormat="1" applyFont="1" applyBorder="1" applyAlignment="1" applyProtection="1">
      <alignment horizontal="center" vertical="center"/>
      <protection locked="0"/>
    </xf>
    <xf numFmtId="1" fontId="8" fillId="5" borderId="1" xfId="0" applyNumberFormat="1" applyFont="1" applyFill="1" applyBorder="1" applyAlignment="1" applyProtection="1">
      <alignment horizontal="center" vertical="center" wrapText="1"/>
      <protection hidden="1"/>
    </xf>
    <xf numFmtId="1" fontId="6" fillId="3" borderId="13" xfId="0" applyNumberFormat="1" applyFont="1" applyFill="1" applyBorder="1" applyAlignment="1">
      <alignment horizontal="left"/>
    </xf>
    <xf numFmtId="1" fontId="6" fillId="4" borderId="13" xfId="0" applyNumberFormat="1" applyFont="1" applyFill="1" applyBorder="1" applyAlignment="1">
      <alignment horizontal="left"/>
    </xf>
    <xf numFmtId="1" fontId="6" fillId="12" borderId="13" xfId="0" applyNumberFormat="1" applyFont="1" applyFill="1" applyBorder="1" applyAlignment="1">
      <alignment horizontal="left"/>
    </xf>
    <xf numFmtId="1" fontId="6" fillId="14" borderId="13" xfId="0" applyNumberFormat="1" applyFont="1" applyFill="1" applyBorder="1" applyAlignment="1">
      <alignment horizontal="left"/>
    </xf>
    <xf numFmtId="1" fontId="6" fillId="3" borderId="25" xfId="0" applyNumberFormat="1" applyFont="1" applyFill="1" applyBorder="1" applyAlignment="1">
      <alignment horizontal="left"/>
    </xf>
    <xf numFmtId="1" fontId="6" fillId="15" borderId="13" xfId="0" applyNumberFormat="1" applyFont="1" applyFill="1" applyBorder="1" applyAlignment="1">
      <alignment horizontal="left"/>
    </xf>
    <xf numFmtId="1" fontId="1" fillId="3" borderId="3" xfId="0" applyNumberFormat="1" applyFont="1" applyFill="1" applyBorder="1" applyAlignment="1">
      <alignment horizontal="center"/>
    </xf>
    <xf numFmtId="1" fontId="1" fillId="3" borderId="14" xfId="0" applyNumberFormat="1" applyFont="1" applyFill="1" applyBorder="1" applyAlignment="1">
      <alignment horizontal="center"/>
    </xf>
    <xf numFmtId="1" fontId="1" fillId="3" borderId="15" xfId="0" applyNumberFormat="1" applyFont="1" applyFill="1" applyBorder="1" applyAlignment="1">
      <alignment horizontal="center"/>
    </xf>
    <xf numFmtId="1" fontId="1" fillId="3" borderId="2" xfId="0" applyNumberFormat="1" applyFont="1" applyFill="1" applyBorder="1" applyAlignment="1">
      <alignment horizontal="center"/>
    </xf>
    <xf numFmtId="1" fontId="1" fillId="3" borderId="13" xfId="0" applyNumberFormat="1" applyFont="1" applyFill="1" applyBorder="1" applyAlignment="1">
      <alignment horizontal="center"/>
    </xf>
    <xf numFmtId="1" fontId="1" fillId="3" borderId="16" xfId="0" applyNumberFormat="1" applyFont="1" applyFill="1" applyBorder="1" applyAlignment="1">
      <alignment horizontal="center"/>
    </xf>
    <xf numFmtId="1" fontId="1" fillId="3" borderId="4" xfId="0" applyNumberFormat="1" applyFont="1" applyFill="1" applyBorder="1" applyAlignment="1">
      <alignment horizontal="center"/>
    </xf>
    <xf numFmtId="1" fontId="1" fillId="3" borderId="11" xfId="0" applyNumberFormat="1" applyFont="1" applyFill="1" applyBorder="1" applyAlignment="1">
      <alignment horizontal="center"/>
    </xf>
    <xf numFmtId="1" fontId="1" fillId="3" borderId="23" xfId="0" applyNumberFormat="1" applyFont="1" applyFill="1" applyBorder="1" applyAlignment="1">
      <alignment horizontal="center"/>
    </xf>
    <xf numFmtId="1" fontId="7" fillId="2" borderId="1" xfId="0" applyNumberFormat="1" applyFont="1" applyFill="1" applyBorder="1" applyAlignment="1" applyProtection="1">
      <alignment horizontal="center" vertical="center"/>
      <protection hidden="1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6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textRotation="0" indent="0" justifyLastLine="0" shrinkToFit="0" readingOrder="0"/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A30CA9B-DA8B-4A97-B359-BE83BEB9C023}" name="TagsRA0" displayName="TagsRA0" ref="A1:P73" totalsRowShown="0" headerRowDxfId="235" tableBorderDxfId="234">
  <autoFilter ref="A1:P73" xr:uid="{9A30CA9B-DA8B-4A97-B359-BE83BEB9C023}"/>
  <tableColumns count="16">
    <tableColumn id="1" xr3:uid="{9409621A-FA97-4D44-A971-C80D75A85520}" name="Unit No." dataDxfId="233"/>
    <tableColumn id="2" xr3:uid="{767F9C47-9486-4409-B3DC-CF5F1DE5F6EA}" name="DATE" dataDxfId="232"/>
    <tableColumn id="3" xr3:uid="{EEB06000-F845-4A8C-BEB8-C277E6B81D6B}" name="Status" dataDxfId="231"/>
    <tableColumn id="4" xr3:uid="{C1AA4EE1-8014-48D1-A0DC-6239D1ED671A}" name="Number of cars affected by graffiti/shadows on this unit" dataDxfId="230"/>
    <tableColumn id="5" xr3:uid="{AFABA8DB-E3A8-4902-9E07-B8EF42042661}" name="Total Number of Tags found" dataDxfId="229"/>
    <tableColumn id="6" xr3:uid="{5207B806-6F84-4FBA-85A4-B030778D217A}" name="Total Tags Removed / Cleaned" dataDxfId="228"/>
    <tableColumn id="7" xr3:uid="{171DCA55-F134-44DC-BC23-EF5E4056C8B3}" name="Total Tags Not Cleaned on this Unit" dataDxfId="227"/>
    <tableColumn id="8" xr3:uid="{58D4A002-73FD-4B36-A17E-A0B9D61A1B83}" name="Car Number (s)  of Tags not cleaned (shadows)" dataDxfId="226"/>
    <tableColumn id="9" xr3:uid="{64F5DBE7-51DE-4A14-8F68-D05D22BE2408}" name="Date of 2nd visit to clean remaining tags" dataDxfId="225"/>
    <tableColumn id="10" xr3:uid="{F19B294F-662A-41CD-9B2C-B10C8D8A1888}" name="Number of tags removed" dataDxfId="224"/>
    <tableColumn id="11" xr3:uid="{A0FF4F57-E630-4CAA-A2F5-40B0A0B1DAF8}" name="Date of 3rd visit to clean remaining tags" dataDxfId="223"/>
    <tableColumn id="12" xr3:uid="{9D58AB19-BDFD-4E48-9B5B-20DC35141140}" name="Number of tags removed2" dataDxfId="222"/>
    <tableColumn id="13" xr3:uid="{52F656F6-5943-4A6C-940C-81A4A0F3DAD7}" name="Train Inspected and Fit for service    (Y/N)" dataDxfId="221"/>
    <tableColumn id="14" xr3:uid="{C32752A7-C4DC-4AA7-ADD0-C38A3A2BAD69}" name="Inspected by Supervisor/Manager (Name)" dataDxfId="220"/>
    <tableColumn id="15" xr3:uid="{9C95AF34-AFC6-4F4E-B691-68B01D1E8696}" name="Date of Completing all shadows (Tags) on this Unit excluding acid etched shadows" dataDxfId="219"/>
    <tableColumn id="16" xr3:uid="{3B10A84F-A784-43B5-A37B-A4DCC7D9125D}" name="Car Number (s)  of Tags not cleaned due to acid etched shadows" dataDxfId="2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113B4F9-CE62-45E7-9C80-66A83BA9DA2A}" name="TagsRA1" displayName="TagsRA1" ref="A1:P73" totalsRowShown="0" headerRowDxfId="217" dataDxfId="216" tableBorderDxfId="215">
  <autoFilter ref="A1:P73" xr:uid="{8113B4F9-CE62-45E7-9C80-66A83BA9DA2A}"/>
  <tableColumns count="16">
    <tableColumn id="1" xr3:uid="{2F1EACBE-5094-45B3-B813-DFB9DF440A26}" name="Unit No." dataDxfId="214"/>
    <tableColumn id="2" xr3:uid="{1FF8EECD-1486-4B60-87D4-289532F08B25}" name="DATE" dataDxfId="213"/>
    <tableColumn id="3" xr3:uid="{FACC626E-0F72-4234-849C-3935B7D14E1A}" name="Status" dataDxfId="212"/>
    <tableColumn id="4" xr3:uid="{7F423D2B-F86D-4F28-994E-E536DC948F56}" name="Number of cars affected by graffiti/shadows on this unit" dataDxfId="211"/>
    <tableColumn id="5" xr3:uid="{ADDE4F20-5569-4364-A833-8D7C058B4C14}" name="Total Number of Tags found" dataDxfId="210"/>
    <tableColumn id="6" xr3:uid="{C44DF7BB-86CC-4EC0-A303-37D3A7E2DEA9}" name="Total Tags Removed / Cleaned" dataDxfId="209"/>
    <tableColumn id="7" xr3:uid="{0777ABC2-5C06-4770-9CA6-2EB505DFDBA7}" name="Total Tags Not Cleaned on this Unit" dataDxfId="208"/>
    <tableColumn id="8" xr3:uid="{E330664F-5A74-4D4E-B998-3FEE2AFF81D6}" name="Car Number (s)  of Tags not cleaned (shadows)" dataDxfId="207"/>
    <tableColumn id="9" xr3:uid="{BD55285F-4030-4E7B-A1A8-70A805439D2E}" name="Date of 2nd visit to clean remaining tags" dataDxfId="206"/>
    <tableColumn id="10" xr3:uid="{B8CE50C6-7DB2-4520-A626-AF07F669515F}" name="Number of tags removed" dataDxfId="205"/>
    <tableColumn id="11" xr3:uid="{4B7E7B4A-9541-4687-B399-FE029B5EE90D}" name="Date of 3rd visit to clean remaining tags" dataDxfId="204"/>
    <tableColumn id="12" xr3:uid="{99631F5F-E59A-4C79-88A8-678D24CF8DCE}" name="Number of tags removed2" dataDxfId="203"/>
    <tableColumn id="13" xr3:uid="{FF75606A-6994-47EC-A3D0-9AB7D2F7ADF7}" name="Train Inspected and Fit for service    (Y/N)" dataDxfId="202"/>
    <tableColumn id="14" xr3:uid="{3194B9B2-9110-42F0-ABA6-DC4BF73B51D5}" name="Inspected by Supervisor/Manager (Name)" dataDxfId="201"/>
    <tableColumn id="15" xr3:uid="{D9C75190-8916-4BA4-A8F7-91879CF08C47}" name="Date of Completing all shadows (Tags) on this Unit excluding acid etched shadows" dataDxfId="200"/>
    <tableColumn id="16" xr3:uid="{38CD55A3-CA62-4F43-A7AA-8E74B72B417C}" name="Car Number (s)  of Tags not cleaned due to acid etched shadows" dataDxfId="19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AEA6E20-AED4-4387-B8FB-FC130C200D94}" name="TagsRA2" displayName="TagsRA2" ref="A1:P73" totalsRowShown="0" headerRowDxfId="198" dataDxfId="197" tableBorderDxfId="196">
  <autoFilter ref="A1:P73" xr:uid="{6AEA6E20-AED4-4387-B8FB-FC130C200D94}"/>
  <tableColumns count="16">
    <tableColumn id="1" xr3:uid="{C5D9FF2E-258F-44E4-B0CF-BB190599EB52}" name="Unit No." dataDxfId="195"/>
    <tableColumn id="2" xr3:uid="{8ADB687F-D9BE-4FED-9CB9-33AE0BBC1BE5}" name="DATE" dataDxfId="194"/>
    <tableColumn id="3" xr3:uid="{9925AC05-E548-47EA-9A36-93B496141928}" name="Status" dataDxfId="193"/>
    <tableColumn id="4" xr3:uid="{557C8AB9-F99D-4EE4-BBD9-7FDCD52BBA40}" name="Number of cars affected by graffiti/shadows on this unit" dataDxfId="192"/>
    <tableColumn id="5" xr3:uid="{A364BC28-25D3-4709-81D7-8B83CE39DF54}" name="Total Number of Tags found" dataDxfId="191"/>
    <tableColumn id="6" xr3:uid="{4EF5ACD6-8DF1-4F8F-8CA1-4278478E63C1}" name="Total Tags Removed / Cleaned" dataDxfId="190"/>
    <tableColumn id="7" xr3:uid="{B0585672-AD1B-4186-B0DA-7E8AE3BAC2E2}" name="Total Tags Not Cleaned on this Unit" dataDxfId="189"/>
    <tableColumn id="8" xr3:uid="{9E70350D-80F7-4E79-8F3E-12ADEB6F08BC}" name="Car Number (s)  of Tags not cleaned (shadows)" dataDxfId="188"/>
    <tableColumn id="9" xr3:uid="{44556474-E5A5-4DD6-9F4E-71515143536B}" name="Date of 2nd visit to clean remaining tags" dataDxfId="187"/>
    <tableColumn id="10" xr3:uid="{C36CB8EC-DE77-4E53-AB7A-53B8AE301DE9}" name="Number of tags removed" dataDxfId="186"/>
    <tableColumn id="11" xr3:uid="{3596CAA3-34D5-498E-ACD0-0C1CB166136B}" name="Date of 3rd visit to clean remaining tags" dataDxfId="185"/>
    <tableColumn id="12" xr3:uid="{B8D49440-BE0B-4CD0-9D24-5ECD9A0FBE4B}" name="Number of tags removed2" dataDxfId="184"/>
    <tableColumn id="13" xr3:uid="{765FC496-92E2-4341-B356-C21D9AE69BB6}" name="Train Inspected and Fit for service    (Y/N)" dataDxfId="183"/>
    <tableColumn id="14" xr3:uid="{288ADB1D-D545-4098-9F92-D5EF5CEB8F6E}" name="Inspected by Supervisor/Manager (Name)" dataDxfId="182"/>
    <tableColumn id="15" xr3:uid="{CBBF6CDA-1B76-4606-BAA5-EAF82E8A9353}" name="Date of Completing all shadows (Tags) on this Unit excluding acid etched shadows" dataDxfId="181"/>
    <tableColumn id="16" xr3:uid="{F08274BB-27EB-4215-BE94-CFC51275C72D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134964E-5BA1-454C-B217-D34D00A5B099}" name="TagsRA3" displayName="TagsRA3" ref="A1:P73" totalsRowShown="0" headerRowDxfId="179" tableBorderDxfId="178">
  <autoFilter ref="A1:P73" xr:uid="{9134964E-5BA1-454C-B217-D34D00A5B099}"/>
  <tableColumns count="16">
    <tableColumn id="1" xr3:uid="{66D0CF0A-2067-4961-A5A5-12258E91C670}" name="Unit No." dataDxfId="177"/>
    <tableColumn id="2" xr3:uid="{EBDC271C-EC77-4C33-B962-D147FF1E9CF0}" name="DATE" dataDxfId="176"/>
    <tableColumn id="3" xr3:uid="{15E581E6-F2AA-4C93-A8C0-EA9D3659BC9F}" name="Status" dataDxfId="175"/>
    <tableColumn id="4" xr3:uid="{3B010436-D104-43D6-B30C-EEA4EE727E68}" name="Number of cars affected by graffiti/shadows on this unit" dataDxfId="174"/>
    <tableColumn id="5" xr3:uid="{6E992F19-1600-4C0F-B468-C38228C832C0}" name="Total Number of Tags found" dataDxfId="173"/>
    <tableColumn id="6" xr3:uid="{EE59564E-2AF0-48D4-850D-2527A1B708A9}" name="Total Tags Removed / Cleaned" dataDxfId="172"/>
    <tableColumn id="7" xr3:uid="{CA70D91E-B1E0-4520-A481-BDECE1386830}" name="Total Tags Not Cleaned on this Unit" dataDxfId="171"/>
    <tableColumn id="8" xr3:uid="{8DF3674E-7D8E-4FD7-B627-919455B8FEA0}" name="Car Number (s)  of Tags not cleaned (shadows)" dataDxfId="170"/>
    <tableColumn id="9" xr3:uid="{5FD6BA7C-60D9-4E2F-996D-683FDF2B37EC}" name="Date of 2nd visit to clean remaining tags" dataDxfId="169"/>
    <tableColumn id="10" xr3:uid="{3C1563C6-C940-48C4-98C5-AF78DC1D44FC}" name="Number of tags removed" dataDxfId="168"/>
    <tableColumn id="11" xr3:uid="{DFB2916F-E249-4503-BDE7-F6092B9E5EEC}" name="Date of 3rd visit to clean remaining tags" dataDxfId="167"/>
    <tableColumn id="12" xr3:uid="{2A7D714C-E437-4C1E-BD92-AB233D8987F1}" name="Number of tags removed2" dataDxfId="166"/>
    <tableColumn id="13" xr3:uid="{3BB186B1-8514-4EF7-A8A1-E6B804BA0BC3}" name="Train Inspected and Fit for service    (Y/N)" dataDxfId="165"/>
    <tableColumn id="14" xr3:uid="{3FD82427-7078-4A57-8B6B-2D4D8D663C8E}" name="Inspected by Supervisor/Manager (Name)" dataDxfId="164"/>
    <tableColumn id="15" xr3:uid="{4D6D6456-9689-4F93-8EFC-6F11D19C619F}" name="Date of Completing all shadows (Tags) on this Unit excluding acid etched shadows" dataDxfId="163"/>
    <tableColumn id="16" xr3:uid="{F5F15C0E-8F95-40D7-AF89-42A4A2E248B3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038AD4-D0C0-4CF3-939A-FC079A4A6B73}" name="TagsRA4" displayName="TagsRA4" ref="A1:P73" totalsRowShown="0" headerRowDxfId="161" tableBorderDxfId="160">
  <autoFilter ref="A1:P73" xr:uid="{6A038AD4-D0C0-4CF3-939A-FC079A4A6B73}"/>
  <tableColumns count="16">
    <tableColumn id="1" xr3:uid="{102C8124-4BB1-4E00-A2AA-6688E32BF655}" name="Unit No." dataDxfId="159"/>
    <tableColumn id="2" xr3:uid="{5CA570A0-BFA9-430F-9523-C67F3F8D18F0}" name="DATE" dataDxfId="158"/>
    <tableColumn id="3" xr3:uid="{6AE4E675-6751-42A2-A8F3-62E6367B8B28}" name="Status" dataDxfId="157"/>
    <tableColumn id="4" xr3:uid="{91961ED3-5A59-4D2C-BF5E-4461026D75DD}" name="Number of cars affected by graffiti/shadows on this unit" dataDxfId="156"/>
    <tableColumn id="5" xr3:uid="{0A6954F2-150C-4343-981D-3F06EF888A8F}" name="Total Number of Tags found" dataDxfId="155"/>
    <tableColumn id="6" xr3:uid="{E5D07A0B-D35B-4818-9233-59C328038068}" name="Total Tags Removed / Cleaned" dataDxfId="154"/>
    <tableColumn id="7" xr3:uid="{E59A07C7-2C8E-42E2-A88C-0C730F69A0FB}" name="Total Tags Not Cleaned on this Unit" dataDxfId="153"/>
    <tableColumn id="8" xr3:uid="{103CBAD2-AFE7-411B-B063-6A0002B6E573}" name="Car Number (s)  of Tags not cleaned (shadows)" dataDxfId="152"/>
    <tableColumn id="9" xr3:uid="{841394F9-A85A-4346-BDC2-DA4281D8116F}" name="Date of 2nd visit to clean remaining tags" dataDxfId="151"/>
    <tableColumn id="10" xr3:uid="{9AAF110A-420E-44D0-B122-7FB50BD6DADF}" name="Number of tags removed" dataDxfId="150"/>
    <tableColumn id="11" xr3:uid="{0FF8E53B-DB4E-4EAE-ACEA-58C63C33B777}" name="Date of 3rd visit to clean remaining tags" dataDxfId="149"/>
    <tableColumn id="12" xr3:uid="{60C3882B-FBA1-4763-9DB8-2637E02D28AB}" name="Number of tags removed2" dataDxfId="148"/>
    <tableColumn id="13" xr3:uid="{71284C49-DCAE-4BC7-AA46-3C388560B24D}" name="Train Inspected and Fit for service    (Y/N)" dataDxfId="147"/>
    <tableColumn id="14" xr3:uid="{01EE9898-5ADE-47E8-B896-E2E492C3CDFA}" name="Inspected by Supervisor/Manager (Name)" dataDxfId="146"/>
    <tableColumn id="15" xr3:uid="{1A992BF9-0268-4791-A36D-4FAE9F50C658}" name="Date of Completing all shadows (Tags) on this Unit excluding acid etched shadows" dataDxfId="145"/>
    <tableColumn id="16" xr3:uid="{A0B73C68-0A56-4E02-93E2-B011D81CD72D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350460-2C9C-4CF9-9991-E066DFBD561D}" name="TagsRA5" displayName="TagsRA5" ref="A1:P73" totalsRowShown="0" headerRowDxfId="143" tableBorderDxfId="142">
  <autoFilter ref="A1:P73" xr:uid="{C6350460-2C9C-4CF9-9991-E066DFBD561D}"/>
  <tableColumns count="16">
    <tableColumn id="1" xr3:uid="{9FDE95C7-3501-46A2-9A94-00902270F465}" name="Unit No." dataDxfId="141"/>
    <tableColumn id="2" xr3:uid="{3EF9D1AE-2C4A-47AA-B42C-89B4DC40D965}" name="DATE" dataDxfId="140"/>
    <tableColumn id="3" xr3:uid="{079F7728-BD40-4CF4-BEB5-5A718E9A04D7}" name="Status" dataDxfId="139"/>
    <tableColumn id="4" xr3:uid="{977CEA16-21F9-4171-9B78-ED90B0366487}" name="Number of cars affected by graffiti/shadows on this unit" dataDxfId="138"/>
    <tableColumn id="5" xr3:uid="{67633657-6D91-4E74-9AD3-B89B95C4FE5A}" name="Total Number of Tags found" dataDxfId="137"/>
    <tableColumn id="6" xr3:uid="{7574F745-118D-4E3D-B50A-98481FCB0720}" name="Total Tags Removed / Cleaned" dataDxfId="136"/>
    <tableColumn id="7" xr3:uid="{C1C8A734-2972-44BC-AC78-5B9707C5F7E6}" name="Total Tags Not Cleaned on this Unit" dataDxfId="135"/>
    <tableColumn id="8" xr3:uid="{F496D8DA-B426-4C3B-9E96-EFD397FCF819}" name="Car Number (s)  of Tags not cleaned (shadows)" dataDxfId="134"/>
    <tableColumn id="9" xr3:uid="{170DFCD4-210B-4913-88AC-D30A8145C926}" name="Date of 2nd visit to clean remaining tags" dataDxfId="133"/>
    <tableColumn id="10" xr3:uid="{8710C123-892B-4B3F-9FA9-155E8751FA4A}" name="Number of tags removed" dataDxfId="132"/>
    <tableColumn id="11" xr3:uid="{E6C08543-2DDB-4A53-8270-A18C92C111CF}" name="Date of 3rd visit to clean remaining tags" dataDxfId="131"/>
    <tableColumn id="12" xr3:uid="{68BF4629-942C-494D-BE12-B6F29FD290DE}" name="Number of tags removed2" dataDxfId="130"/>
    <tableColumn id="13" xr3:uid="{48C671DC-4B18-414C-B638-458984E8E84F}" name="Train Inspected and Fit for service    (Y/N)" dataDxfId="129"/>
    <tableColumn id="14" xr3:uid="{79B77BC9-4E33-41F8-96CA-C59EDE3B1AA2}" name="Inspected by Supervisor/Manager (Name)" dataDxfId="128"/>
    <tableColumn id="15" xr3:uid="{D5C542DD-0F17-4FD8-9EB7-D6BE51884D5D}" name="Date of Completing all shadows (Tags) on this Unit excluding acid etched shadows" dataDxfId="127"/>
    <tableColumn id="16" xr3:uid="{1862A861-BDD3-4481-944C-0C9466505EC3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E73D74-4515-4083-9342-4DA04CAF52D8}" name="TagsRA6" displayName="TagsRA6" ref="A1:P73" totalsRowShown="0" headerRowDxfId="125" tableBorderDxfId="124">
  <autoFilter ref="A1:P73" xr:uid="{30E73D74-4515-4083-9342-4DA04CAF52D8}"/>
  <tableColumns count="16">
    <tableColumn id="1" xr3:uid="{96ABC57B-8511-492C-BBA7-3000818447D5}" name="Unit No." dataDxfId="123"/>
    <tableColumn id="2" xr3:uid="{043089C2-436D-440E-A640-B8F6251A1F27}" name="DATE" dataDxfId="122"/>
    <tableColumn id="3" xr3:uid="{A3A6A87A-157E-4961-87AC-760F055D854E}" name="Status" dataDxfId="121"/>
    <tableColumn id="4" xr3:uid="{CE85EEEC-8D55-4237-BA09-D5BCEC084730}" name="Number of cars affected by graffiti/shadows on this unit" dataDxfId="120"/>
    <tableColumn id="5" xr3:uid="{33BD35C9-7B39-44E0-9A60-830F17A2910E}" name="Total Number of Tags found" dataDxfId="119"/>
    <tableColumn id="6" xr3:uid="{6D89995F-9850-4B3D-A24C-ABAEEA668AAF}" name="Total Tags Removed / Cleaned" dataDxfId="118"/>
    <tableColumn id="7" xr3:uid="{AF35070B-E506-4035-8E5D-CF2DDBD2176C}" name="Total Tags Not Cleaned on this Unit" dataDxfId="117"/>
    <tableColumn id="8" xr3:uid="{E5C3F43B-422B-4CAB-B621-722B7A2473D0}" name="Car Number (s)  of Tags not cleaned (shadows)" dataDxfId="116"/>
    <tableColumn id="9" xr3:uid="{7EB39E42-1146-408F-B9D6-CF617D9BC104}" name="Date of 2nd visit to clean remaining tags" dataDxfId="115"/>
    <tableColumn id="10" xr3:uid="{9AAFE50A-ED5C-430D-A1CB-54B0257CBE53}" name="Number of tags removed" dataDxfId="114"/>
    <tableColumn id="11" xr3:uid="{C1624AB0-8E92-4171-B29C-EC37D8239D33}" name="Date of 3rd visit to clean remaining tags" dataDxfId="113"/>
    <tableColumn id="12" xr3:uid="{B470A119-FEC0-4657-B6B3-9370FA8F2CC7}" name="Number of tags removed2" dataDxfId="112"/>
    <tableColumn id="13" xr3:uid="{31A2FB90-39CC-436B-BE01-A30A57B0E122}" name="Train Inspected and Fit for service    (Y/N)" dataDxfId="111"/>
    <tableColumn id="14" xr3:uid="{F633CFC3-15B6-4FD3-8D20-5AC800AEB9FA}" name="Inspected by Supervisor/Manager (Name)" dataDxfId="110"/>
    <tableColumn id="15" xr3:uid="{E502D8B2-CF67-4355-A3E0-0F7B716EEFDF}" name="Date of Completing all shadows (Tags) on this Unit excluding acid etched shadows" dataDxfId="109"/>
    <tableColumn id="16" xr3:uid="{53DE94BA-4EB7-4BCC-BB3C-568529F83EED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D7E474F-4452-4B98-AF33-ABC2AAA22886}" name="TagsRA7" displayName="TagsRA7" ref="A1:P73" totalsRowShown="0" headerRowDxfId="107" tableBorderDxfId="106">
  <autoFilter ref="A1:P73" xr:uid="{30E73D74-4515-4083-9342-4DA04CAF52D8}"/>
  <tableColumns count="16">
    <tableColumn id="1" xr3:uid="{454F2859-B2B1-43DB-B1DD-C2D944AEE609}" name="Unit No." dataDxfId="105"/>
    <tableColumn id="2" xr3:uid="{A6318DF3-8DD3-41AA-A086-C4D93331F19C}" name="DATE" dataDxfId="104"/>
    <tableColumn id="3" xr3:uid="{8BDC2F93-30FF-4734-9CB6-2D7778AF4D37}" name="Status" dataDxfId="103"/>
    <tableColumn id="4" xr3:uid="{D81C5608-1C4E-4B74-8A97-0F2FC8086F32}" name="Number of cars affected by graffiti/shadows on this unit" dataDxfId="102"/>
    <tableColumn id="5" xr3:uid="{DD1FF716-BE55-4250-9903-D01626020C67}" name="Total Number of Tags found" dataDxfId="101"/>
    <tableColumn id="6" xr3:uid="{A9BE4C7F-E50C-434A-9114-FB6DE34906D5}" name="Total Tags Removed / Cleaned" dataDxfId="100"/>
    <tableColumn id="7" xr3:uid="{B964AB35-551A-4452-A3DB-6020FBE9F941}" name="Total Tags Not Cleaned on this Unit" dataDxfId="99"/>
    <tableColumn id="8" xr3:uid="{217DEE87-DFFA-42B0-A775-9F48AE83C1C6}" name="Car Number (s)  of Tags not cleaned (shadows)" dataDxfId="98"/>
    <tableColumn id="9" xr3:uid="{05633BD4-8715-4FC0-9D62-176B50C61377}" name="Date of 2nd visit to clean remaining tags" dataDxfId="97"/>
    <tableColumn id="10" xr3:uid="{FA2992CF-59FA-4C6E-AD0C-9A9AC38F4C71}" name="Number of tags removed" dataDxfId="96"/>
    <tableColumn id="11" xr3:uid="{5E8BBFF3-402B-4BA2-ADC5-590975AFFB43}" name="Date of 3rd visit to clean remaining tags" dataDxfId="95"/>
    <tableColumn id="12" xr3:uid="{7CC779AA-8B10-4579-BF37-3A2146D3AF24}" name="Number of tags removed2" dataDxfId="94"/>
    <tableColumn id="13" xr3:uid="{F6326901-AA64-4F98-A2B5-867E65392F53}" name="Train Inspected and Fit for service    (Y/N)" dataDxfId="93"/>
    <tableColumn id="14" xr3:uid="{01FD7522-319D-4385-B15D-277319BBD2E2}" name="Inspected by Supervisor/Manager (Name)" dataDxfId="92"/>
    <tableColumn id="15" xr3:uid="{67DE370C-5D9C-449E-89BA-E41714F1B1F4}" name="Date of Completing all shadows (Tags) on this Unit excluding acid etched shadows" dataDxfId="91"/>
    <tableColumn id="16" xr3:uid="{1DDE32F4-A464-41AB-AB31-3CEF9FDBC7B5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5CF4B45-CC62-4D36-A9A0-F703087CA2CF}" name="TagsRA8" displayName="TagsRA8" ref="A1:P73" totalsRowShown="0" headerRowDxfId="89" tableBorderDxfId="88">
  <autoFilter ref="A1:P73" xr:uid="{30E73D74-4515-4083-9342-4DA04CAF52D8}"/>
  <tableColumns count="16">
    <tableColumn id="1" xr3:uid="{41BD9426-EEC3-4CC6-9176-491E5132E1D7}" name="Unit No." dataDxfId="87"/>
    <tableColumn id="2" xr3:uid="{DC05083F-F159-4DB0-A957-B556F4070FDC}" name="DATE" dataDxfId="86"/>
    <tableColumn id="3" xr3:uid="{00227D91-7302-4DF8-8167-2EFA3BFC59FD}" name="Status" dataDxfId="85"/>
    <tableColumn id="4" xr3:uid="{F7A143F2-F2CC-4C9C-AC53-EE5299F72F8E}" name="Number of cars affected by graffiti/shadows on this unit" dataDxfId="84"/>
    <tableColumn id="5" xr3:uid="{C32330CD-9A86-4577-9184-4A25BB358E81}" name="Total Number of Tags found" dataDxfId="83"/>
    <tableColumn id="6" xr3:uid="{B5B5D159-73F8-4B41-B42A-033A16865AF4}" name="Total Tags Removed / Cleaned" dataDxfId="82"/>
    <tableColumn id="7" xr3:uid="{2D4D24FA-D87D-4832-96A1-B4CAC5D6D116}" name="Total Tags Not Cleaned on this Unit" dataDxfId="81"/>
    <tableColumn id="8" xr3:uid="{DE85F566-E148-46FE-80BA-2A418C062057}" name="Car Number (s)  of Tags not cleaned (shadows)" dataDxfId="80"/>
    <tableColumn id="9" xr3:uid="{8808B5A7-3D66-4FF9-B2E0-EC6AF01B57C1}" name="Date of 2nd visit to clean remaining tags" dataDxfId="79"/>
    <tableColumn id="10" xr3:uid="{DD1E7555-F301-4EEC-BDF7-45E7124FF4F5}" name="Number of tags removed" dataDxfId="78"/>
    <tableColumn id="11" xr3:uid="{5646E038-6BFC-45E2-982B-CFB319D64A2A}" name="Date of 3rd visit to clean remaining tags" dataDxfId="77"/>
    <tableColumn id="12" xr3:uid="{DF8D9E91-9461-4342-95FB-5E5076DF82D5}" name="Number of tags removed2" dataDxfId="76"/>
    <tableColumn id="13" xr3:uid="{DBDF7F11-4367-468F-A12D-E41C30FDB178}" name="Train Inspected and Fit for service    (Y/N)" dataDxfId="75"/>
    <tableColumn id="14" xr3:uid="{7FE6CF15-67D3-4C50-BC17-3A0D60BC818D}" name="Inspected by Supervisor/Manager (Name)" dataDxfId="74"/>
    <tableColumn id="15" xr3:uid="{FE3F1BE2-9E6B-4C5E-B0EE-B9289032FB5E}" name="Date of Completing all shadows (Tags) on this Unit excluding acid etched shadows" dataDxfId="73"/>
    <tableColumn id="16" xr3:uid="{C84F1D2C-D995-47EB-9D18-E6A74CDCBAD1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5E2DEC9-41ED-4A75-97D7-6D6564B619EE}" name="TagsRA9" displayName="TagsRA9" ref="A1:P73" totalsRowShown="0" headerRowDxfId="71" tableBorderDxfId="70">
  <autoFilter ref="A1:P73" xr:uid="{30E73D74-4515-4083-9342-4DA04CAF52D8}"/>
  <tableColumns count="16">
    <tableColumn id="1" xr3:uid="{1542D47B-95EC-4342-B915-FE440C30DADB}" name="Unit No." dataDxfId="69"/>
    <tableColumn id="2" xr3:uid="{E3B20ADC-7C84-46F3-9450-875A6D91CC5F}" name="DATE" dataDxfId="68"/>
    <tableColumn id="3" xr3:uid="{0077C23E-307C-4B97-A0D8-D460B0D64250}" name="Status" dataDxfId="67"/>
    <tableColumn id="4" xr3:uid="{4E972747-C2E7-41D7-86BF-3E075A03E4B2}" name="Number of cars affected by graffiti/shadows on this unit" dataDxfId="66"/>
    <tableColumn id="5" xr3:uid="{969058DF-F6B7-4BBC-8D92-94C2A2521F2F}" name="Total Number of Tags found" dataDxfId="65"/>
    <tableColumn id="6" xr3:uid="{0B341B3D-7121-4DCB-861B-F85F2C9A8CC5}" name="Total Tags Removed / Cleaned" dataDxfId="64"/>
    <tableColumn id="7" xr3:uid="{59C19006-A754-4010-9CD8-86C1BEF63093}" name="Total Tags Not Cleaned on this Unit" dataDxfId="63"/>
    <tableColumn id="8" xr3:uid="{D6C82241-415D-46FD-BDFC-8E485E4FD5DE}" name="Car Number (s)  of Tags not cleaned (shadows)" dataDxfId="62"/>
    <tableColumn id="9" xr3:uid="{D30EFE43-FCC4-4452-B4E5-86179D07C437}" name="Date of 2nd visit to clean remaining tags" dataDxfId="61"/>
    <tableColumn id="10" xr3:uid="{C6E6AABC-5643-46CF-AB38-F0E0C7F8828A}" name="Number of tags removed" dataDxfId="60"/>
    <tableColumn id="11" xr3:uid="{6F209CD7-4B74-4C71-A236-5E120C5E0C37}" name="Date of 3rd visit to clean remaining tags" dataDxfId="59"/>
    <tableColumn id="12" xr3:uid="{2C05B55E-E0F2-4CD8-916D-17B72B93A408}" name="Number of tags removed2" dataDxfId="58"/>
    <tableColumn id="13" xr3:uid="{A80D3F59-E287-4E1A-8B7D-76A61038CB51}" name="Train Inspected and Fit for service    (Y/N)" dataDxfId="57"/>
    <tableColumn id="14" xr3:uid="{35F8D804-00F3-40B9-A04F-AD8ECAC53C00}" name="Inspected by Supervisor/Manager (Name)" dataDxfId="56"/>
    <tableColumn id="15" xr3:uid="{3EBCB77D-3B36-4ABD-ABDA-07C79F06744A}" name="Date of Completing all shadows (Tags) on this Unit excluding acid etched shadows" dataDxfId="55"/>
    <tableColumn id="16" xr3:uid="{DC1F8AB5-FD8B-47D3-8B87-C8A07DFFA7FB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6E5E19F-7BCB-4339-AE28-94A2CC668508}" name="TagsRA10" displayName="TagsRA10" ref="A1:P73" totalsRowShown="0" headerRowDxfId="53" tableBorderDxfId="52">
  <autoFilter ref="A1:P73" xr:uid="{30E73D74-4515-4083-9342-4DA04CAF52D8}"/>
  <tableColumns count="16">
    <tableColumn id="1" xr3:uid="{5449ADC7-2D37-4FD0-A7DA-2002F290EA35}" name="Unit No." dataDxfId="51"/>
    <tableColumn id="2" xr3:uid="{A7EE3247-CE79-4595-BB6A-A1D7989A8549}" name="DATE" dataDxfId="50"/>
    <tableColumn id="3" xr3:uid="{236896E4-EC2F-4DBE-8384-0EDEBBECEB9B}" name="Status" dataDxfId="49"/>
    <tableColumn id="4" xr3:uid="{FF56A4E0-932B-4CBA-9904-9C3389A29C7E}" name="Number of cars affected by graffiti/shadows on this unit" dataDxfId="48"/>
    <tableColumn id="5" xr3:uid="{F6BB7B70-2C60-42C1-B0BE-775C16BC5285}" name="Total Number of Tags found" dataDxfId="47"/>
    <tableColumn id="6" xr3:uid="{3CD057B2-FEEB-4214-99FF-368745412DA1}" name="Total Tags Removed / Cleaned" dataDxfId="46"/>
    <tableColumn id="7" xr3:uid="{49F56185-D4DA-4D9E-8E03-D4D44C38EAC5}" name="Total Tags Not Cleaned on this Unit" dataDxfId="45"/>
    <tableColumn id="8" xr3:uid="{0D585928-52FC-4373-8AD3-6CA42F0337A4}" name="Car Number (s)  of Tags not cleaned (shadows)" dataDxfId="44"/>
    <tableColumn id="9" xr3:uid="{7715E1E0-449A-4A6F-88DB-4F33429B77D2}" name="Date of 2nd visit to clean remaining tags" dataDxfId="43"/>
    <tableColumn id="10" xr3:uid="{1590C266-22B6-4CC1-871C-FE5C9D559E3B}" name="Number of tags removed" dataDxfId="42"/>
    <tableColumn id="11" xr3:uid="{E5F85C08-1595-4D79-AD08-23849338F03A}" name="Date of 3rd visit to clean remaining tags" dataDxfId="41"/>
    <tableColumn id="12" xr3:uid="{A0DBFB99-F837-4B2B-8AE4-C3F20B7394CD}" name="Number of tags removed2" dataDxfId="40"/>
    <tableColumn id="13" xr3:uid="{0C211760-3434-4AA6-AF27-BC8DA076F0B3}" name="Train Inspected and Fit for service    (Y/N)" dataDxfId="39"/>
    <tableColumn id="14" xr3:uid="{2C7B3BDD-248C-4757-8900-4EB61C254554}" name="Inspected by Supervisor/Manager (Name)" dataDxfId="38"/>
    <tableColumn id="15" xr3:uid="{13737E41-9BA2-4A03-89C0-E3C05A3303AB}" name="Date of Completing all shadows (Tags) on this Unit excluding acid etched shadows" dataDxfId="37"/>
    <tableColumn id="16" xr3:uid="{C20262F9-2AF6-46A6-81ED-8B970C788387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0362F31-C6EC-471F-A77D-FEA565F9800A}" name="TagsRA11" displayName="TagsRA11" ref="A1:P73" totalsRowShown="0" headerRowDxfId="35" tableBorderDxfId="34">
  <autoFilter ref="A1:P73" xr:uid="{30E73D74-4515-4083-9342-4DA04CAF52D8}"/>
  <tableColumns count="16">
    <tableColumn id="1" xr3:uid="{F3561046-EBDB-4369-9314-A5B371FC9051}" name="Unit No." dataDxfId="33"/>
    <tableColumn id="2" xr3:uid="{7F62121C-6D21-4790-B0B3-60EF5BA26E1B}" name="DATE" dataDxfId="32"/>
    <tableColumn id="3" xr3:uid="{5B38A09A-0E60-4A98-8DF8-3640AFF4EBDF}" name="Status" dataDxfId="31"/>
    <tableColumn id="4" xr3:uid="{BAA1CF29-F280-4E8C-AAE2-51DCCB752172}" name="Number of cars affected by graffiti/shadows on this unit" dataDxfId="30"/>
    <tableColumn id="5" xr3:uid="{8C9D79DA-D3B4-477D-BE20-5882088FCBFE}" name="Total Number of Tags found" dataDxfId="29"/>
    <tableColumn id="6" xr3:uid="{3C27BA01-08A7-4503-936D-E2A30D6D265D}" name="Total Tags Removed / Cleaned" dataDxfId="28"/>
    <tableColumn id="7" xr3:uid="{F2D62BA1-EB50-4768-AC0E-825D6553B6D9}" name="Total Tags Not Cleaned on this Unit" dataDxfId="27"/>
    <tableColumn id="8" xr3:uid="{80FC3F2D-AC83-4490-A30F-F3959D41A6BA}" name="Car Number (s)  of Tags not cleaned (shadows)" dataDxfId="26"/>
    <tableColumn id="9" xr3:uid="{5CA3E662-7941-43DD-881D-A663E33BFA63}" name="Date of 2nd visit to clean remaining tags" dataDxfId="25"/>
    <tableColumn id="10" xr3:uid="{75043E5E-3EC7-48ED-8E47-09DBEBBC3DB8}" name="Number of tags removed" dataDxfId="24"/>
    <tableColumn id="11" xr3:uid="{2C6134B0-3168-4343-9307-D3CEC5E0BA30}" name="Date of 3rd visit to clean remaining tags" dataDxfId="23"/>
    <tableColumn id="12" xr3:uid="{531C52E8-25E9-410E-8917-A59477257BDB}" name="Number of tags removed2" dataDxfId="22"/>
    <tableColumn id="13" xr3:uid="{EF82BDC7-35E7-4154-B406-AD862C20B3E0}" name="Train Inspected and Fit for service    (Y/N)" dataDxfId="21"/>
    <tableColumn id="14" xr3:uid="{56FB7DA2-94A9-4DF2-A2A0-0EF28509CA13}" name="Inspected by Supervisor/Manager (Name)" dataDxfId="20"/>
    <tableColumn id="15" xr3:uid="{5B014763-8603-4790-BD7E-F2807987E80A}" name="Date of Completing all shadows (Tags) on this Unit excluding acid etched shadows" dataDxfId="19"/>
    <tableColumn id="16" xr3:uid="{D45ADE70-7E94-4726-9AFB-54BCE442CD10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4F74ECE-99CE-4273-AE9D-07A629829326}" name="TagsRA12" displayName="TagsRA12" ref="A1:P73" totalsRowShown="0" headerRowDxfId="17" tableBorderDxfId="16">
  <autoFilter ref="A1:P73" xr:uid="{30E73D74-4515-4083-9342-4DA04CAF52D8}"/>
  <tableColumns count="16">
    <tableColumn id="1" xr3:uid="{140D8E5C-8DB6-42D9-AB0E-FF211F8D4B3E}" name="Unit No." dataDxfId="15"/>
    <tableColumn id="2" xr3:uid="{EFC73BAA-B5D0-4975-8334-1616DE8CC29C}" name="DATE" dataDxfId="14"/>
    <tableColumn id="3" xr3:uid="{A2499F2C-296C-442F-AA25-AB2A4858C73F}" name="Status" dataDxfId="13"/>
    <tableColumn id="4" xr3:uid="{C7D49438-6074-458E-9F71-0E6C1B6C2284}" name="Number of cars affected by graffiti/shadows on this unit" dataDxfId="12"/>
    <tableColumn id="5" xr3:uid="{43082D7C-C3A1-4142-9A7C-7E2FCEB1795E}" name="Total Number of Tags found" dataDxfId="11"/>
    <tableColumn id="6" xr3:uid="{C827D21C-7481-4B0B-A82A-790F4692657D}" name="Total Tags Removed / Cleaned" dataDxfId="10"/>
    <tableColumn id="7" xr3:uid="{696E1513-1E63-4E59-8909-2EF6095C32D5}" name="Total Tags Not Cleaned on this Unit" dataDxfId="9"/>
    <tableColumn id="8" xr3:uid="{EF4D78E8-3A88-4E59-9BF3-4FF2642B9DAE}" name="Car Number (s)  of Tags not cleaned (shadows)" dataDxfId="8"/>
    <tableColumn id="9" xr3:uid="{5A75110E-7BC1-408A-A929-3501A4B99307}" name="Date of 2nd visit to clean remaining tags" dataDxfId="7"/>
    <tableColumn id="10" xr3:uid="{AFF65D2C-A5A7-4C90-B5C0-CEA9B1E90659}" name="Number of tags removed" dataDxfId="6"/>
    <tableColumn id="11" xr3:uid="{192ADC53-F63A-4FD3-8C4E-B48F39E56A63}" name="Date of 3rd visit to clean remaining tags" dataDxfId="5"/>
    <tableColumn id="12" xr3:uid="{0593865D-8B68-4C01-B04C-E645F18A067D}" name="Number of tags removed2" dataDxfId="4"/>
    <tableColumn id="13" xr3:uid="{4EEAA5CB-A1A4-4692-8228-A989EA6ABCE5}" name="Train Inspected and Fit for service    (Y/N)" dataDxfId="3"/>
    <tableColumn id="14" xr3:uid="{08DA3480-DA32-4FA5-9FA0-0163D519DF2E}" name="Inspected by Supervisor/Manager (Name)" dataDxfId="2"/>
    <tableColumn id="15" xr3:uid="{E528A125-4111-4859-B774-B248E0E0833F}" name="Date of Completing all shadows (Tags) on this Unit excluding acid etched shadows" dataDxfId="1"/>
    <tableColumn id="16" xr3:uid="{3390BBC7-A73E-42D0-B459-FFD18E132A3A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56E8D-1548-43A7-8321-1D1AAD032636}">
  <dimension ref="A1:D2"/>
  <sheetViews>
    <sheetView topLeftCell="A13" workbookViewId="0">
      <selection sqref="A1:A2"/>
    </sheetView>
  </sheetViews>
  <sheetFormatPr defaultRowHeight="15" x14ac:dyDescent="0.25"/>
  <sheetData>
    <row r="1" spans="1:4" x14ac:dyDescent="0.25">
      <c r="A1" t="s">
        <v>24</v>
      </c>
      <c r="D1" t="s">
        <v>28</v>
      </c>
    </row>
    <row r="2" spans="1:4" x14ac:dyDescent="0.25">
      <c r="A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47EE-CBBE-425F-B8B7-F0B980E2281F}">
  <sheetPr>
    <tabColor rgb="FF00B050"/>
  </sheetPr>
  <dimension ref="A1:U76"/>
  <sheetViews>
    <sheetView showGridLines="0" topLeftCell="A22" workbookViewId="0">
      <selection activeCell="J24" sqref="J24"/>
    </sheetView>
  </sheetViews>
  <sheetFormatPr defaultColWidth="19.140625" defaultRowHeight="15" x14ac:dyDescent="0.25"/>
  <cols>
    <col min="1" max="1" width="9.140625" style="1" customWidth="1"/>
    <col min="2" max="2" width="11.85546875" style="1" customWidth="1"/>
    <col min="3" max="3" width="12.5703125" style="1" customWidth="1"/>
    <col min="4" max="4" width="23.140625" style="55" customWidth="1"/>
    <col min="5" max="5" width="11.140625" style="29" customWidth="1"/>
    <col min="6" max="6" width="13.85546875" style="29" customWidth="1"/>
    <col min="7" max="7" width="13.140625" style="29" customWidth="1"/>
    <col min="8" max="8" width="17.85546875" style="29" customWidth="1"/>
    <col min="9" max="9" width="14.42578125" style="6" customWidth="1"/>
    <col min="10" max="10" width="11" style="29" customWidth="1"/>
    <col min="11" max="11" width="15.42578125" style="6" customWidth="1"/>
    <col min="12" max="12" width="13" style="29" customWidth="1"/>
    <col min="13" max="13" width="16" style="29" customWidth="1"/>
    <col min="14" max="14" width="15.5703125" style="1" customWidth="1"/>
    <col min="15" max="15" width="30.140625" style="29" customWidth="1"/>
    <col min="16" max="16" width="25.85546875" style="29" customWidth="1"/>
    <col min="17" max="16384" width="19.140625" style="1"/>
  </cols>
  <sheetData>
    <row r="1" spans="1:21" ht="45.75" thickBot="1" x14ac:dyDescent="0.3">
      <c r="A1" s="51" t="s">
        <v>0</v>
      </c>
      <c r="B1" s="43" t="s">
        <v>1</v>
      </c>
      <c r="C1" s="43" t="s">
        <v>26</v>
      </c>
      <c r="D1" s="54" t="s">
        <v>2</v>
      </c>
      <c r="E1" s="44" t="s">
        <v>3</v>
      </c>
      <c r="F1" s="44" t="s">
        <v>4</v>
      </c>
      <c r="G1" s="44" t="s">
        <v>5</v>
      </c>
      <c r="H1" s="64" t="s">
        <v>6</v>
      </c>
      <c r="I1" s="56" t="s">
        <v>7</v>
      </c>
      <c r="J1" s="45" t="s">
        <v>8</v>
      </c>
      <c r="K1" s="58" t="s">
        <v>9</v>
      </c>
      <c r="L1" s="46" t="s">
        <v>27</v>
      </c>
      <c r="M1" s="47" t="s">
        <v>10</v>
      </c>
      <c r="N1" s="52" t="s">
        <v>11</v>
      </c>
      <c r="O1" s="49" t="s">
        <v>12</v>
      </c>
      <c r="P1" s="50" t="s">
        <v>13</v>
      </c>
    </row>
    <row r="2" spans="1:21" ht="15" customHeight="1" x14ac:dyDescent="0.3">
      <c r="A2" s="65">
        <v>3231</v>
      </c>
      <c r="B2" s="53">
        <v>45792</v>
      </c>
      <c r="C2" s="8"/>
      <c r="D2" s="61">
        <v>4</v>
      </c>
      <c r="E2" s="61">
        <v>152</v>
      </c>
      <c r="F2" s="61">
        <v>152</v>
      </c>
      <c r="G2" s="61">
        <v>0</v>
      </c>
      <c r="H2" s="61">
        <v>0</v>
      </c>
      <c r="I2" s="57"/>
      <c r="J2" s="61"/>
      <c r="K2" s="57"/>
      <c r="L2" s="61"/>
      <c r="M2" s="22" t="s">
        <v>24</v>
      </c>
      <c r="N2" s="25" t="s">
        <v>14</v>
      </c>
      <c r="O2" s="53">
        <v>45792</v>
      </c>
      <c r="P2" s="63">
        <v>3231</v>
      </c>
      <c r="R2" s="81" t="s">
        <v>15</v>
      </c>
      <c r="S2" s="82"/>
      <c r="T2" s="82"/>
      <c r="U2" s="83"/>
    </row>
    <row r="3" spans="1:21" ht="15" customHeight="1" x14ac:dyDescent="0.3">
      <c r="A3" s="65">
        <v>3232</v>
      </c>
      <c r="B3" s="53">
        <v>45813</v>
      </c>
      <c r="C3" s="8"/>
      <c r="D3" s="61">
        <v>4</v>
      </c>
      <c r="E3" s="61">
        <v>224</v>
      </c>
      <c r="F3" s="61">
        <v>179</v>
      </c>
      <c r="G3" s="61">
        <v>65</v>
      </c>
      <c r="H3" s="61">
        <v>2</v>
      </c>
      <c r="I3" s="57">
        <v>45838</v>
      </c>
      <c r="J3" s="61">
        <v>30</v>
      </c>
      <c r="K3" s="57"/>
      <c r="L3" s="61"/>
      <c r="M3" s="22" t="s">
        <v>24</v>
      </c>
      <c r="N3" s="25" t="s">
        <v>14</v>
      </c>
      <c r="O3" s="53">
        <v>45838</v>
      </c>
      <c r="P3" s="63"/>
      <c r="R3" s="10" t="s">
        <v>16</v>
      </c>
      <c r="S3" s="11" t="s">
        <v>17</v>
      </c>
      <c r="T3" s="12" t="s">
        <v>23</v>
      </c>
      <c r="U3" s="13" t="s">
        <v>19</v>
      </c>
    </row>
    <row r="4" spans="1:21" ht="15" customHeight="1" thickBot="1" x14ac:dyDescent="0.35">
      <c r="A4" s="66">
        <v>3233</v>
      </c>
      <c r="B4" s="53">
        <v>45812</v>
      </c>
      <c r="C4" s="8"/>
      <c r="D4" s="61">
        <v>4</v>
      </c>
      <c r="E4" s="61">
        <v>139</v>
      </c>
      <c r="F4" s="61">
        <v>43</v>
      </c>
      <c r="G4" s="61">
        <v>96</v>
      </c>
      <c r="H4" s="61">
        <v>3</v>
      </c>
      <c r="I4" s="57">
        <v>45823</v>
      </c>
      <c r="J4" s="61">
        <v>47</v>
      </c>
      <c r="K4" s="57"/>
      <c r="L4" s="61"/>
      <c r="M4" s="22" t="s">
        <v>24</v>
      </c>
      <c r="N4" s="25" t="s">
        <v>14</v>
      </c>
      <c r="O4" s="53">
        <v>45823</v>
      </c>
      <c r="P4" s="63">
        <v>3233</v>
      </c>
      <c r="R4" s="14">
        <v>36</v>
      </c>
      <c r="S4" s="15">
        <f>R4*2</f>
        <v>72</v>
      </c>
      <c r="T4" s="15">
        <f>COUNTA(O:O)-1</f>
        <v>66</v>
      </c>
      <c r="U4" s="16">
        <f>T4/S4</f>
        <v>0.91666666666666663</v>
      </c>
    </row>
    <row r="5" spans="1:21" ht="15" customHeight="1" x14ac:dyDescent="0.3">
      <c r="A5" s="65">
        <v>3234</v>
      </c>
      <c r="B5" s="53">
        <v>45818</v>
      </c>
      <c r="C5" s="8"/>
      <c r="D5" s="61">
        <v>4</v>
      </c>
      <c r="E5" s="61">
        <v>311</v>
      </c>
      <c r="F5" s="61">
        <v>254</v>
      </c>
      <c r="G5" s="61">
        <v>57</v>
      </c>
      <c r="H5" s="61">
        <v>1</v>
      </c>
      <c r="I5" s="57">
        <v>45839</v>
      </c>
      <c r="J5" s="61">
        <v>59</v>
      </c>
      <c r="K5" s="57"/>
      <c r="L5" s="61"/>
      <c r="M5" s="22" t="s">
        <v>24</v>
      </c>
      <c r="N5" s="25" t="s">
        <v>14</v>
      </c>
      <c r="O5" s="53">
        <v>45826</v>
      </c>
      <c r="P5" s="63">
        <v>3234</v>
      </c>
    </row>
    <row r="6" spans="1:21" ht="15" customHeight="1" x14ac:dyDescent="0.3">
      <c r="A6" s="65">
        <v>3235</v>
      </c>
      <c r="B6" s="53">
        <v>45826</v>
      </c>
      <c r="C6" s="8"/>
      <c r="D6" s="61">
        <v>4</v>
      </c>
      <c r="E6" s="61">
        <v>340</v>
      </c>
      <c r="F6" s="61">
        <v>340</v>
      </c>
      <c r="G6" s="61">
        <v>0</v>
      </c>
      <c r="H6" s="61">
        <v>0</v>
      </c>
      <c r="I6" s="57"/>
      <c r="J6" s="61"/>
      <c r="K6" s="57"/>
      <c r="L6" s="61"/>
      <c r="M6" s="22" t="s">
        <v>24</v>
      </c>
      <c r="N6" s="25" t="s">
        <v>14</v>
      </c>
      <c r="O6" s="53">
        <v>45826</v>
      </c>
      <c r="P6" s="63">
        <v>3235</v>
      </c>
    </row>
    <row r="7" spans="1:21" ht="15" customHeight="1" x14ac:dyDescent="0.3">
      <c r="A7" s="65">
        <v>3236</v>
      </c>
      <c r="B7" s="53">
        <v>45806</v>
      </c>
      <c r="C7" s="8"/>
      <c r="D7" s="61">
        <v>4</v>
      </c>
      <c r="E7" s="61">
        <v>175</v>
      </c>
      <c r="F7" s="61">
        <v>175</v>
      </c>
      <c r="G7" s="61">
        <v>0</v>
      </c>
      <c r="H7" s="61">
        <v>0</v>
      </c>
      <c r="I7" s="57"/>
      <c r="J7" s="61"/>
      <c r="K7" s="57"/>
      <c r="L7" s="61"/>
      <c r="M7" s="22" t="s">
        <v>24</v>
      </c>
      <c r="N7" s="25" t="s">
        <v>14</v>
      </c>
      <c r="O7" s="53">
        <v>45806</v>
      </c>
      <c r="P7" s="63">
        <v>3236</v>
      </c>
    </row>
    <row r="8" spans="1:21" ht="15" customHeight="1" x14ac:dyDescent="0.3">
      <c r="A8" s="65">
        <v>3237</v>
      </c>
      <c r="B8" s="53">
        <v>45774</v>
      </c>
      <c r="C8" s="8"/>
      <c r="D8" s="61">
        <v>4</v>
      </c>
      <c r="E8" s="61">
        <v>155</v>
      </c>
      <c r="F8" s="61">
        <v>20</v>
      </c>
      <c r="G8" s="61">
        <v>135</v>
      </c>
      <c r="H8" s="61">
        <v>3</v>
      </c>
      <c r="I8" s="57">
        <v>45785</v>
      </c>
      <c r="J8" s="61">
        <v>70</v>
      </c>
      <c r="K8" s="57">
        <v>45803</v>
      </c>
      <c r="L8" s="61">
        <v>65</v>
      </c>
      <c r="M8" s="22" t="s">
        <v>24</v>
      </c>
      <c r="N8" s="25" t="s">
        <v>14</v>
      </c>
      <c r="O8" s="53">
        <v>45803</v>
      </c>
      <c r="P8" s="63">
        <v>3237</v>
      </c>
    </row>
    <row r="9" spans="1:21" ht="15" customHeight="1" x14ac:dyDescent="0.3">
      <c r="A9" s="65">
        <v>3238</v>
      </c>
      <c r="B9" s="53">
        <v>45791</v>
      </c>
      <c r="C9" s="8"/>
      <c r="D9" s="61">
        <v>4</v>
      </c>
      <c r="E9" s="61">
        <v>89</v>
      </c>
      <c r="F9" s="61">
        <v>77</v>
      </c>
      <c r="G9" s="61">
        <v>12</v>
      </c>
      <c r="H9" s="61">
        <v>3</v>
      </c>
      <c r="I9" s="57">
        <v>45825</v>
      </c>
      <c r="J9" s="61">
        <v>165</v>
      </c>
      <c r="K9" s="57"/>
      <c r="L9" s="61"/>
      <c r="M9" s="22" t="s">
        <v>24</v>
      </c>
      <c r="N9" s="25" t="s">
        <v>14</v>
      </c>
      <c r="O9" s="53">
        <v>45825</v>
      </c>
      <c r="P9" s="63">
        <v>4338</v>
      </c>
    </row>
    <row r="10" spans="1:21" ht="15" customHeight="1" x14ac:dyDescent="0.3">
      <c r="A10" s="65">
        <v>3239</v>
      </c>
      <c r="B10" s="53">
        <v>45830</v>
      </c>
      <c r="C10" s="8"/>
      <c r="D10" s="61">
        <v>4</v>
      </c>
      <c r="E10" s="61">
        <v>435</v>
      </c>
      <c r="F10" s="61">
        <v>435</v>
      </c>
      <c r="G10" s="61">
        <v>0</v>
      </c>
      <c r="H10" s="61">
        <v>0</v>
      </c>
      <c r="I10" s="57"/>
      <c r="J10" s="61"/>
      <c r="K10" s="57"/>
      <c r="L10" s="61"/>
      <c r="M10" s="22" t="s">
        <v>24</v>
      </c>
      <c r="N10" s="25" t="s">
        <v>14</v>
      </c>
      <c r="O10" s="53">
        <v>45830</v>
      </c>
      <c r="P10" s="63">
        <v>3239</v>
      </c>
    </row>
    <row r="11" spans="1:21" ht="15" customHeight="1" x14ac:dyDescent="0.3">
      <c r="A11" s="65">
        <v>3240</v>
      </c>
      <c r="B11" s="53">
        <v>45821</v>
      </c>
      <c r="C11" s="8"/>
      <c r="D11" s="61">
        <v>4</v>
      </c>
      <c r="E11" s="61">
        <v>301</v>
      </c>
      <c r="F11" s="61">
        <v>301</v>
      </c>
      <c r="G11" s="61">
        <v>0</v>
      </c>
      <c r="H11" s="61">
        <v>0</v>
      </c>
      <c r="I11" s="57"/>
      <c r="J11" s="61"/>
      <c r="K11" s="57"/>
      <c r="L11" s="61"/>
      <c r="M11" s="22" t="s">
        <v>24</v>
      </c>
      <c r="N11" s="25" t="s">
        <v>14</v>
      </c>
      <c r="O11" s="53">
        <v>45821</v>
      </c>
      <c r="P11" s="63">
        <v>3240</v>
      </c>
    </row>
    <row r="12" spans="1:21" ht="15" customHeight="1" x14ac:dyDescent="0.3">
      <c r="A12" s="65">
        <v>3241</v>
      </c>
      <c r="B12" s="53">
        <v>45771</v>
      </c>
      <c r="C12" s="8"/>
      <c r="D12" s="61">
        <v>4</v>
      </c>
      <c r="E12" s="61">
        <v>205</v>
      </c>
      <c r="F12" s="61">
        <v>90</v>
      </c>
      <c r="G12" s="61">
        <v>115</v>
      </c>
      <c r="H12" s="61">
        <v>3</v>
      </c>
      <c r="I12" s="57">
        <v>45805</v>
      </c>
      <c r="J12" s="61">
        <v>115</v>
      </c>
      <c r="K12" s="57"/>
      <c r="L12" s="61"/>
      <c r="M12" s="22" t="s">
        <v>24</v>
      </c>
      <c r="N12" s="25" t="s">
        <v>14</v>
      </c>
      <c r="O12" s="53">
        <v>45805</v>
      </c>
      <c r="P12" s="63">
        <v>3241</v>
      </c>
      <c r="R12" s="5"/>
    </row>
    <row r="13" spans="1:21" ht="15" customHeight="1" x14ac:dyDescent="0.3">
      <c r="A13" s="65">
        <v>3242</v>
      </c>
      <c r="B13" s="53">
        <v>45764</v>
      </c>
      <c r="C13" s="8"/>
      <c r="D13" s="61">
        <v>4</v>
      </c>
      <c r="E13" s="61">
        <v>360</v>
      </c>
      <c r="F13" s="61">
        <v>360</v>
      </c>
      <c r="G13" s="61">
        <v>0</v>
      </c>
      <c r="H13" s="61">
        <v>0</v>
      </c>
      <c r="I13" s="57"/>
      <c r="J13" s="61"/>
      <c r="K13" s="57"/>
      <c r="L13" s="61"/>
      <c r="M13" s="22" t="s">
        <v>24</v>
      </c>
      <c r="N13" s="25" t="s">
        <v>14</v>
      </c>
      <c r="O13" s="53">
        <v>45764</v>
      </c>
      <c r="P13" s="63">
        <v>3242</v>
      </c>
    </row>
    <row r="14" spans="1:21" ht="15" customHeight="1" x14ac:dyDescent="0.3">
      <c r="A14" s="65">
        <v>3243</v>
      </c>
      <c r="B14" s="53">
        <v>45797</v>
      </c>
      <c r="C14" s="8"/>
      <c r="D14" s="61">
        <v>4</v>
      </c>
      <c r="E14" s="61">
        <v>384</v>
      </c>
      <c r="F14" s="61">
        <v>384</v>
      </c>
      <c r="G14" s="61">
        <v>0</v>
      </c>
      <c r="H14" s="61">
        <v>0</v>
      </c>
      <c r="I14" s="57"/>
      <c r="J14" s="61"/>
      <c r="K14" s="57"/>
      <c r="L14" s="61"/>
      <c r="M14" s="22" t="s">
        <v>24</v>
      </c>
      <c r="N14" s="25" t="s">
        <v>14</v>
      </c>
      <c r="O14" s="53">
        <v>45797</v>
      </c>
      <c r="P14" s="63">
        <v>3243</v>
      </c>
      <c r="R14" s="5"/>
    </row>
    <row r="15" spans="1:21" ht="15" customHeight="1" x14ac:dyDescent="0.3">
      <c r="A15" s="65">
        <v>3244</v>
      </c>
      <c r="B15" s="53">
        <v>45776</v>
      </c>
      <c r="C15" s="8"/>
      <c r="D15" s="61">
        <v>1</v>
      </c>
      <c r="E15" s="61">
        <v>213</v>
      </c>
      <c r="F15" s="61">
        <v>63</v>
      </c>
      <c r="G15" s="61">
        <v>150</v>
      </c>
      <c r="H15" s="61">
        <v>0</v>
      </c>
      <c r="I15" s="57">
        <v>45838</v>
      </c>
      <c r="J15" s="61">
        <v>105</v>
      </c>
      <c r="K15" s="57"/>
      <c r="L15" s="61"/>
      <c r="M15" s="22" t="s">
        <v>24</v>
      </c>
      <c r="N15" s="25" t="s">
        <v>14</v>
      </c>
      <c r="O15" s="53">
        <v>45809</v>
      </c>
      <c r="P15" s="63">
        <v>3244</v>
      </c>
    </row>
    <row r="16" spans="1:21" ht="15" customHeight="1" x14ac:dyDescent="0.3">
      <c r="A16" s="67">
        <v>3245</v>
      </c>
      <c r="B16" s="53">
        <v>45776</v>
      </c>
      <c r="C16" s="8" t="s">
        <v>28</v>
      </c>
      <c r="D16" s="61">
        <v>4</v>
      </c>
      <c r="E16" s="61">
        <v>105</v>
      </c>
      <c r="F16" s="61">
        <v>105</v>
      </c>
      <c r="G16" s="61">
        <v>0</v>
      </c>
      <c r="H16" s="61">
        <v>0</v>
      </c>
      <c r="I16" s="57"/>
      <c r="J16" s="61"/>
      <c r="K16" s="57"/>
      <c r="L16" s="61"/>
      <c r="M16" s="22" t="s">
        <v>24</v>
      </c>
      <c r="N16" s="25" t="s">
        <v>14</v>
      </c>
      <c r="O16" s="53">
        <v>45776</v>
      </c>
      <c r="P16" s="63">
        <v>3245</v>
      </c>
    </row>
    <row r="17" spans="1:18" ht="15" customHeight="1" x14ac:dyDescent="0.3">
      <c r="A17" s="65">
        <v>3246</v>
      </c>
      <c r="B17" s="53">
        <v>45781</v>
      </c>
      <c r="C17" s="8"/>
      <c r="D17" s="61">
        <v>4</v>
      </c>
      <c r="E17" s="61">
        <v>177</v>
      </c>
      <c r="F17" s="61">
        <v>14</v>
      </c>
      <c r="G17" s="61">
        <v>163</v>
      </c>
      <c r="H17" s="61">
        <v>3</v>
      </c>
      <c r="I17" s="57">
        <v>45833</v>
      </c>
      <c r="J17" s="61">
        <v>163</v>
      </c>
      <c r="K17" s="57"/>
      <c r="L17" s="61"/>
      <c r="M17" s="22" t="s">
        <v>24</v>
      </c>
      <c r="N17" s="25" t="s">
        <v>14</v>
      </c>
      <c r="O17" s="53">
        <v>45833</v>
      </c>
      <c r="P17" s="63">
        <v>3346</v>
      </c>
    </row>
    <row r="18" spans="1:18" ht="15" customHeight="1" x14ac:dyDescent="0.3">
      <c r="A18" s="67">
        <v>3247</v>
      </c>
      <c r="B18" s="53"/>
      <c r="C18" s="8"/>
      <c r="D18" s="61">
        <v>4</v>
      </c>
      <c r="E18" s="61">
        <v>0</v>
      </c>
      <c r="F18" s="61">
        <v>0</v>
      </c>
      <c r="G18" s="61">
        <v>0</v>
      </c>
      <c r="H18" s="61">
        <v>0</v>
      </c>
      <c r="I18" s="57"/>
      <c r="J18" s="61"/>
      <c r="K18" s="57"/>
      <c r="L18" s="61"/>
      <c r="M18" s="22"/>
      <c r="N18" s="25"/>
      <c r="O18" s="53"/>
      <c r="P18" s="63"/>
    </row>
    <row r="19" spans="1:18" ht="15" customHeight="1" x14ac:dyDescent="0.3">
      <c r="A19" s="65">
        <v>3248</v>
      </c>
      <c r="B19" s="53">
        <v>45834</v>
      </c>
      <c r="C19" s="8"/>
      <c r="D19" s="61">
        <v>4</v>
      </c>
      <c r="E19" s="61">
        <v>272</v>
      </c>
      <c r="F19" s="61">
        <v>272</v>
      </c>
      <c r="G19" s="61">
        <v>0</v>
      </c>
      <c r="H19" s="61">
        <v>0</v>
      </c>
      <c r="I19" s="57"/>
      <c r="J19" s="61"/>
      <c r="K19" s="57"/>
      <c r="L19" s="61"/>
      <c r="M19" s="22" t="s">
        <v>24</v>
      </c>
      <c r="N19" s="25" t="s">
        <v>14</v>
      </c>
      <c r="O19" s="53">
        <v>45842</v>
      </c>
      <c r="P19" s="63">
        <v>3248</v>
      </c>
    </row>
    <row r="20" spans="1:18" ht="15" customHeight="1" x14ac:dyDescent="0.3">
      <c r="A20" s="65">
        <v>3250</v>
      </c>
      <c r="B20" s="53">
        <v>45783</v>
      </c>
      <c r="C20" s="8"/>
      <c r="D20" s="61">
        <v>4</v>
      </c>
      <c r="E20" s="61">
        <v>247</v>
      </c>
      <c r="F20" s="61">
        <v>205</v>
      </c>
      <c r="G20" s="61">
        <v>42</v>
      </c>
      <c r="H20" s="61">
        <v>2</v>
      </c>
      <c r="I20" s="57">
        <v>45828</v>
      </c>
      <c r="J20" s="61">
        <v>145</v>
      </c>
      <c r="K20" s="57"/>
      <c r="L20" s="61"/>
      <c r="M20" s="22" t="s">
        <v>24</v>
      </c>
      <c r="N20" s="25" t="s">
        <v>14</v>
      </c>
      <c r="O20" s="53">
        <v>45828</v>
      </c>
      <c r="P20" s="63">
        <v>3250</v>
      </c>
    </row>
    <row r="21" spans="1:18" ht="15" customHeight="1" x14ac:dyDescent="0.3">
      <c r="A21" s="66">
        <v>3251</v>
      </c>
      <c r="B21" s="53">
        <v>45778</v>
      </c>
      <c r="C21" s="8"/>
      <c r="D21" s="61">
        <v>4</v>
      </c>
      <c r="E21" s="61">
        <v>163</v>
      </c>
      <c r="F21" s="61">
        <v>113</v>
      </c>
      <c r="G21" s="61">
        <v>50</v>
      </c>
      <c r="H21" s="61">
        <v>2</v>
      </c>
      <c r="I21" s="57">
        <v>45819</v>
      </c>
      <c r="J21" s="61">
        <v>115</v>
      </c>
      <c r="K21" s="57"/>
      <c r="L21" s="61"/>
      <c r="M21" s="22" t="s">
        <v>24</v>
      </c>
      <c r="N21" s="25" t="s">
        <v>14</v>
      </c>
      <c r="O21" s="53">
        <v>45819</v>
      </c>
      <c r="P21" s="63">
        <v>3251</v>
      </c>
    </row>
    <row r="22" spans="1:18" ht="15" customHeight="1" x14ac:dyDescent="0.3">
      <c r="A22" s="68">
        <v>3252</v>
      </c>
      <c r="B22" s="53">
        <v>45816</v>
      </c>
      <c r="C22" s="8"/>
      <c r="D22" s="61">
        <v>4</v>
      </c>
      <c r="E22" s="61">
        <v>341</v>
      </c>
      <c r="F22" s="61">
        <v>284</v>
      </c>
      <c r="G22" s="61">
        <v>57</v>
      </c>
      <c r="H22" s="61">
        <v>1</v>
      </c>
      <c r="I22" s="57">
        <v>45819</v>
      </c>
      <c r="J22" s="61">
        <v>42</v>
      </c>
      <c r="K22" s="57">
        <v>45819</v>
      </c>
      <c r="L22" s="61">
        <v>104</v>
      </c>
      <c r="M22" s="22" t="s">
        <v>24</v>
      </c>
      <c r="N22" s="25" t="s">
        <v>14</v>
      </c>
      <c r="O22" s="53">
        <v>45819</v>
      </c>
      <c r="P22" s="63">
        <v>3352</v>
      </c>
    </row>
    <row r="23" spans="1:18" ht="15" customHeight="1" x14ac:dyDescent="0.3">
      <c r="A23" s="66">
        <v>3253</v>
      </c>
      <c r="B23" s="53"/>
      <c r="C23" s="8"/>
      <c r="D23" s="61">
        <v>4</v>
      </c>
      <c r="E23" s="61">
        <v>0</v>
      </c>
      <c r="F23" s="61">
        <v>0</v>
      </c>
      <c r="G23" s="61">
        <v>0</v>
      </c>
      <c r="H23" s="61">
        <v>0</v>
      </c>
      <c r="I23" s="57"/>
      <c r="J23" s="61"/>
      <c r="K23" s="57"/>
      <c r="L23" s="61"/>
      <c r="M23" s="22"/>
      <c r="N23" s="25"/>
      <c r="O23" s="53"/>
      <c r="P23" s="63"/>
    </row>
    <row r="24" spans="1:18" ht="15" customHeight="1" x14ac:dyDescent="0.3">
      <c r="A24" s="65">
        <v>3254</v>
      </c>
      <c r="B24" s="53">
        <v>45820</v>
      </c>
      <c r="C24" s="8"/>
      <c r="D24" s="61">
        <v>4</v>
      </c>
      <c r="E24" s="61">
        <v>488</v>
      </c>
      <c r="F24" s="61">
        <v>488</v>
      </c>
      <c r="G24" s="61">
        <v>0</v>
      </c>
      <c r="H24" s="61">
        <v>0</v>
      </c>
      <c r="I24" s="57"/>
      <c r="J24" s="61"/>
      <c r="K24" s="57"/>
      <c r="L24" s="61"/>
      <c r="M24" s="22" t="s">
        <v>24</v>
      </c>
      <c r="N24" s="25" t="s">
        <v>14</v>
      </c>
      <c r="O24" s="53">
        <v>45820</v>
      </c>
      <c r="P24" s="63">
        <v>3254</v>
      </c>
    </row>
    <row r="25" spans="1:18" ht="15" customHeight="1" x14ac:dyDescent="0.3">
      <c r="A25" s="67">
        <v>3255</v>
      </c>
      <c r="B25" s="53">
        <v>45795</v>
      </c>
      <c r="C25" s="8" t="s">
        <v>28</v>
      </c>
      <c r="D25" s="61">
        <v>4</v>
      </c>
      <c r="E25" s="61">
        <v>372</v>
      </c>
      <c r="F25" s="61">
        <v>352</v>
      </c>
      <c r="G25" s="61">
        <v>0</v>
      </c>
      <c r="H25" s="61">
        <v>1</v>
      </c>
      <c r="I25" s="57">
        <v>45795</v>
      </c>
      <c r="J25" s="61">
        <v>105</v>
      </c>
      <c r="K25" s="57">
        <v>45824</v>
      </c>
      <c r="L25" s="61">
        <v>52</v>
      </c>
      <c r="M25" s="22" t="s">
        <v>24</v>
      </c>
      <c r="N25" s="25" t="s">
        <v>14</v>
      </c>
      <c r="O25" s="53">
        <v>45824</v>
      </c>
      <c r="P25" s="63">
        <v>3255</v>
      </c>
    </row>
    <row r="26" spans="1:18" ht="15" customHeight="1" x14ac:dyDescent="0.3">
      <c r="A26" s="67">
        <v>3256</v>
      </c>
      <c r="B26" s="53">
        <v>45834</v>
      </c>
      <c r="C26" s="8" t="s">
        <v>28</v>
      </c>
      <c r="D26" s="61">
        <v>4</v>
      </c>
      <c r="E26" s="61">
        <v>324</v>
      </c>
      <c r="F26" s="61">
        <v>144</v>
      </c>
      <c r="G26" s="61">
        <v>180</v>
      </c>
      <c r="H26" s="61">
        <v>2</v>
      </c>
      <c r="I26" s="57">
        <v>45841</v>
      </c>
      <c r="J26" s="61">
        <v>87</v>
      </c>
      <c r="K26" s="57">
        <v>45842</v>
      </c>
      <c r="L26" s="61">
        <v>93</v>
      </c>
      <c r="M26" s="22" t="s">
        <v>24</v>
      </c>
      <c r="N26" s="25" t="s">
        <v>14</v>
      </c>
      <c r="O26" s="53">
        <v>45842</v>
      </c>
      <c r="P26" s="63">
        <v>3256</v>
      </c>
    </row>
    <row r="27" spans="1:18" ht="15" customHeight="1" x14ac:dyDescent="0.3">
      <c r="A27" s="65">
        <v>3258</v>
      </c>
      <c r="B27" s="53">
        <v>45803</v>
      </c>
      <c r="C27" s="8"/>
      <c r="D27" s="61">
        <v>4</v>
      </c>
      <c r="E27" s="61">
        <v>190</v>
      </c>
      <c r="F27" s="61">
        <v>190</v>
      </c>
      <c r="G27" s="61">
        <v>0</v>
      </c>
      <c r="H27" s="61">
        <v>0</v>
      </c>
      <c r="I27" s="57"/>
      <c r="J27" s="61"/>
      <c r="K27" s="57"/>
      <c r="L27" s="61"/>
      <c r="M27" s="22" t="s">
        <v>24</v>
      </c>
      <c r="N27" s="25" t="s">
        <v>14</v>
      </c>
      <c r="O27" s="53">
        <v>45803</v>
      </c>
      <c r="P27" s="63">
        <v>3258</v>
      </c>
      <c r="R27" s="5"/>
    </row>
    <row r="28" spans="1:18" ht="15" customHeight="1" x14ac:dyDescent="0.3">
      <c r="A28" s="67">
        <v>3259</v>
      </c>
      <c r="B28" s="53">
        <v>45827</v>
      </c>
      <c r="C28" s="8" t="s">
        <v>28</v>
      </c>
      <c r="D28" s="61">
        <v>4</v>
      </c>
      <c r="E28" s="61">
        <v>458</v>
      </c>
      <c r="F28" s="61">
        <v>458</v>
      </c>
      <c r="G28" s="61">
        <v>0</v>
      </c>
      <c r="H28" s="61">
        <v>0</v>
      </c>
      <c r="I28" s="57"/>
      <c r="J28" s="61"/>
      <c r="K28" s="57"/>
      <c r="L28" s="61"/>
      <c r="M28" s="22" t="s">
        <v>24</v>
      </c>
      <c r="N28" s="25" t="s">
        <v>14</v>
      </c>
      <c r="O28" s="53">
        <v>45827</v>
      </c>
      <c r="P28" s="63">
        <v>3259</v>
      </c>
    </row>
    <row r="29" spans="1:18" ht="15" customHeight="1" x14ac:dyDescent="0.3">
      <c r="A29" s="67">
        <v>3260</v>
      </c>
      <c r="B29" s="53"/>
      <c r="C29" s="8"/>
      <c r="D29" s="61">
        <v>4</v>
      </c>
      <c r="E29" s="61">
        <v>0</v>
      </c>
      <c r="F29" s="61">
        <v>0</v>
      </c>
      <c r="G29" s="61">
        <v>0</v>
      </c>
      <c r="H29" s="61">
        <v>0</v>
      </c>
      <c r="I29" s="57"/>
      <c r="J29" s="61"/>
      <c r="K29" s="57"/>
      <c r="L29" s="61"/>
      <c r="M29" s="22"/>
      <c r="N29" s="25"/>
      <c r="O29" s="53"/>
      <c r="P29" s="63"/>
      <c r="R29" s="1" t="s">
        <v>22</v>
      </c>
    </row>
    <row r="30" spans="1:18" ht="15" customHeight="1" x14ac:dyDescent="0.3">
      <c r="A30" s="65">
        <v>3261</v>
      </c>
      <c r="B30" s="53">
        <v>45796</v>
      </c>
      <c r="C30" s="8"/>
      <c r="D30" s="61">
        <v>4</v>
      </c>
      <c r="E30" s="61">
        <v>195</v>
      </c>
      <c r="F30" s="61">
        <v>195</v>
      </c>
      <c r="G30" s="61">
        <v>0</v>
      </c>
      <c r="H30" s="61">
        <v>0</v>
      </c>
      <c r="I30" s="57"/>
      <c r="J30" s="61"/>
      <c r="K30" s="57"/>
      <c r="L30" s="61"/>
      <c r="M30" s="22" t="s">
        <v>24</v>
      </c>
      <c r="N30" s="25" t="s">
        <v>14</v>
      </c>
      <c r="O30" s="53">
        <v>45796</v>
      </c>
      <c r="P30" s="63">
        <v>3261</v>
      </c>
    </row>
    <row r="31" spans="1:18" ht="15" customHeight="1" x14ac:dyDescent="0.3">
      <c r="A31" s="65">
        <v>3262</v>
      </c>
      <c r="B31" s="53">
        <v>45761</v>
      </c>
      <c r="C31" s="8"/>
      <c r="D31" s="61">
        <v>4</v>
      </c>
      <c r="E31" s="61">
        <v>116</v>
      </c>
      <c r="F31" s="61">
        <v>116</v>
      </c>
      <c r="G31" s="61">
        <v>0</v>
      </c>
      <c r="H31" s="61">
        <v>0</v>
      </c>
      <c r="I31" s="57"/>
      <c r="J31" s="61"/>
      <c r="K31" s="57"/>
      <c r="L31" s="61"/>
      <c r="M31" s="22" t="s">
        <v>24</v>
      </c>
      <c r="N31" s="25" t="s">
        <v>14</v>
      </c>
      <c r="O31" s="53">
        <v>45761</v>
      </c>
      <c r="P31" s="63"/>
    </row>
    <row r="32" spans="1:18" ht="15" customHeight="1" x14ac:dyDescent="0.3">
      <c r="A32" s="65">
        <v>3263</v>
      </c>
      <c r="B32" s="53">
        <v>45762</v>
      </c>
      <c r="C32" s="8"/>
      <c r="D32" s="61">
        <v>4</v>
      </c>
      <c r="E32" s="61">
        <v>59</v>
      </c>
      <c r="F32" s="61">
        <v>59</v>
      </c>
      <c r="G32" s="61">
        <v>0</v>
      </c>
      <c r="H32" s="61">
        <v>2</v>
      </c>
      <c r="I32" s="57">
        <v>45828</v>
      </c>
      <c r="J32" s="61">
        <v>42</v>
      </c>
      <c r="K32" s="57">
        <v>45833</v>
      </c>
      <c r="L32" s="61">
        <v>39</v>
      </c>
      <c r="M32" s="22" t="s">
        <v>24</v>
      </c>
      <c r="N32" s="25" t="s">
        <v>14</v>
      </c>
      <c r="O32" s="53">
        <v>45833</v>
      </c>
      <c r="P32" s="63">
        <v>3263</v>
      </c>
    </row>
    <row r="33" spans="1:19" ht="15" customHeight="1" x14ac:dyDescent="0.3">
      <c r="A33" s="65">
        <v>3264</v>
      </c>
      <c r="B33" s="53">
        <v>45784</v>
      </c>
      <c r="C33" s="8"/>
      <c r="D33" s="61">
        <v>4</v>
      </c>
      <c r="E33" s="61">
        <v>201</v>
      </c>
      <c r="F33" s="61">
        <v>201</v>
      </c>
      <c r="G33" s="61">
        <v>0</v>
      </c>
      <c r="H33" s="61">
        <v>0</v>
      </c>
      <c r="I33" s="57"/>
      <c r="J33" s="61"/>
      <c r="K33" s="57"/>
      <c r="L33" s="61"/>
      <c r="M33" s="22" t="s">
        <v>24</v>
      </c>
      <c r="N33" s="25" t="s">
        <v>14</v>
      </c>
      <c r="O33" s="53">
        <v>45784</v>
      </c>
      <c r="P33" s="63">
        <v>3264</v>
      </c>
    </row>
    <row r="34" spans="1:19" ht="15" customHeight="1" x14ac:dyDescent="0.3">
      <c r="A34" s="65">
        <v>3265</v>
      </c>
      <c r="B34" s="53">
        <v>45823</v>
      </c>
      <c r="C34" s="8"/>
      <c r="D34" s="61">
        <v>4</v>
      </c>
      <c r="E34" s="61">
        <v>430</v>
      </c>
      <c r="F34" s="61">
        <v>359</v>
      </c>
      <c r="G34" s="61">
        <v>71</v>
      </c>
      <c r="H34" s="61">
        <v>0</v>
      </c>
      <c r="I34" s="57"/>
      <c r="J34" s="61"/>
      <c r="K34" s="57"/>
      <c r="L34" s="61"/>
      <c r="M34" s="22" t="s">
        <v>24</v>
      </c>
      <c r="N34" s="25" t="s">
        <v>14</v>
      </c>
      <c r="O34" s="53">
        <v>45823</v>
      </c>
      <c r="P34" s="63">
        <v>3265</v>
      </c>
    </row>
    <row r="35" spans="1:19" ht="15" customHeight="1" x14ac:dyDescent="0.3">
      <c r="A35" s="68">
        <v>3266</v>
      </c>
      <c r="B35" s="53">
        <v>45778</v>
      </c>
      <c r="C35" s="8"/>
      <c r="D35" s="61">
        <v>4</v>
      </c>
      <c r="E35" s="61">
        <v>167</v>
      </c>
      <c r="F35" s="61">
        <v>167</v>
      </c>
      <c r="G35" s="61">
        <v>0</v>
      </c>
      <c r="H35" s="61">
        <v>0</v>
      </c>
      <c r="I35" s="57"/>
      <c r="J35" s="61"/>
      <c r="K35" s="57"/>
      <c r="L35" s="61"/>
      <c r="M35" s="22" t="s">
        <v>24</v>
      </c>
      <c r="N35" s="25" t="s">
        <v>14</v>
      </c>
      <c r="O35" s="53">
        <v>45778</v>
      </c>
      <c r="P35" s="63">
        <v>3266</v>
      </c>
    </row>
    <row r="36" spans="1:19" ht="15" customHeight="1" x14ac:dyDescent="0.3">
      <c r="A36" s="67">
        <v>3267</v>
      </c>
      <c r="B36" s="53">
        <v>45776</v>
      </c>
      <c r="C36" s="8" t="s">
        <v>28</v>
      </c>
      <c r="D36" s="61">
        <v>3</v>
      </c>
      <c r="E36" s="61">
        <v>177</v>
      </c>
      <c r="F36" s="61">
        <v>173</v>
      </c>
      <c r="G36" s="61">
        <v>4</v>
      </c>
      <c r="H36" s="61">
        <v>1</v>
      </c>
      <c r="I36" s="57"/>
      <c r="J36" s="61"/>
      <c r="K36" s="57"/>
      <c r="L36" s="61"/>
      <c r="M36" s="22" t="s">
        <v>24</v>
      </c>
      <c r="N36" s="25" t="s">
        <v>14</v>
      </c>
      <c r="O36" s="53"/>
      <c r="P36" s="63"/>
    </row>
    <row r="37" spans="1:19" ht="15" customHeight="1" x14ac:dyDescent="0.3">
      <c r="A37" s="65">
        <v>3299</v>
      </c>
      <c r="B37" s="53">
        <v>45788</v>
      </c>
      <c r="C37" s="8"/>
      <c r="D37" s="61">
        <v>4</v>
      </c>
      <c r="E37" s="61">
        <v>123</v>
      </c>
      <c r="F37" s="61">
        <v>123</v>
      </c>
      <c r="G37" s="61">
        <v>0</v>
      </c>
      <c r="H37" s="61">
        <v>2</v>
      </c>
      <c r="I37" s="57">
        <v>45820</v>
      </c>
      <c r="J37" s="61">
        <v>35</v>
      </c>
      <c r="K37" s="57"/>
      <c r="L37" s="61"/>
      <c r="M37" s="22" t="s">
        <v>24</v>
      </c>
      <c r="N37" s="25" t="s">
        <v>14</v>
      </c>
      <c r="O37" s="53">
        <v>45820</v>
      </c>
      <c r="P37" s="63">
        <v>3299</v>
      </c>
    </row>
    <row r="38" spans="1:19" ht="15" customHeight="1" x14ac:dyDescent="0.3">
      <c r="A38" s="65">
        <v>3531</v>
      </c>
      <c r="B38" s="53">
        <v>45790</v>
      </c>
      <c r="C38" s="8"/>
      <c r="D38" s="61">
        <v>3</v>
      </c>
      <c r="E38" s="61">
        <v>146</v>
      </c>
      <c r="F38" s="61">
        <v>105</v>
      </c>
      <c r="G38" s="61">
        <v>41</v>
      </c>
      <c r="H38" s="61">
        <v>2</v>
      </c>
      <c r="I38" s="57">
        <v>45832</v>
      </c>
      <c r="J38" s="61">
        <v>473</v>
      </c>
      <c r="K38" s="57"/>
      <c r="L38" s="61"/>
      <c r="M38" s="22" t="s">
        <v>24</v>
      </c>
      <c r="N38" s="25" t="s">
        <v>14</v>
      </c>
      <c r="O38" s="53">
        <v>45832</v>
      </c>
      <c r="P38" s="63">
        <v>3431</v>
      </c>
    </row>
    <row r="39" spans="1:19" ht="15" customHeight="1" x14ac:dyDescent="0.3">
      <c r="A39" s="67">
        <v>3532</v>
      </c>
      <c r="B39" s="53"/>
      <c r="C39" s="8"/>
      <c r="D39" s="61">
        <v>3</v>
      </c>
      <c r="E39" s="61">
        <v>0</v>
      </c>
      <c r="F39" s="61">
        <v>0</v>
      </c>
      <c r="G39" s="61">
        <v>0</v>
      </c>
      <c r="H39" s="61">
        <v>0</v>
      </c>
      <c r="I39" s="57"/>
      <c r="J39" s="61"/>
      <c r="K39" s="57"/>
      <c r="L39" s="61"/>
      <c r="M39" s="22"/>
      <c r="N39" s="25"/>
      <c r="O39" s="53"/>
      <c r="P39" s="63"/>
    </row>
    <row r="40" spans="1:19" ht="15" customHeight="1" x14ac:dyDescent="0.3">
      <c r="A40" s="67">
        <v>3533</v>
      </c>
      <c r="B40" s="53"/>
      <c r="C40" s="8"/>
      <c r="D40" s="61">
        <v>3</v>
      </c>
      <c r="E40" s="61">
        <v>0</v>
      </c>
      <c r="F40" s="61">
        <v>0</v>
      </c>
      <c r="G40" s="61">
        <v>0</v>
      </c>
      <c r="H40" s="61">
        <v>0</v>
      </c>
      <c r="I40" s="57"/>
      <c r="J40" s="61"/>
      <c r="K40" s="57"/>
      <c r="L40" s="61"/>
      <c r="M40" s="22"/>
      <c r="N40" s="25"/>
      <c r="O40" s="53"/>
      <c r="P40" s="63"/>
      <c r="S40" s="6"/>
    </row>
    <row r="41" spans="1:19" ht="15" customHeight="1" x14ac:dyDescent="0.3">
      <c r="A41" s="67">
        <v>3534</v>
      </c>
      <c r="B41" s="53">
        <v>45840</v>
      </c>
      <c r="C41" s="8" t="s">
        <v>28</v>
      </c>
      <c r="D41" s="61">
        <v>3</v>
      </c>
      <c r="E41" s="61">
        <v>0</v>
      </c>
      <c r="F41" s="61">
        <v>0</v>
      </c>
      <c r="G41" s="61">
        <v>0</v>
      </c>
      <c r="H41" s="61">
        <v>0</v>
      </c>
      <c r="I41" s="57"/>
      <c r="J41" s="61"/>
      <c r="K41" s="57"/>
      <c r="L41" s="61"/>
      <c r="M41" s="22" t="s">
        <v>24</v>
      </c>
      <c r="N41" s="25" t="s">
        <v>14</v>
      </c>
      <c r="O41" s="53">
        <v>45840</v>
      </c>
      <c r="P41" s="63"/>
    </row>
    <row r="42" spans="1:19" ht="15" customHeight="1" x14ac:dyDescent="0.3">
      <c r="A42" s="65">
        <v>3535</v>
      </c>
      <c r="B42" s="53">
        <v>45834</v>
      </c>
      <c r="C42" s="8"/>
      <c r="D42" s="61">
        <v>2</v>
      </c>
      <c r="E42" s="61">
        <v>158</v>
      </c>
      <c r="F42" s="61">
        <v>158</v>
      </c>
      <c r="G42" s="61">
        <v>0</v>
      </c>
      <c r="H42" s="61">
        <v>1</v>
      </c>
      <c r="I42" s="57">
        <v>45839</v>
      </c>
      <c r="J42" s="61">
        <v>40</v>
      </c>
      <c r="K42" s="57"/>
      <c r="L42" s="61"/>
      <c r="M42" s="22" t="s">
        <v>24</v>
      </c>
      <c r="N42" s="25" t="s">
        <v>14</v>
      </c>
      <c r="O42" s="53">
        <v>45834</v>
      </c>
      <c r="P42" s="63">
        <v>3535</v>
      </c>
    </row>
    <row r="43" spans="1:19" ht="15" customHeight="1" x14ac:dyDescent="0.3">
      <c r="A43" s="68">
        <v>3536</v>
      </c>
      <c r="B43" s="53">
        <v>45804</v>
      </c>
      <c r="C43" s="8"/>
      <c r="D43" s="61">
        <v>3</v>
      </c>
      <c r="E43" s="61">
        <v>276</v>
      </c>
      <c r="F43" s="61">
        <v>276</v>
      </c>
      <c r="G43" s="61">
        <v>0</v>
      </c>
      <c r="H43" s="61">
        <v>0</v>
      </c>
      <c r="I43" s="57"/>
      <c r="J43" s="61"/>
      <c r="K43" s="57"/>
      <c r="L43" s="61"/>
      <c r="M43" s="22" t="s">
        <v>24</v>
      </c>
      <c r="N43" s="25" t="s">
        <v>14</v>
      </c>
      <c r="O43" s="53">
        <v>45804</v>
      </c>
      <c r="P43" s="63">
        <v>3536</v>
      </c>
    </row>
    <row r="44" spans="1:19" ht="15" customHeight="1" x14ac:dyDescent="0.3">
      <c r="A44" s="65">
        <v>3537</v>
      </c>
      <c r="B44" s="53">
        <v>45810</v>
      </c>
      <c r="C44" s="8"/>
      <c r="D44" s="61">
        <v>3</v>
      </c>
      <c r="E44" s="61">
        <v>188</v>
      </c>
      <c r="F44" s="61">
        <v>95</v>
      </c>
      <c r="G44" s="61">
        <v>93</v>
      </c>
      <c r="H44" s="61">
        <v>2</v>
      </c>
      <c r="I44" s="57">
        <v>45824</v>
      </c>
      <c r="J44" s="61">
        <v>144</v>
      </c>
      <c r="K44" s="57"/>
      <c r="L44" s="61"/>
      <c r="M44" s="22" t="s">
        <v>24</v>
      </c>
      <c r="N44" s="25" t="s">
        <v>14</v>
      </c>
      <c r="O44" s="53">
        <v>45824</v>
      </c>
      <c r="P44" s="63">
        <v>3437</v>
      </c>
    </row>
    <row r="45" spans="1:19" ht="15" customHeight="1" x14ac:dyDescent="0.3">
      <c r="A45" s="65">
        <v>3538</v>
      </c>
      <c r="B45" s="53">
        <v>45777</v>
      </c>
      <c r="C45" s="8"/>
      <c r="D45" s="61">
        <v>3</v>
      </c>
      <c r="E45" s="61">
        <v>265</v>
      </c>
      <c r="F45" s="61">
        <v>195</v>
      </c>
      <c r="G45" s="61">
        <v>70</v>
      </c>
      <c r="H45" s="61">
        <v>1</v>
      </c>
      <c r="I45" s="57">
        <v>45840</v>
      </c>
      <c r="J45" s="61">
        <v>55</v>
      </c>
      <c r="K45" s="57"/>
      <c r="L45" s="61"/>
      <c r="M45" s="22" t="s">
        <v>24</v>
      </c>
      <c r="N45" s="25" t="s">
        <v>14</v>
      </c>
      <c r="O45" s="53">
        <v>45777</v>
      </c>
      <c r="P45" s="63">
        <v>3538</v>
      </c>
    </row>
    <row r="46" spans="1:19" ht="15" customHeight="1" x14ac:dyDescent="0.3">
      <c r="A46" s="66">
        <v>3540</v>
      </c>
      <c r="B46" s="53">
        <v>45769</v>
      </c>
      <c r="C46" s="8"/>
      <c r="D46" s="61">
        <v>3</v>
      </c>
      <c r="E46" s="61">
        <v>30</v>
      </c>
      <c r="F46" s="61">
        <v>30</v>
      </c>
      <c r="G46" s="61">
        <v>0</v>
      </c>
      <c r="H46" s="61">
        <v>2</v>
      </c>
      <c r="I46" s="57">
        <v>45844</v>
      </c>
      <c r="J46" s="61">
        <v>162</v>
      </c>
      <c r="K46" s="57"/>
      <c r="L46" s="61"/>
      <c r="M46" s="22" t="s">
        <v>24</v>
      </c>
      <c r="N46" s="25" t="s">
        <v>14</v>
      </c>
      <c r="O46" s="53">
        <v>45844</v>
      </c>
      <c r="P46" s="63">
        <v>3540</v>
      </c>
    </row>
    <row r="47" spans="1:19" ht="15" customHeight="1" x14ac:dyDescent="0.3">
      <c r="A47" s="65">
        <v>3541</v>
      </c>
      <c r="B47" s="53">
        <v>45774</v>
      </c>
      <c r="C47" s="8"/>
      <c r="D47" s="61">
        <v>3</v>
      </c>
      <c r="E47" s="61">
        <v>356</v>
      </c>
      <c r="F47" s="61">
        <v>356</v>
      </c>
      <c r="G47" s="61">
        <v>0</v>
      </c>
      <c r="H47" s="61">
        <v>0</v>
      </c>
      <c r="I47" s="57"/>
      <c r="J47" s="61"/>
      <c r="K47" s="57"/>
      <c r="L47" s="61"/>
      <c r="M47" s="22" t="s">
        <v>24</v>
      </c>
      <c r="N47" s="25" t="s">
        <v>14</v>
      </c>
      <c r="O47" s="53">
        <v>45774</v>
      </c>
      <c r="P47" s="63">
        <v>3541</v>
      </c>
    </row>
    <row r="48" spans="1:19" ht="15" customHeight="1" x14ac:dyDescent="0.3">
      <c r="A48" s="65">
        <v>3542</v>
      </c>
      <c r="B48" s="53">
        <v>45764</v>
      </c>
      <c r="C48" s="8"/>
      <c r="D48" s="61">
        <v>3</v>
      </c>
      <c r="E48" s="61">
        <v>283</v>
      </c>
      <c r="F48" s="61">
        <v>283</v>
      </c>
      <c r="G48" s="61">
        <v>0</v>
      </c>
      <c r="H48" s="61">
        <v>0</v>
      </c>
      <c r="I48" s="57"/>
      <c r="J48" s="61"/>
      <c r="K48" s="57"/>
      <c r="L48" s="61"/>
      <c r="M48" s="22" t="s">
        <v>24</v>
      </c>
      <c r="N48" s="25" t="s">
        <v>14</v>
      </c>
      <c r="O48" s="53">
        <v>45764</v>
      </c>
      <c r="P48" s="63">
        <v>3542</v>
      </c>
    </row>
    <row r="49" spans="1:16" ht="15" customHeight="1" x14ac:dyDescent="0.3">
      <c r="A49" s="65">
        <v>3543</v>
      </c>
      <c r="B49" s="53">
        <v>45760</v>
      </c>
      <c r="C49" s="8"/>
      <c r="D49" s="61">
        <v>3</v>
      </c>
      <c r="E49" s="61">
        <v>61</v>
      </c>
      <c r="F49" s="61">
        <v>61</v>
      </c>
      <c r="G49" s="61">
        <v>13</v>
      </c>
      <c r="H49" s="61">
        <v>2</v>
      </c>
      <c r="I49" s="57">
        <v>45812</v>
      </c>
      <c r="J49" s="61">
        <v>13</v>
      </c>
      <c r="K49" s="57"/>
      <c r="L49" s="61"/>
      <c r="M49" s="22" t="s">
        <v>24</v>
      </c>
      <c r="N49" s="25" t="s">
        <v>14</v>
      </c>
      <c r="O49" s="53">
        <v>45812</v>
      </c>
      <c r="P49" s="63">
        <v>3543</v>
      </c>
    </row>
    <row r="50" spans="1:16" ht="15" customHeight="1" x14ac:dyDescent="0.3">
      <c r="A50" s="67">
        <v>3544</v>
      </c>
      <c r="B50" s="53">
        <v>45769</v>
      </c>
      <c r="C50" s="8" t="s">
        <v>28</v>
      </c>
      <c r="D50" s="61">
        <v>3</v>
      </c>
      <c r="E50" s="61">
        <v>265</v>
      </c>
      <c r="F50" s="61">
        <v>220</v>
      </c>
      <c r="G50" s="61">
        <v>45</v>
      </c>
      <c r="H50" s="61">
        <v>1</v>
      </c>
      <c r="I50" s="57">
        <v>45817</v>
      </c>
      <c r="J50" s="61">
        <v>97</v>
      </c>
      <c r="K50" s="57">
        <v>45819</v>
      </c>
      <c r="L50" s="61">
        <v>12</v>
      </c>
      <c r="M50" s="22" t="s">
        <v>24</v>
      </c>
      <c r="N50" s="25" t="s">
        <v>14</v>
      </c>
      <c r="O50" s="53">
        <v>45819</v>
      </c>
      <c r="P50" s="63">
        <v>3544</v>
      </c>
    </row>
    <row r="51" spans="1:16" ht="15" customHeight="1" x14ac:dyDescent="0.3">
      <c r="A51" s="65">
        <v>3545</v>
      </c>
      <c r="B51" s="53">
        <v>45783</v>
      </c>
      <c r="C51" s="8"/>
      <c r="D51" s="61">
        <v>3</v>
      </c>
      <c r="E51" s="61">
        <v>141</v>
      </c>
      <c r="F51" s="61">
        <v>141</v>
      </c>
      <c r="G51" s="61">
        <v>0</v>
      </c>
      <c r="H51" s="61">
        <v>0</v>
      </c>
      <c r="I51" s="57"/>
      <c r="J51" s="61"/>
      <c r="K51" s="57"/>
      <c r="L51" s="61"/>
      <c r="M51" s="22" t="s">
        <v>24</v>
      </c>
      <c r="N51" s="25" t="s">
        <v>14</v>
      </c>
      <c r="O51" s="53">
        <v>45783</v>
      </c>
      <c r="P51" s="63">
        <v>3545</v>
      </c>
    </row>
    <row r="52" spans="1:16" ht="15" customHeight="1" x14ac:dyDescent="0.3">
      <c r="A52" s="65">
        <v>3546</v>
      </c>
      <c r="B52" s="53">
        <v>45812</v>
      </c>
      <c r="C52" s="8"/>
      <c r="D52" s="61">
        <v>3</v>
      </c>
      <c r="E52" s="61">
        <v>235</v>
      </c>
      <c r="F52" s="61">
        <v>95</v>
      </c>
      <c r="G52" s="61">
        <v>140</v>
      </c>
      <c r="H52" s="61">
        <v>2</v>
      </c>
      <c r="I52" s="57">
        <v>45827</v>
      </c>
      <c r="J52" s="61">
        <v>240</v>
      </c>
      <c r="K52" s="57"/>
      <c r="L52" s="61"/>
      <c r="M52" s="22" t="s">
        <v>24</v>
      </c>
      <c r="N52" s="25" t="s">
        <v>14</v>
      </c>
      <c r="O52" s="53">
        <v>45812</v>
      </c>
      <c r="P52" s="63">
        <v>3546</v>
      </c>
    </row>
    <row r="53" spans="1:16" ht="15" customHeight="1" x14ac:dyDescent="0.3">
      <c r="A53" s="65">
        <v>3547</v>
      </c>
      <c r="B53" s="53">
        <v>45782</v>
      </c>
      <c r="C53" s="8"/>
      <c r="D53" s="61">
        <v>3</v>
      </c>
      <c r="E53" s="61">
        <v>315</v>
      </c>
      <c r="F53" s="61">
        <v>315</v>
      </c>
      <c r="G53" s="61">
        <v>0</v>
      </c>
      <c r="H53" s="61">
        <v>0</v>
      </c>
      <c r="I53" s="57"/>
      <c r="J53" s="61"/>
      <c r="K53" s="57"/>
      <c r="L53" s="61"/>
      <c r="M53" s="22" t="s">
        <v>24</v>
      </c>
      <c r="N53" s="25" t="s">
        <v>14</v>
      </c>
      <c r="O53" s="53">
        <v>45782</v>
      </c>
      <c r="P53" s="63">
        <v>3547</v>
      </c>
    </row>
    <row r="54" spans="1:16" ht="15" customHeight="1" x14ac:dyDescent="0.3">
      <c r="A54" s="65">
        <v>3548</v>
      </c>
      <c r="B54" s="53">
        <v>45768</v>
      </c>
      <c r="C54" s="8"/>
      <c r="D54" s="61">
        <v>3</v>
      </c>
      <c r="E54" s="61">
        <v>276</v>
      </c>
      <c r="F54" s="61">
        <v>276</v>
      </c>
      <c r="G54" s="61">
        <v>0</v>
      </c>
      <c r="H54" s="61">
        <v>0</v>
      </c>
      <c r="I54" s="57"/>
      <c r="J54" s="61"/>
      <c r="K54" s="57"/>
      <c r="L54" s="61"/>
      <c r="M54" s="22" t="s">
        <v>24</v>
      </c>
      <c r="N54" s="25" t="s">
        <v>14</v>
      </c>
      <c r="O54" s="53">
        <v>45768</v>
      </c>
      <c r="P54" s="63">
        <v>3548</v>
      </c>
    </row>
    <row r="55" spans="1:16" ht="15" customHeight="1" x14ac:dyDescent="0.3">
      <c r="A55" s="65">
        <v>3549</v>
      </c>
      <c r="B55" s="53">
        <v>45771</v>
      </c>
      <c r="C55" s="8"/>
      <c r="D55" s="61">
        <v>3</v>
      </c>
      <c r="E55" s="61">
        <v>210</v>
      </c>
      <c r="F55" s="61">
        <v>135</v>
      </c>
      <c r="G55" s="61">
        <v>75</v>
      </c>
      <c r="H55" s="61">
        <v>2</v>
      </c>
      <c r="I55" s="57">
        <v>45794</v>
      </c>
      <c r="J55" s="61">
        <v>61</v>
      </c>
      <c r="K55" s="57">
        <v>45838</v>
      </c>
      <c r="L55" s="61">
        <v>115</v>
      </c>
      <c r="M55" s="22" t="s">
        <v>24</v>
      </c>
      <c r="N55" s="25" t="s">
        <v>14</v>
      </c>
      <c r="O55" s="53">
        <v>45794</v>
      </c>
      <c r="P55" s="63">
        <v>3549</v>
      </c>
    </row>
    <row r="56" spans="1:16" ht="15" customHeight="1" x14ac:dyDescent="0.3">
      <c r="A56" s="65">
        <v>3550</v>
      </c>
      <c r="B56" s="53">
        <v>45819</v>
      </c>
      <c r="C56" s="8"/>
      <c r="D56" s="61">
        <v>3</v>
      </c>
      <c r="E56" s="61">
        <v>466</v>
      </c>
      <c r="F56" s="61">
        <v>398</v>
      </c>
      <c r="G56" s="61">
        <v>68</v>
      </c>
      <c r="H56" s="61">
        <v>2</v>
      </c>
      <c r="I56" s="57">
        <v>45842</v>
      </c>
      <c r="J56" s="61">
        <v>48</v>
      </c>
      <c r="K56" s="57"/>
      <c r="L56" s="61"/>
      <c r="M56" s="22" t="s">
        <v>24</v>
      </c>
      <c r="N56" s="25" t="s">
        <v>14</v>
      </c>
      <c r="O56" s="53">
        <v>45819</v>
      </c>
      <c r="P56" s="63">
        <v>3550</v>
      </c>
    </row>
    <row r="57" spans="1:16" ht="15" customHeight="1" x14ac:dyDescent="0.3">
      <c r="A57" s="66">
        <v>3551</v>
      </c>
      <c r="B57" s="53">
        <v>45799</v>
      </c>
      <c r="C57" s="8"/>
      <c r="D57" s="61">
        <v>3</v>
      </c>
      <c r="E57" s="61">
        <v>192</v>
      </c>
      <c r="F57" s="61">
        <v>192</v>
      </c>
      <c r="G57" s="61">
        <v>0</v>
      </c>
      <c r="H57" s="61">
        <v>0</v>
      </c>
      <c r="I57" s="57"/>
      <c r="J57" s="61"/>
      <c r="K57" s="57"/>
      <c r="L57" s="61"/>
      <c r="M57" s="22" t="s">
        <v>24</v>
      </c>
      <c r="N57" s="25" t="s">
        <v>14</v>
      </c>
      <c r="O57" s="53">
        <v>45799</v>
      </c>
      <c r="P57" s="63">
        <v>3551</v>
      </c>
    </row>
    <row r="58" spans="1:16" ht="15" customHeight="1" x14ac:dyDescent="0.3">
      <c r="A58" s="65">
        <v>3552</v>
      </c>
      <c r="B58" s="53">
        <v>45824</v>
      </c>
      <c r="C58" s="8"/>
      <c r="D58" s="61">
        <v>3</v>
      </c>
      <c r="E58" s="61">
        <v>422</v>
      </c>
      <c r="F58" s="61">
        <v>386</v>
      </c>
      <c r="G58" s="61">
        <v>36</v>
      </c>
      <c r="H58" s="61">
        <v>2</v>
      </c>
      <c r="I58" s="57">
        <v>45856</v>
      </c>
      <c r="J58" s="61">
        <v>48</v>
      </c>
      <c r="K58" s="57"/>
      <c r="L58" s="61"/>
      <c r="M58" s="22" t="s">
        <v>24</v>
      </c>
      <c r="N58" s="25" t="s">
        <v>14</v>
      </c>
      <c r="O58" s="53">
        <v>45856</v>
      </c>
      <c r="P58" s="63">
        <v>3552</v>
      </c>
    </row>
    <row r="59" spans="1:16" ht="15" customHeight="1" x14ac:dyDescent="0.3">
      <c r="A59" s="65">
        <v>3553</v>
      </c>
      <c r="B59" s="53">
        <v>45762</v>
      </c>
      <c r="C59" s="8"/>
      <c r="D59" s="61">
        <v>3</v>
      </c>
      <c r="E59" s="61">
        <v>281</v>
      </c>
      <c r="F59" s="61">
        <v>122</v>
      </c>
      <c r="G59" s="61">
        <v>159</v>
      </c>
      <c r="H59" s="61">
        <v>2</v>
      </c>
      <c r="I59" s="57">
        <v>45835</v>
      </c>
      <c r="J59" s="61">
        <v>351</v>
      </c>
      <c r="K59" s="57"/>
      <c r="L59" s="61"/>
      <c r="M59" s="22" t="s">
        <v>24</v>
      </c>
      <c r="N59" s="25" t="s">
        <v>14</v>
      </c>
      <c r="O59" s="53">
        <v>45835</v>
      </c>
      <c r="P59" s="63">
        <v>3553</v>
      </c>
    </row>
    <row r="60" spans="1:16" ht="15" customHeight="1" x14ac:dyDescent="0.3">
      <c r="A60" s="67">
        <v>3554</v>
      </c>
      <c r="B60" s="53">
        <v>45781</v>
      </c>
      <c r="C60" s="8" t="s">
        <v>28</v>
      </c>
      <c r="D60" s="61">
        <v>3</v>
      </c>
      <c r="E60" s="61">
        <v>219</v>
      </c>
      <c r="F60" s="61">
        <v>219</v>
      </c>
      <c r="G60" s="61">
        <v>0</v>
      </c>
      <c r="H60" s="61">
        <v>0</v>
      </c>
      <c r="I60" s="57"/>
      <c r="J60" s="61"/>
      <c r="K60" s="57"/>
      <c r="L60" s="61"/>
      <c r="M60" s="22" t="s">
        <v>24</v>
      </c>
      <c r="N60" s="25" t="s">
        <v>14</v>
      </c>
      <c r="O60" s="53">
        <v>45781</v>
      </c>
      <c r="P60" s="63">
        <v>3554</v>
      </c>
    </row>
    <row r="61" spans="1:16" ht="15" customHeight="1" x14ac:dyDescent="0.3">
      <c r="A61" s="65">
        <v>3555</v>
      </c>
      <c r="B61" s="53">
        <v>45825</v>
      </c>
      <c r="C61" s="8"/>
      <c r="D61" s="61">
        <v>3</v>
      </c>
      <c r="E61" s="61">
        <v>352</v>
      </c>
      <c r="F61" s="61">
        <v>352</v>
      </c>
      <c r="G61" s="61">
        <v>0</v>
      </c>
      <c r="H61" s="61">
        <v>0</v>
      </c>
      <c r="I61" s="57"/>
      <c r="J61" s="61"/>
      <c r="K61" s="57"/>
      <c r="L61" s="61"/>
      <c r="M61" s="22" t="s">
        <v>24</v>
      </c>
      <c r="N61" s="25" t="s">
        <v>14</v>
      </c>
      <c r="O61" s="53">
        <v>45781</v>
      </c>
      <c r="P61" s="63">
        <v>3555</v>
      </c>
    </row>
    <row r="62" spans="1:16" ht="15" customHeight="1" x14ac:dyDescent="0.3">
      <c r="A62" s="65">
        <v>3556</v>
      </c>
      <c r="B62" s="53">
        <v>45823</v>
      </c>
      <c r="C62" s="8"/>
      <c r="D62" s="61">
        <v>1</v>
      </c>
      <c r="E62" s="61">
        <v>13</v>
      </c>
      <c r="F62" s="61">
        <v>0</v>
      </c>
      <c r="G62" s="61">
        <v>0</v>
      </c>
      <c r="H62" s="61">
        <v>1</v>
      </c>
      <c r="I62" s="57">
        <v>45848</v>
      </c>
      <c r="J62" s="61">
        <v>8</v>
      </c>
      <c r="K62" s="57"/>
      <c r="L62" s="61"/>
      <c r="M62" s="22" t="s">
        <v>24</v>
      </c>
      <c r="N62" s="25" t="s">
        <v>14</v>
      </c>
      <c r="O62" s="53">
        <v>45823</v>
      </c>
      <c r="P62" s="63">
        <v>3556</v>
      </c>
    </row>
    <row r="63" spans="1:16" ht="15" customHeight="1" x14ac:dyDescent="0.3">
      <c r="A63" s="65">
        <v>3557</v>
      </c>
      <c r="B63" s="53">
        <v>45760</v>
      </c>
      <c r="C63" s="8"/>
      <c r="D63" s="61">
        <v>3</v>
      </c>
      <c r="E63" s="61">
        <v>97</v>
      </c>
      <c r="F63" s="61">
        <v>97</v>
      </c>
      <c r="G63" s="61">
        <v>0</v>
      </c>
      <c r="H63" s="61">
        <v>0</v>
      </c>
      <c r="I63" s="57"/>
      <c r="J63" s="61"/>
      <c r="K63" s="57"/>
      <c r="L63" s="61"/>
      <c r="M63" s="22" t="s">
        <v>24</v>
      </c>
      <c r="N63" s="25" t="s">
        <v>14</v>
      </c>
      <c r="O63" s="53">
        <v>45760</v>
      </c>
      <c r="P63" s="63">
        <v>3557</v>
      </c>
    </row>
    <row r="64" spans="1:16" ht="15" customHeight="1" x14ac:dyDescent="0.3">
      <c r="A64" s="65">
        <v>3558</v>
      </c>
      <c r="B64" s="53">
        <v>45763</v>
      </c>
      <c r="C64" s="8"/>
      <c r="D64" s="61">
        <v>3</v>
      </c>
      <c r="E64" s="61">
        <v>302</v>
      </c>
      <c r="F64" s="61">
        <v>145</v>
      </c>
      <c r="G64" s="61">
        <v>157</v>
      </c>
      <c r="H64" s="61">
        <v>2</v>
      </c>
      <c r="I64" s="57">
        <v>45830</v>
      </c>
      <c r="J64" s="61">
        <v>116</v>
      </c>
      <c r="K64" s="57">
        <v>45831</v>
      </c>
      <c r="L64" s="61">
        <v>226</v>
      </c>
      <c r="M64" s="22" t="s">
        <v>24</v>
      </c>
      <c r="N64" s="25" t="s">
        <v>14</v>
      </c>
      <c r="O64" s="53">
        <v>45831</v>
      </c>
      <c r="P64" s="63">
        <v>3558</v>
      </c>
    </row>
    <row r="65" spans="1:16" ht="15" customHeight="1" x14ac:dyDescent="0.3">
      <c r="A65" s="65">
        <v>3559</v>
      </c>
      <c r="B65" s="53">
        <v>45761</v>
      </c>
      <c r="C65" s="8"/>
      <c r="D65" s="61">
        <v>3</v>
      </c>
      <c r="E65" s="61">
        <v>202</v>
      </c>
      <c r="F65" s="61">
        <v>108</v>
      </c>
      <c r="G65" s="61">
        <v>94</v>
      </c>
      <c r="H65" s="61">
        <v>1</v>
      </c>
      <c r="I65" s="57">
        <v>45823</v>
      </c>
      <c r="J65" s="61">
        <v>97</v>
      </c>
      <c r="K65" s="57"/>
      <c r="L65" s="61"/>
      <c r="M65" s="22" t="s">
        <v>24</v>
      </c>
      <c r="N65" s="25" t="s">
        <v>14</v>
      </c>
      <c r="O65" s="53">
        <v>45823</v>
      </c>
      <c r="P65" s="63">
        <v>3559</v>
      </c>
    </row>
    <row r="66" spans="1:16" ht="15" customHeight="1" x14ac:dyDescent="0.3">
      <c r="A66" s="65">
        <v>3560</v>
      </c>
      <c r="B66" s="53">
        <v>45798</v>
      </c>
      <c r="C66" s="8"/>
      <c r="D66" s="61">
        <v>3</v>
      </c>
      <c r="E66" s="61">
        <v>237</v>
      </c>
      <c r="F66" s="61">
        <v>237</v>
      </c>
      <c r="G66" s="61">
        <v>0</v>
      </c>
      <c r="H66" s="61">
        <v>0</v>
      </c>
      <c r="I66" s="57"/>
      <c r="J66" s="61"/>
      <c r="K66" s="57"/>
      <c r="L66" s="61"/>
      <c r="M66" s="22" t="s">
        <v>24</v>
      </c>
      <c r="N66" s="25" t="s">
        <v>14</v>
      </c>
      <c r="O66" s="53">
        <v>45798</v>
      </c>
      <c r="P66" s="63">
        <v>3560</v>
      </c>
    </row>
    <row r="67" spans="1:16" ht="15" customHeight="1" x14ac:dyDescent="0.3">
      <c r="A67" s="67">
        <v>3561</v>
      </c>
      <c r="B67" s="53">
        <v>45792</v>
      </c>
      <c r="C67" s="8" t="s">
        <v>28</v>
      </c>
      <c r="D67" s="61">
        <v>3</v>
      </c>
      <c r="E67" s="61">
        <v>267</v>
      </c>
      <c r="F67" s="61">
        <v>95</v>
      </c>
      <c r="G67" s="61">
        <v>172</v>
      </c>
      <c r="H67" s="61">
        <v>2</v>
      </c>
      <c r="I67" s="57">
        <v>45809</v>
      </c>
      <c r="J67" s="61">
        <v>172</v>
      </c>
      <c r="K67" s="57"/>
      <c r="L67" s="61"/>
      <c r="M67" s="22" t="s">
        <v>24</v>
      </c>
      <c r="N67" s="25" t="s">
        <v>14</v>
      </c>
      <c r="O67" s="53">
        <v>45809</v>
      </c>
      <c r="P67" s="63">
        <v>3561</v>
      </c>
    </row>
    <row r="68" spans="1:16" ht="18.75" x14ac:dyDescent="0.3">
      <c r="A68" s="67">
        <v>3562</v>
      </c>
      <c r="B68" s="53">
        <v>45775</v>
      </c>
      <c r="C68" s="8" t="s">
        <v>28</v>
      </c>
      <c r="D68" s="61">
        <v>3</v>
      </c>
      <c r="E68" s="61">
        <v>190</v>
      </c>
      <c r="F68" s="61">
        <v>140</v>
      </c>
      <c r="G68" s="61">
        <v>50</v>
      </c>
      <c r="H68" s="61">
        <v>1</v>
      </c>
      <c r="I68" s="57">
        <v>45826</v>
      </c>
      <c r="J68" s="61">
        <v>59</v>
      </c>
      <c r="K68" s="57"/>
      <c r="L68" s="61"/>
      <c r="M68" s="22" t="s">
        <v>24</v>
      </c>
      <c r="N68" s="25" t="s">
        <v>14</v>
      </c>
      <c r="O68" s="53">
        <v>45826</v>
      </c>
      <c r="P68" s="63">
        <v>3562</v>
      </c>
    </row>
    <row r="69" spans="1:16" ht="18.75" x14ac:dyDescent="0.3">
      <c r="A69" s="65">
        <v>3563</v>
      </c>
      <c r="B69" s="53">
        <v>45806</v>
      </c>
      <c r="C69" s="8"/>
      <c r="D69" s="61">
        <v>3</v>
      </c>
      <c r="E69" s="61">
        <v>14</v>
      </c>
      <c r="F69" s="61">
        <v>14</v>
      </c>
      <c r="G69" s="61">
        <v>0</v>
      </c>
      <c r="H69" s="61">
        <v>0</v>
      </c>
      <c r="I69" s="57"/>
      <c r="J69" s="61"/>
      <c r="K69" s="57"/>
      <c r="L69" s="61"/>
      <c r="M69" s="22" t="s">
        <v>24</v>
      </c>
      <c r="N69" s="25" t="s">
        <v>14</v>
      </c>
      <c r="O69" s="53">
        <v>45806</v>
      </c>
      <c r="P69" s="63">
        <v>3563</v>
      </c>
    </row>
    <row r="70" spans="1:16" ht="18.75" x14ac:dyDescent="0.3">
      <c r="A70" s="65">
        <v>3564</v>
      </c>
      <c r="B70" s="53">
        <v>45802</v>
      </c>
      <c r="C70" s="8"/>
      <c r="D70" s="61">
        <v>3</v>
      </c>
      <c r="E70" s="61">
        <v>212</v>
      </c>
      <c r="F70" s="61">
        <v>212</v>
      </c>
      <c r="G70" s="61">
        <v>0</v>
      </c>
      <c r="H70" s="61">
        <v>0</v>
      </c>
      <c r="I70" s="57"/>
      <c r="J70" s="61"/>
      <c r="K70" s="57"/>
      <c r="L70" s="61"/>
      <c r="M70" s="22" t="s">
        <v>24</v>
      </c>
      <c r="N70" s="25" t="s">
        <v>14</v>
      </c>
      <c r="O70" s="53">
        <v>45802</v>
      </c>
      <c r="P70" s="63">
        <v>3564</v>
      </c>
    </row>
    <row r="71" spans="1:16" ht="18.75" x14ac:dyDescent="0.3">
      <c r="A71" s="65">
        <v>3565</v>
      </c>
      <c r="B71" s="53">
        <v>45790</v>
      </c>
      <c r="C71" s="8"/>
      <c r="D71" s="61">
        <v>3</v>
      </c>
      <c r="E71" s="61">
        <v>234</v>
      </c>
      <c r="F71" s="61">
        <v>234</v>
      </c>
      <c r="G71" s="61">
        <v>0</v>
      </c>
      <c r="H71" s="61">
        <v>0</v>
      </c>
      <c r="I71" s="57"/>
      <c r="J71" s="61"/>
      <c r="K71" s="57"/>
      <c r="L71" s="61"/>
      <c r="M71" s="22" t="s">
        <v>24</v>
      </c>
      <c r="N71" s="25" t="s">
        <v>14</v>
      </c>
      <c r="O71" s="53">
        <v>45790</v>
      </c>
      <c r="P71" s="63">
        <v>3565</v>
      </c>
    </row>
    <row r="72" spans="1:16" ht="18.75" x14ac:dyDescent="0.3">
      <c r="A72" s="65">
        <v>3566</v>
      </c>
      <c r="B72" s="53">
        <v>45821</v>
      </c>
      <c r="C72" s="8"/>
      <c r="D72" s="61">
        <v>3</v>
      </c>
      <c r="E72" s="61">
        <v>339</v>
      </c>
      <c r="F72" s="61">
        <v>339</v>
      </c>
      <c r="G72" s="61">
        <v>0</v>
      </c>
      <c r="H72" s="61">
        <v>0</v>
      </c>
      <c r="I72" s="57"/>
      <c r="J72" s="61"/>
      <c r="K72" s="57"/>
      <c r="L72" s="61"/>
      <c r="M72" s="22" t="s">
        <v>24</v>
      </c>
      <c r="N72" s="25" t="s">
        <v>14</v>
      </c>
      <c r="O72" s="53">
        <v>45821</v>
      </c>
      <c r="P72" s="63">
        <v>3566</v>
      </c>
    </row>
    <row r="73" spans="1:16" ht="18.75" x14ac:dyDescent="0.3">
      <c r="A73" s="69">
        <v>3567</v>
      </c>
      <c r="B73" s="53">
        <v>45788</v>
      </c>
      <c r="C73" s="8"/>
      <c r="D73" s="61">
        <v>3</v>
      </c>
      <c r="E73" s="61">
        <v>136</v>
      </c>
      <c r="F73" s="61">
        <v>98</v>
      </c>
      <c r="G73" s="61">
        <v>38</v>
      </c>
      <c r="H73" s="61">
        <v>2</v>
      </c>
      <c r="I73" s="57">
        <v>45818</v>
      </c>
      <c r="J73" s="61">
        <v>214</v>
      </c>
      <c r="K73" s="57"/>
      <c r="L73" s="61"/>
      <c r="M73" s="22" t="s">
        <v>24</v>
      </c>
      <c r="N73" s="25" t="s">
        <v>14</v>
      </c>
      <c r="O73" s="53">
        <v>45818</v>
      </c>
      <c r="P73" s="63">
        <v>3567</v>
      </c>
    </row>
    <row r="75" spans="1:16" x14ac:dyDescent="0.25">
      <c r="A75" s="27" t="s">
        <v>20</v>
      </c>
      <c r="B75" s="28"/>
    </row>
    <row r="76" spans="1:16" ht="30" x14ac:dyDescent="0.25">
      <c r="A76" s="26"/>
      <c r="B76" s="20" t="s">
        <v>21</v>
      </c>
    </row>
  </sheetData>
  <sheetProtection algorithmName="SHA-512" hashValue="zlC7mwIYYy61p9vclhRurVmQ5r+Y4jngTTr3w+TBq2FDODTedAoUJ2vPFeXmbweVyPEkMot7XWfntIe6/d7Qxw==" saltValue="TmtjH6yiK3AnMrxSJYmgi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2:L73 P2:P73" xr:uid="{F25BB4C9-FB6E-4E5A-91B1-2474438177CC}">
      <formula1>0</formula1>
    </dataValidation>
    <dataValidation type="date" operator="greaterThanOrEqual" allowBlank="1" showInputMessage="1" showErrorMessage="1" sqref="B2:B73 I2:I73 K2:K73 O2:O73" xr:uid="{40FFC226-85C0-4D19-A56D-948AB47D8041}">
      <formula1>45658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E61EF51-3901-486D-A6D1-C589610CA0EC}">
          <x14:formula1>
            <xm:f>Inspected!$A$1:$A$2</xm:f>
          </x14:formula1>
          <xm:sqref>M2:M73</xm:sqref>
        </x14:dataValidation>
        <x14:dataValidation type="list" allowBlank="1" showInputMessage="1" showErrorMessage="1" xr:uid="{17511D7C-8374-4FB5-8FFF-3F3A5BE375EA}">
          <x14:formula1>
            <xm:f>Inspected!$D$1</xm:f>
          </x14:formula1>
          <xm:sqref>C2:C73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4F568-FADF-4B9A-B862-F8ADC19CB05A}">
  <dimension ref="A1:U207"/>
  <sheetViews>
    <sheetView topLeftCell="A28" workbookViewId="0">
      <selection activeCell="D41" sqref="D41"/>
    </sheetView>
  </sheetViews>
  <sheetFormatPr defaultColWidth="15.5703125" defaultRowHeight="15" x14ac:dyDescent="0.25"/>
  <cols>
    <col min="1" max="1" width="8.85546875" style="1" customWidth="1"/>
    <col min="2" max="2" width="11.5703125" style="1" customWidth="1"/>
    <col min="3" max="3" width="12.5703125" style="1" customWidth="1"/>
    <col min="4" max="4" width="23.85546875" style="1" customWidth="1"/>
    <col min="5" max="5" width="10.85546875" style="1" customWidth="1"/>
    <col min="6" max="6" width="13.140625" style="1" customWidth="1"/>
    <col min="7" max="7" width="13" style="1" customWidth="1"/>
    <col min="8" max="8" width="18.140625" style="1" customWidth="1"/>
    <col min="9" max="9" width="15.5703125" style="6"/>
    <col min="10" max="10" width="12.5703125" style="29" customWidth="1"/>
    <col min="11" max="11" width="15.5703125" style="6"/>
    <col min="12" max="12" width="11" style="1" customWidth="1"/>
    <col min="13" max="13" width="15.140625" style="1" customWidth="1"/>
    <col min="14" max="14" width="15.5703125" style="1"/>
    <col min="15" max="15" width="29.5703125" style="1" customWidth="1"/>
    <col min="16" max="16" width="22.85546875" style="1" customWidth="1"/>
    <col min="17" max="16384" width="15.5703125" style="1"/>
  </cols>
  <sheetData>
    <row r="1" spans="1:21" ht="45.75" thickBot="1" x14ac:dyDescent="0.3">
      <c r="A1" s="33" t="s">
        <v>0</v>
      </c>
      <c r="B1" s="43" t="s">
        <v>1</v>
      </c>
      <c r="C1" s="43" t="s">
        <v>26</v>
      </c>
      <c r="D1" s="44" t="s">
        <v>2</v>
      </c>
      <c r="E1" s="44" t="s">
        <v>3</v>
      </c>
      <c r="F1" s="44" t="s">
        <v>4</v>
      </c>
      <c r="G1" s="44" t="s">
        <v>5</v>
      </c>
      <c r="H1" s="44" t="s">
        <v>6</v>
      </c>
      <c r="I1" s="56" t="s">
        <v>7</v>
      </c>
      <c r="J1" s="45" t="s">
        <v>8</v>
      </c>
      <c r="K1" s="58" t="s">
        <v>9</v>
      </c>
      <c r="L1" s="46" t="s">
        <v>27</v>
      </c>
      <c r="M1" s="47" t="s">
        <v>10</v>
      </c>
      <c r="N1" s="48" t="s">
        <v>11</v>
      </c>
      <c r="O1" s="49" t="s">
        <v>12</v>
      </c>
      <c r="P1" s="50" t="s">
        <v>13</v>
      </c>
    </row>
    <row r="2" spans="1:21" ht="15" customHeight="1" x14ac:dyDescent="0.3">
      <c r="A2" s="65">
        <v>3231</v>
      </c>
      <c r="B2" s="57">
        <v>45825</v>
      </c>
      <c r="C2" s="8"/>
      <c r="D2" s="61">
        <v>4</v>
      </c>
      <c r="E2" s="61">
        <v>113</v>
      </c>
      <c r="F2" s="61">
        <v>113</v>
      </c>
      <c r="G2" s="61">
        <v>0</v>
      </c>
      <c r="H2" s="61">
        <v>0</v>
      </c>
      <c r="I2" s="57"/>
      <c r="J2" s="61"/>
      <c r="K2" s="57"/>
      <c r="L2" s="61"/>
      <c r="M2" s="22" t="s">
        <v>24</v>
      </c>
      <c r="N2" s="25" t="s">
        <v>14</v>
      </c>
      <c r="O2" s="53">
        <v>45825</v>
      </c>
      <c r="P2" s="63">
        <v>3231</v>
      </c>
      <c r="R2" s="81" t="s">
        <v>15</v>
      </c>
      <c r="S2" s="82"/>
      <c r="T2" s="82"/>
      <c r="U2" s="83"/>
    </row>
    <row r="3" spans="1:21" ht="15" customHeight="1" x14ac:dyDescent="0.3">
      <c r="A3" s="65">
        <v>3232</v>
      </c>
      <c r="B3" s="57">
        <v>45850</v>
      </c>
      <c r="C3" s="8"/>
      <c r="D3" s="61">
        <v>1</v>
      </c>
      <c r="E3" s="61">
        <v>20</v>
      </c>
      <c r="F3" s="61">
        <v>20</v>
      </c>
      <c r="G3" s="61">
        <v>0</v>
      </c>
      <c r="H3" s="61">
        <v>0</v>
      </c>
      <c r="I3" s="57"/>
      <c r="J3" s="61"/>
      <c r="K3" s="57"/>
      <c r="L3" s="61"/>
      <c r="M3" s="22" t="s">
        <v>24</v>
      </c>
      <c r="N3" s="25" t="s">
        <v>14</v>
      </c>
      <c r="O3" s="53">
        <v>45850</v>
      </c>
      <c r="P3" s="63"/>
      <c r="R3" s="10" t="s">
        <v>16</v>
      </c>
      <c r="S3" s="11" t="s">
        <v>17</v>
      </c>
      <c r="T3" s="12" t="s">
        <v>18</v>
      </c>
      <c r="U3" s="13" t="s">
        <v>19</v>
      </c>
    </row>
    <row r="4" spans="1:21" ht="15" customHeight="1" thickBot="1" x14ac:dyDescent="0.35">
      <c r="A4" s="65">
        <v>3233</v>
      </c>
      <c r="B4" s="57">
        <v>45834</v>
      </c>
      <c r="C4" s="8"/>
      <c r="D4" s="61">
        <v>2</v>
      </c>
      <c r="E4" s="61">
        <v>33</v>
      </c>
      <c r="F4" s="61">
        <v>33</v>
      </c>
      <c r="G4" s="61">
        <v>0</v>
      </c>
      <c r="H4" s="61">
        <v>0</v>
      </c>
      <c r="I4" s="57"/>
      <c r="J4" s="61"/>
      <c r="K4" s="57"/>
      <c r="L4" s="61"/>
      <c r="M4" s="22" t="s">
        <v>24</v>
      </c>
      <c r="N4" s="25" t="s">
        <v>14</v>
      </c>
      <c r="O4" s="53">
        <v>45834</v>
      </c>
      <c r="P4" s="63">
        <v>3233</v>
      </c>
      <c r="R4" s="14">
        <v>36</v>
      </c>
      <c r="S4" s="15">
        <f>COUNTA(A:A)-1</f>
        <v>72</v>
      </c>
      <c r="T4" s="15">
        <f>COUNTA(O:O)-1</f>
        <v>63</v>
      </c>
      <c r="U4" s="16">
        <f>T4/S4</f>
        <v>0.875</v>
      </c>
    </row>
    <row r="5" spans="1:21" ht="15" customHeight="1" x14ac:dyDescent="0.3">
      <c r="A5" s="65">
        <v>3234</v>
      </c>
      <c r="B5" s="57">
        <v>45839</v>
      </c>
      <c r="C5" s="8"/>
      <c r="D5" s="61">
        <v>3</v>
      </c>
      <c r="E5" s="61">
        <v>91</v>
      </c>
      <c r="F5" s="61">
        <v>91</v>
      </c>
      <c r="G5" s="61">
        <v>0</v>
      </c>
      <c r="H5" s="61">
        <v>0</v>
      </c>
      <c r="I5" s="57"/>
      <c r="J5" s="61"/>
      <c r="K5" s="57"/>
      <c r="L5" s="61"/>
      <c r="M5" s="22" t="s">
        <v>24</v>
      </c>
      <c r="N5" s="25" t="s">
        <v>14</v>
      </c>
      <c r="O5" s="53">
        <v>45839</v>
      </c>
      <c r="P5" s="63"/>
    </row>
    <row r="6" spans="1:21" ht="15" customHeight="1" x14ac:dyDescent="0.3">
      <c r="A6" s="65">
        <v>3235</v>
      </c>
      <c r="B6" s="57">
        <v>45875</v>
      </c>
      <c r="C6" s="8"/>
      <c r="D6" s="61">
        <v>1</v>
      </c>
      <c r="E6" s="61">
        <v>5</v>
      </c>
      <c r="F6" s="61">
        <v>5</v>
      </c>
      <c r="G6" s="61">
        <v>0</v>
      </c>
      <c r="H6" s="61">
        <v>0</v>
      </c>
      <c r="I6" s="57"/>
      <c r="J6" s="61"/>
      <c r="K6" s="57"/>
      <c r="L6" s="61"/>
      <c r="M6" s="22" t="s">
        <v>24</v>
      </c>
      <c r="N6" s="25" t="s">
        <v>14</v>
      </c>
      <c r="O6" s="53">
        <v>45875</v>
      </c>
      <c r="P6" s="63">
        <v>3235</v>
      </c>
    </row>
    <row r="7" spans="1:21" ht="15" customHeight="1" x14ac:dyDescent="0.3">
      <c r="A7" s="65">
        <v>3236</v>
      </c>
      <c r="B7" s="57">
        <v>45837</v>
      </c>
      <c r="C7" s="8"/>
      <c r="D7" s="61">
        <v>3</v>
      </c>
      <c r="E7" s="61">
        <v>80</v>
      </c>
      <c r="F7" s="61">
        <v>80</v>
      </c>
      <c r="G7" s="61">
        <v>0</v>
      </c>
      <c r="H7" s="61">
        <v>0</v>
      </c>
      <c r="I7" s="57"/>
      <c r="J7" s="61"/>
      <c r="K7" s="57"/>
      <c r="L7" s="61"/>
      <c r="M7" s="22" t="s">
        <v>24</v>
      </c>
      <c r="N7" s="25" t="s">
        <v>14</v>
      </c>
      <c r="O7" s="53">
        <v>45837</v>
      </c>
      <c r="P7" s="63">
        <v>3236</v>
      </c>
    </row>
    <row r="8" spans="1:21" ht="15" customHeight="1" x14ac:dyDescent="0.3">
      <c r="A8" s="65">
        <v>3237</v>
      </c>
      <c r="B8" s="57">
        <v>45803</v>
      </c>
      <c r="C8" s="8"/>
      <c r="D8" s="61">
        <v>3</v>
      </c>
      <c r="E8" s="61">
        <v>52</v>
      </c>
      <c r="F8" s="61">
        <v>52</v>
      </c>
      <c r="G8" s="61">
        <v>0</v>
      </c>
      <c r="H8" s="61">
        <v>0</v>
      </c>
      <c r="I8" s="57"/>
      <c r="J8" s="61"/>
      <c r="K8" s="57"/>
      <c r="L8" s="61"/>
      <c r="M8" s="22" t="s">
        <v>24</v>
      </c>
      <c r="N8" s="25" t="s">
        <v>14</v>
      </c>
      <c r="O8" s="53">
        <v>45803</v>
      </c>
      <c r="P8" s="63">
        <v>3237</v>
      </c>
    </row>
    <row r="9" spans="1:21" ht="15" customHeight="1" x14ac:dyDescent="0.3">
      <c r="A9" s="65">
        <v>3238</v>
      </c>
      <c r="B9" s="57">
        <v>45825</v>
      </c>
      <c r="C9" s="8"/>
      <c r="D9" s="61">
        <v>1</v>
      </c>
      <c r="E9" s="61">
        <v>15</v>
      </c>
      <c r="F9" s="61">
        <v>15</v>
      </c>
      <c r="G9" s="61">
        <v>0</v>
      </c>
      <c r="H9" s="61">
        <v>3</v>
      </c>
      <c r="I9" s="57">
        <v>45833</v>
      </c>
      <c r="J9" s="61">
        <v>51</v>
      </c>
      <c r="K9" s="57"/>
      <c r="L9" s="61"/>
      <c r="M9" s="22" t="s">
        <v>24</v>
      </c>
      <c r="N9" s="25" t="s">
        <v>14</v>
      </c>
      <c r="O9" s="53">
        <v>45833</v>
      </c>
      <c r="P9" s="63">
        <v>3238</v>
      </c>
    </row>
    <row r="10" spans="1:21" ht="15" customHeight="1" x14ac:dyDescent="0.3">
      <c r="A10" s="65">
        <v>3239</v>
      </c>
      <c r="B10" s="57">
        <v>45903</v>
      </c>
      <c r="C10" s="8"/>
      <c r="D10" s="61">
        <v>1</v>
      </c>
      <c r="E10" s="61">
        <v>18</v>
      </c>
      <c r="F10" s="61">
        <v>18</v>
      </c>
      <c r="G10" s="61">
        <v>0</v>
      </c>
      <c r="H10" s="61">
        <v>0</v>
      </c>
      <c r="I10" s="57"/>
      <c r="J10" s="61"/>
      <c r="K10" s="57"/>
      <c r="L10" s="61"/>
      <c r="M10" s="22" t="s">
        <v>24</v>
      </c>
      <c r="N10" s="25" t="s">
        <v>14</v>
      </c>
      <c r="O10" s="53">
        <v>45903</v>
      </c>
      <c r="P10" s="63">
        <v>3239</v>
      </c>
    </row>
    <row r="11" spans="1:21" ht="15" customHeight="1" x14ac:dyDescent="0.3">
      <c r="A11" s="65">
        <v>3240</v>
      </c>
      <c r="B11" s="57">
        <v>45832</v>
      </c>
      <c r="C11" s="8"/>
      <c r="D11" s="61">
        <v>1</v>
      </c>
      <c r="E11" s="61">
        <v>28</v>
      </c>
      <c r="F11" s="61">
        <v>28</v>
      </c>
      <c r="G11" s="61">
        <v>0</v>
      </c>
      <c r="H11" s="61">
        <v>3</v>
      </c>
      <c r="I11" s="57">
        <v>45851</v>
      </c>
      <c r="J11" s="61">
        <v>95</v>
      </c>
      <c r="K11" s="57"/>
      <c r="L11" s="61"/>
      <c r="M11" s="22" t="s">
        <v>24</v>
      </c>
      <c r="N11" s="25" t="s">
        <v>14</v>
      </c>
      <c r="O11" s="53">
        <v>45832</v>
      </c>
      <c r="P11" s="63">
        <v>3240</v>
      </c>
    </row>
    <row r="12" spans="1:21" ht="15" customHeight="1" x14ac:dyDescent="0.3">
      <c r="A12" s="65">
        <v>3241</v>
      </c>
      <c r="B12" s="57">
        <v>45805</v>
      </c>
      <c r="C12" s="8"/>
      <c r="D12" s="61">
        <v>1</v>
      </c>
      <c r="E12" s="61">
        <v>30</v>
      </c>
      <c r="F12" s="61">
        <v>30</v>
      </c>
      <c r="G12" s="61">
        <v>0</v>
      </c>
      <c r="H12" s="61">
        <v>0</v>
      </c>
      <c r="I12" s="57">
        <v>45831</v>
      </c>
      <c r="J12" s="61">
        <v>12</v>
      </c>
      <c r="K12" s="57">
        <v>45834</v>
      </c>
      <c r="L12" s="61">
        <v>5</v>
      </c>
      <c r="M12" s="22" t="s">
        <v>24</v>
      </c>
      <c r="N12" s="25" t="s">
        <v>14</v>
      </c>
      <c r="O12" s="53">
        <v>45834</v>
      </c>
      <c r="P12" s="63">
        <v>3341</v>
      </c>
    </row>
    <row r="13" spans="1:21" ht="15" customHeight="1" x14ac:dyDescent="0.3">
      <c r="A13" s="65">
        <v>3242</v>
      </c>
      <c r="B13" s="57">
        <v>45811</v>
      </c>
      <c r="C13" s="8"/>
      <c r="D13" s="61">
        <v>4</v>
      </c>
      <c r="E13" s="61">
        <v>190</v>
      </c>
      <c r="F13" s="61">
        <v>190</v>
      </c>
      <c r="G13" s="61">
        <v>0</v>
      </c>
      <c r="H13" s="61">
        <v>0</v>
      </c>
      <c r="I13" s="57"/>
      <c r="J13" s="61"/>
      <c r="K13" s="57"/>
      <c r="L13" s="61"/>
      <c r="M13" s="22" t="s">
        <v>24</v>
      </c>
      <c r="N13" s="25" t="s">
        <v>14</v>
      </c>
      <c r="O13" s="53">
        <v>45811</v>
      </c>
      <c r="P13" s="63">
        <v>3224</v>
      </c>
    </row>
    <row r="14" spans="1:21" ht="15" customHeight="1" x14ac:dyDescent="0.3">
      <c r="A14" s="65">
        <v>3243</v>
      </c>
      <c r="B14" s="57">
        <v>45824</v>
      </c>
      <c r="C14" s="8"/>
      <c r="D14" s="61">
        <v>3</v>
      </c>
      <c r="E14" s="61">
        <v>117</v>
      </c>
      <c r="F14" s="61">
        <v>117</v>
      </c>
      <c r="G14" s="61">
        <v>0</v>
      </c>
      <c r="H14" s="61">
        <v>1</v>
      </c>
      <c r="I14" s="57">
        <v>45846</v>
      </c>
      <c r="J14" s="61">
        <v>2</v>
      </c>
      <c r="K14" s="57"/>
      <c r="L14" s="61"/>
      <c r="M14" s="22" t="s">
        <v>24</v>
      </c>
      <c r="N14" s="25" t="s">
        <v>14</v>
      </c>
      <c r="O14" s="53">
        <v>45824</v>
      </c>
      <c r="P14" s="63"/>
    </row>
    <row r="15" spans="1:21" ht="15" customHeight="1" x14ac:dyDescent="0.3">
      <c r="A15" s="65">
        <v>3244</v>
      </c>
      <c r="B15" s="57">
        <v>45809</v>
      </c>
      <c r="C15" s="8"/>
      <c r="D15" s="61">
        <v>3</v>
      </c>
      <c r="E15" s="61">
        <v>46</v>
      </c>
      <c r="F15" s="61">
        <v>46</v>
      </c>
      <c r="G15" s="61">
        <v>0</v>
      </c>
      <c r="H15" s="61">
        <v>0</v>
      </c>
      <c r="I15" s="57">
        <v>45838</v>
      </c>
      <c r="J15" s="61">
        <v>57</v>
      </c>
      <c r="K15" s="57"/>
      <c r="L15" s="61"/>
      <c r="M15" s="22" t="s">
        <v>24</v>
      </c>
      <c r="N15" s="25" t="s">
        <v>14</v>
      </c>
      <c r="O15" s="53">
        <v>45809</v>
      </c>
      <c r="P15" s="63">
        <v>3244</v>
      </c>
    </row>
    <row r="16" spans="1:21" ht="15" customHeight="1" x14ac:dyDescent="0.3">
      <c r="A16" s="67">
        <v>3245</v>
      </c>
      <c r="B16" s="57"/>
      <c r="C16" s="8"/>
      <c r="D16" s="61"/>
      <c r="E16" s="61"/>
      <c r="F16" s="61"/>
      <c r="G16" s="61"/>
      <c r="H16" s="61"/>
      <c r="I16" s="57"/>
      <c r="J16" s="61"/>
      <c r="K16" s="57"/>
      <c r="L16" s="61"/>
      <c r="M16" s="22"/>
      <c r="N16" s="25"/>
      <c r="O16" s="53"/>
      <c r="P16" s="63"/>
    </row>
    <row r="17" spans="1:16" ht="15" customHeight="1" x14ac:dyDescent="0.3">
      <c r="A17" s="65">
        <v>3246</v>
      </c>
      <c r="B17" s="57">
        <v>45833</v>
      </c>
      <c r="C17" s="8"/>
      <c r="D17" s="61">
        <v>3</v>
      </c>
      <c r="E17" s="61">
        <v>100</v>
      </c>
      <c r="F17" s="61">
        <v>100</v>
      </c>
      <c r="G17" s="61">
        <v>0</v>
      </c>
      <c r="H17" s="61">
        <v>1</v>
      </c>
      <c r="I17" s="57">
        <v>45840</v>
      </c>
      <c r="J17" s="61">
        <v>24</v>
      </c>
      <c r="K17" s="57"/>
      <c r="L17" s="61"/>
      <c r="M17" s="22" t="s">
        <v>24</v>
      </c>
      <c r="N17" s="25" t="s">
        <v>14</v>
      </c>
      <c r="O17" s="53">
        <v>45833</v>
      </c>
      <c r="P17" s="63">
        <v>3246</v>
      </c>
    </row>
    <row r="18" spans="1:16" ht="15" customHeight="1" x14ac:dyDescent="0.3">
      <c r="A18" s="67">
        <v>3247</v>
      </c>
      <c r="B18" s="57"/>
      <c r="C18" s="8"/>
      <c r="D18" s="61"/>
      <c r="E18" s="61"/>
      <c r="F18" s="61"/>
      <c r="G18" s="61"/>
      <c r="H18" s="61"/>
      <c r="I18" s="57"/>
      <c r="J18" s="61"/>
      <c r="K18" s="57"/>
      <c r="L18" s="61"/>
      <c r="M18" s="22"/>
      <c r="N18" s="25"/>
      <c r="O18" s="53"/>
      <c r="P18" s="63"/>
    </row>
    <row r="19" spans="1:16" ht="15" customHeight="1" x14ac:dyDescent="0.3">
      <c r="A19" s="65">
        <v>3248</v>
      </c>
      <c r="B19" s="57">
        <v>45855</v>
      </c>
      <c r="C19" s="8"/>
      <c r="D19" s="61">
        <v>1</v>
      </c>
      <c r="E19" s="61">
        <v>6</v>
      </c>
      <c r="F19" s="61">
        <v>6</v>
      </c>
      <c r="G19" s="61">
        <v>0</v>
      </c>
      <c r="H19" s="61">
        <v>0</v>
      </c>
      <c r="I19" s="57"/>
      <c r="J19" s="61"/>
      <c r="K19" s="57"/>
      <c r="L19" s="61"/>
      <c r="M19" s="22" t="s">
        <v>24</v>
      </c>
      <c r="N19" s="25" t="s">
        <v>14</v>
      </c>
      <c r="O19" s="53">
        <v>45855</v>
      </c>
      <c r="P19" s="63">
        <v>3248</v>
      </c>
    </row>
    <row r="20" spans="1:16" ht="15" customHeight="1" x14ac:dyDescent="0.3">
      <c r="A20" s="65">
        <v>3250</v>
      </c>
      <c r="B20" s="57">
        <v>45828</v>
      </c>
      <c r="C20" s="8"/>
      <c r="D20" s="61">
        <v>2</v>
      </c>
      <c r="E20" s="61">
        <v>259</v>
      </c>
      <c r="F20" s="61">
        <v>259</v>
      </c>
      <c r="G20" s="61">
        <v>0</v>
      </c>
      <c r="H20" s="61">
        <v>0</v>
      </c>
      <c r="I20" s="57"/>
      <c r="J20" s="61"/>
      <c r="K20" s="57"/>
      <c r="L20" s="61"/>
      <c r="M20" s="22" t="s">
        <v>24</v>
      </c>
      <c r="N20" s="25" t="s">
        <v>14</v>
      </c>
      <c r="O20" s="53">
        <v>45828</v>
      </c>
      <c r="P20" s="63"/>
    </row>
    <row r="21" spans="1:16" ht="15" customHeight="1" x14ac:dyDescent="0.3">
      <c r="A21" s="65">
        <v>3251</v>
      </c>
      <c r="B21" s="57">
        <v>45819</v>
      </c>
      <c r="C21" s="8"/>
      <c r="D21" s="61">
        <v>1</v>
      </c>
      <c r="E21" s="61">
        <v>18</v>
      </c>
      <c r="F21" s="61">
        <v>18</v>
      </c>
      <c r="G21" s="61">
        <v>0</v>
      </c>
      <c r="H21" s="61">
        <v>0</v>
      </c>
      <c r="I21" s="57">
        <v>45831</v>
      </c>
      <c r="J21" s="61">
        <v>92</v>
      </c>
      <c r="K21" s="57"/>
      <c r="L21" s="61"/>
      <c r="M21" s="22" t="s">
        <v>24</v>
      </c>
      <c r="N21" s="25" t="s">
        <v>14</v>
      </c>
      <c r="O21" s="53">
        <v>45831</v>
      </c>
      <c r="P21" s="63">
        <v>3251</v>
      </c>
    </row>
    <row r="22" spans="1:16" ht="15" customHeight="1" x14ac:dyDescent="0.3">
      <c r="A22" s="68">
        <v>3252</v>
      </c>
      <c r="B22" s="57">
        <v>45874</v>
      </c>
      <c r="C22" s="8"/>
      <c r="D22" s="61">
        <v>2</v>
      </c>
      <c r="E22" s="61">
        <v>13</v>
      </c>
      <c r="F22" s="61">
        <v>13</v>
      </c>
      <c r="G22" s="61">
        <v>0</v>
      </c>
      <c r="H22" s="61">
        <v>0</v>
      </c>
      <c r="I22" s="57"/>
      <c r="J22" s="61"/>
      <c r="K22" s="57"/>
      <c r="L22" s="61"/>
      <c r="M22" s="22" t="s">
        <v>24</v>
      </c>
      <c r="N22" s="25" t="s">
        <v>14</v>
      </c>
      <c r="O22" s="53">
        <v>45874</v>
      </c>
      <c r="P22" s="63">
        <v>3252</v>
      </c>
    </row>
    <row r="23" spans="1:16" ht="15" customHeight="1" x14ac:dyDescent="0.3">
      <c r="A23" s="66">
        <v>3253</v>
      </c>
      <c r="B23" s="57"/>
      <c r="C23" s="8"/>
      <c r="D23" s="61"/>
      <c r="E23" s="61"/>
      <c r="F23" s="61"/>
      <c r="G23" s="61"/>
      <c r="H23" s="61"/>
      <c r="I23" s="57"/>
      <c r="J23" s="61"/>
      <c r="K23" s="57"/>
      <c r="L23" s="61"/>
      <c r="M23" s="22"/>
      <c r="N23" s="25"/>
      <c r="O23" s="53"/>
      <c r="P23" s="63"/>
    </row>
    <row r="24" spans="1:16" ht="15" customHeight="1" x14ac:dyDescent="0.3">
      <c r="A24" s="65">
        <v>3254</v>
      </c>
      <c r="B24" s="57">
        <v>45866</v>
      </c>
      <c r="C24" s="8"/>
      <c r="D24" s="61">
        <v>1</v>
      </c>
      <c r="E24" s="61">
        <v>20</v>
      </c>
      <c r="F24" s="61">
        <v>20</v>
      </c>
      <c r="G24" s="61">
        <v>0</v>
      </c>
      <c r="H24" s="61">
        <v>0</v>
      </c>
      <c r="I24" s="57"/>
      <c r="J24" s="61"/>
      <c r="K24" s="57"/>
      <c r="L24" s="61"/>
      <c r="M24" s="22" t="s">
        <v>24</v>
      </c>
      <c r="N24" s="25" t="s">
        <v>14</v>
      </c>
      <c r="O24" s="53">
        <v>45866</v>
      </c>
      <c r="P24" s="63">
        <v>3254</v>
      </c>
    </row>
    <row r="25" spans="1:16" ht="15" customHeight="1" x14ac:dyDescent="0.3">
      <c r="A25" s="65">
        <v>3255</v>
      </c>
      <c r="B25" s="57">
        <v>45824</v>
      </c>
      <c r="C25" s="8"/>
      <c r="D25" s="61">
        <v>3</v>
      </c>
      <c r="E25" s="61">
        <v>86</v>
      </c>
      <c r="F25" s="61">
        <v>86</v>
      </c>
      <c r="G25" s="61">
        <v>0</v>
      </c>
      <c r="H25" s="61">
        <v>0</v>
      </c>
      <c r="I25" s="57"/>
      <c r="J25" s="61"/>
      <c r="K25" s="57"/>
      <c r="L25" s="61"/>
      <c r="M25" s="22" t="s">
        <v>24</v>
      </c>
      <c r="N25" s="25" t="s">
        <v>14</v>
      </c>
      <c r="O25" s="53">
        <v>45824</v>
      </c>
      <c r="P25" s="63">
        <v>3255</v>
      </c>
    </row>
    <row r="26" spans="1:16" ht="15" customHeight="1" x14ac:dyDescent="0.3">
      <c r="A26" s="65">
        <v>3256</v>
      </c>
      <c r="B26" s="57"/>
      <c r="C26" s="8"/>
      <c r="D26" s="61"/>
      <c r="E26" s="61"/>
      <c r="F26" s="61"/>
      <c r="G26" s="61"/>
      <c r="H26" s="61"/>
      <c r="I26" s="57"/>
      <c r="J26" s="61"/>
      <c r="K26" s="57"/>
      <c r="L26" s="61"/>
      <c r="M26" s="22"/>
      <c r="N26" s="25"/>
      <c r="O26" s="53"/>
      <c r="P26" s="63"/>
    </row>
    <row r="27" spans="1:16" ht="15" customHeight="1" x14ac:dyDescent="0.3">
      <c r="A27" s="65">
        <v>3258</v>
      </c>
      <c r="B27" s="57">
        <v>45823</v>
      </c>
      <c r="C27" s="8"/>
      <c r="D27" s="61">
        <v>4</v>
      </c>
      <c r="E27" s="61">
        <v>37</v>
      </c>
      <c r="F27" s="61">
        <v>37</v>
      </c>
      <c r="G27" s="61">
        <v>0</v>
      </c>
      <c r="H27" s="61">
        <v>0</v>
      </c>
      <c r="I27" s="57"/>
      <c r="J27" s="61"/>
      <c r="K27" s="57"/>
      <c r="L27" s="61"/>
      <c r="M27" s="22" t="s">
        <v>24</v>
      </c>
      <c r="N27" s="25" t="s">
        <v>14</v>
      </c>
      <c r="O27" s="53">
        <v>45823</v>
      </c>
      <c r="P27" s="63"/>
    </row>
    <row r="28" spans="1:16" ht="15" customHeight="1" x14ac:dyDescent="0.3">
      <c r="A28" s="65">
        <v>3259</v>
      </c>
      <c r="B28" s="57">
        <v>45831</v>
      </c>
      <c r="C28" s="8"/>
      <c r="D28" s="61">
        <v>2</v>
      </c>
      <c r="E28" s="61">
        <v>30</v>
      </c>
      <c r="F28" s="61">
        <v>30</v>
      </c>
      <c r="G28" s="61">
        <v>0</v>
      </c>
      <c r="H28" s="61">
        <v>0</v>
      </c>
      <c r="I28" s="57"/>
      <c r="J28" s="61"/>
      <c r="K28" s="57"/>
      <c r="L28" s="61"/>
      <c r="M28" s="22" t="s">
        <v>24</v>
      </c>
      <c r="N28" s="25" t="s">
        <v>14</v>
      </c>
      <c r="O28" s="53">
        <v>45831</v>
      </c>
      <c r="P28" s="63"/>
    </row>
    <row r="29" spans="1:16" ht="15" customHeight="1" x14ac:dyDescent="0.3">
      <c r="A29" s="65">
        <v>3260</v>
      </c>
      <c r="B29" s="57"/>
      <c r="C29" s="8"/>
      <c r="D29" s="61"/>
      <c r="E29" s="61"/>
      <c r="F29" s="61"/>
      <c r="G29" s="61"/>
      <c r="H29" s="61"/>
      <c r="I29" s="57"/>
      <c r="J29" s="61"/>
      <c r="K29" s="57"/>
      <c r="L29" s="61"/>
      <c r="M29" s="22"/>
      <c r="N29" s="25"/>
      <c r="O29" s="53"/>
      <c r="P29" s="63"/>
    </row>
    <row r="30" spans="1:16" ht="15" customHeight="1" x14ac:dyDescent="0.3">
      <c r="A30" s="65">
        <v>3261</v>
      </c>
      <c r="B30" s="57">
        <v>45834</v>
      </c>
      <c r="C30" s="8"/>
      <c r="D30" s="61">
        <v>1</v>
      </c>
      <c r="E30" s="61">
        <v>34</v>
      </c>
      <c r="F30" s="61">
        <v>34</v>
      </c>
      <c r="G30" s="61">
        <v>0</v>
      </c>
      <c r="H30" s="61">
        <v>3</v>
      </c>
      <c r="I30" s="57">
        <v>45840</v>
      </c>
      <c r="J30" s="61">
        <v>174</v>
      </c>
      <c r="K30" s="57"/>
      <c r="L30" s="61"/>
      <c r="M30" s="22" t="s">
        <v>24</v>
      </c>
      <c r="N30" s="25" t="s">
        <v>14</v>
      </c>
      <c r="O30" s="53">
        <v>45840</v>
      </c>
      <c r="P30" s="63">
        <v>3261</v>
      </c>
    </row>
    <row r="31" spans="1:16" ht="15" customHeight="1" x14ac:dyDescent="0.3">
      <c r="A31" s="65">
        <v>3262</v>
      </c>
      <c r="B31" s="57">
        <v>45819</v>
      </c>
      <c r="C31" s="8"/>
      <c r="D31" s="61">
        <v>4</v>
      </c>
      <c r="E31" s="61">
        <v>86</v>
      </c>
      <c r="F31" s="61">
        <v>33</v>
      </c>
      <c r="G31" s="61">
        <v>53</v>
      </c>
      <c r="H31" s="61">
        <v>0</v>
      </c>
      <c r="I31" s="57"/>
      <c r="J31" s="61"/>
      <c r="K31" s="57"/>
      <c r="L31" s="61"/>
      <c r="M31" s="22" t="s">
        <v>24</v>
      </c>
      <c r="N31" s="25" t="s">
        <v>14</v>
      </c>
      <c r="O31" s="53">
        <v>45819</v>
      </c>
      <c r="P31" s="63">
        <v>3262</v>
      </c>
    </row>
    <row r="32" spans="1:16" ht="15" customHeight="1" x14ac:dyDescent="0.3">
      <c r="A32" s="65">
        <v>3263</v>
      </c>
      <c r="B32" s="57">
        <v>45833</v>
      </c>
      <c r="C32" s="8"/>
      <c r="D32" s="61">
        <v>3</v>
      </c>
      <c r="E32" s="61">
        <v>196</v>
      </c>
      <c r="F32" s="61">
        <v>196</v>
      </c>
      <c r="G32" s="61">
        <v>0</v>
      </c>
      <c r="H32" s="61">
        <v>0</v>
      </c>
      <c r="I32" s="57"/>
      <c r="J32" s="61"/>
      <c r="K32" s="57"/>
      <c r="L32" s="61"/>
      <c r="M32" s="22" t="s">
        <v>24</v>
      </c>
      <c r="N32" s="25" t="s">
        <v>14</v>
      </c>
      <c r="O32" s="53">
        <v>45833</v>
      </c>
      <c r="P32" s="63">
        <v>3263</v>
      </c>
    </row>
    <row r="33" spans="1:16" ht="15" customHeight="1" x14ac:dyDescent="0.3">
      <c r="A33" s="65">
        <v>3264</v>
      </c>
      <c r="B33" s="57">
        <v>45826</v>
      </c>
      <c r="C33" s="8"/>
      <c r="D33" s="61">
        <v>4</v>
      </c>
      <c r="E33" s="61">
        <v>121</v>
      </c>
      <c r="F33" s="61">
        <v>121</v>
      </c>
      <c r="G33" s="61">
        <v>0</v>
      </c>
      <c r="H33" s="61">
        <v>0</v>
      </c>
      <c r="I33" s="57"/>
      <c r="J33" s="61"/>
      <c r="K33" s="57"/>
      <c r="L33" s="61"/>
      <c r="M33" s="22" t="s">
        <v>24</v>
      </c>
      <c r="N33" s="25" t="s">
        <v>14</v>
      </c>
      <c r="O33" s="53">
        <v>45826</v>
      </c>
      <c r="P33" s="63"/>
    </row>
    <row r="34" spans="1:16" ht="15" customHeight="1" x14ac:dyDescent="0.3">
      <c r="A34" s="65">
        <v>3265</v>
      </c>
      <c r="B34" s="57">
        <v>45834</v>
      </c>
      <c r="C34" s="8"/>
      <c r="D34" s="61">
        <v>4</v>
      </c>
      <c r="E34" s="61">
        <v>100</v>
      </c>
      <c r="F34" s="61">
        <v>100</v>
      </c>
      <c r="G34" s="61">
        <v>0</v>
      </c>
      <c r="H34" s="61">
        <v>0</v>
      </c>
      <c r="I34" s="57"/>
      <c r="J34" s="61"/>
      <c r="K34" s="57"/>
      <c r="L34" s="61"/>
      <c r="M34" s="22" t="s">
        <v>24</v>
      </c>
      <c r="N34" s="25" t="s">
        <v>14</v>
      </c>
      <c r="O34" s="53">
        <v>45773</v>
      </c>
      <c r="P34" s="63"/>
    </row>
    <row r="35" spans="1:16" ht="15" customHeight="1" x14ac:dyDescent="0.3">
      <c r="A35" s="65">
        <v>3266</v>
      </c>
      <c r="B35" s="57">
        <v>45813</v>
      </c>
      <c r="C35" s="8"/>
      <c r="D35" s="61">
        <v>4</v>
      </c>
      <c r="E35" s="61">
        <v>92</v>
      </c>
      <c r="F35" s="61">
        <v>92</v>
      </c>
      <c r="G35" s="61">
        <v>0</v>
      </c>
      <c r="H35" s="61">
        <v>0</v>
      </c>
      <c r="I35" s="57"/>
      <c r="J35" s="61"/>
      <c r="K35" s="57"/>
      <c r="L35" s="61"/>
      <c r="M35" s="22" t="s">
        <v>24</v>
      </c>
      <c r="N35" s="25" t="s">
        <v>14</v>
      </c>
      <c r="O35" s="53">
        <v>45813</v>
      </c>
      <c r="P35" s="63"/>
    </row>
    <row r="36" spans="1:16" ht="15" customHeight="1" x14ac:dyDescent="0.3">
      <c r="A36" s="67">
        <v>3267</v>
      </c>
      <c r="B36" s="57">
        <v>45945</v>
      </c>
      <c r="C36" s="8"/>
      <c r="D36" s="61">
        <v>1</v>
      </c>
      <c r="E36" s="61">
        <v>7</v>
      </c>
      <c r="F36" s="61">
        <v>7</v>
      </c>
      <c r="G36" s="61">
        <v>0</v>
      </c>
      <c r="H36" s="61">
        <v>0</v>
      </c>
      <c r="I36" s="57"/>
      <c r="J36" s="61"/>
      <c r="K36" s="57"/>
      <c r="L36" s="61"/>
      <c r="M36" s="22" t="s">
        <v>24</v>
      </c>
      <c r="N36" s="25" t="s">
        <v>14</v>
      </c>
      <c r="O36" s="53">
        <v>45945</v>
      </c>
      <c r="P36" s="63">
        <v>3267</v>
      </c>
    </row>
    <row r="37" spans="1:16" ht="15" customHeight="1" x14ac:dyDescent="0.3">
      <c r="A37" s="65">
        <v>3299</v>
      </c>
      <c r="B37" s="57">
        <v>45820</v>
      </c>
      <c r="C37" s="8"/>
      <c r="D37" s="61">
        <v>2</v>
      </c>
      <c r="E37" s="61">
        <v>50</v>
      </c>
      <c r="F37" s="61">
        <v>50</v>
      </c>
      <c r="G37" s="61">
        <v>0</v>
      </c>
      <c r="H37" s="61">
        <v>0</v>
      </c>
      <c r="I37" s="57"/>
      <c r="J37" s="61"/>
      <c r="K37" s="57"/>
      <c r="L37" s="61"/>
      <c r="M37" s="22" t="s">
        <v>24</v>
      </c>
      <c r="N37" s="25" t="s">
        <v>14</v>
      </c>
      <c r="O37" s="53">
        <v>45820</v>
      </c>
      <c r="P37" s="63"/>
    </row>
    <row r="38" spans="1:16" ht="15" customHeight="1" x14ac:dyDescent="0.3">
      <c r="A38" s="65">
        <v>3531</v>
      </c>
      <c r="B38" s="57">
        <v>45832</v>
      </c>
      <c r="C38" s="8"/>
      <c r="D38" s="61">
        <v>1</v>
      </c>
      <c r="E38" s="61">
        <v>86</v>
      </c>
      <c r="F38" s="61">
        <v>86</v>
      </c>
      <c r="G38" s="61">
        <v>0</v>
      </c>
      <c r="H38" s="61">
        <v>0</v>
      </c>
      <c r="I38" s="57"/>
      <c r="J38" s="61"/>
      <c r="K38" s="57"/>
      <c r="L38" s="61"/>
      <c r="M38" s="22" t="s">
        <v>24</v>
      </c>
      <c r="N38" s="25" t="s">
        <v>14</v>
      </c>
      <c r="O38" s="53">
        <v>45832</v>
      </c>
      <c r="P38" s="63">
        <v>3531</v>
      </c>
    </row>
    <row r="39" spans="1:16" ht="15" customHeight="1" x14ac:dyDescent="0.3">
      <c r="A39" s="67">
        <v>3532</v>
      </c>
      <c r="B39" s="57"/>
      <c r="C39" s="8"/>
      <c r="D39" s="61">
        <v>3</v>
      </c>
      <c r="E39" s="61">
        <v>0</v>
      </c>
      <c r="F39" s="61">
        <v>0</v>
      </c>
      <c r="G39" s="61">
        <v>0</v>
      </c>
      <c r="H39" s="61"/>
      <c r="I39" s="57"/>
      <c r="J39" s="61"/>
      <c r="K39" s="57"/>
      <c r="L39" s="61"/>
      <c r="M39" s="22"/>
      <c r="N39" s="25"/>
      <c r="O39" s="53"/>
      <c r="P39" s="63"/>
    </row>
    <row r="40" spans="1:16" ht="15" customHeight="1" x14ac:dyDescent="0.3">
      <c r="A40" s="67">
        <v>3533</v>
      </c>
      <c r="B40" s="57"/>
      <c r="C40" s="8"/>
      <c r="D40" s="61">
        <v>3</v>
      </c>
      <c r="E40" s="61">
        <v>0</v>
      </c>
      <c r="F40" s="61">
        <v>0</v>
      </c>
      <c r="G40" s="61">
        <v>0</v>
      </c>
      <c r="H40" s="61"/>
      <c r="I40" s="57"/>
      <c r="J40" s="61"/>
      <c r="K40" s="57"/>
      <c r="L40" s="61"/>
      <c r="M40" s="22"/>
      <c r="N40" s="25"/>
      <c r="O40" s="53"/>
      <c r="P40" s="63"/>
    </row>
    <row r="41" spans="1:16" ht="15" customHeight="1" x14ac:dyDescent="0.3">
      <c r="A41" s="67">
        <v>3534</v>
      </c>
      <c r="B41" s="57"/>
      <c r="C41" s="8"/>
      <c r="D41" s="61">
        <v>3</v>
      </c>
      <c r="E41" s="61">
        <v>0</v>
      </c>
      <c r="F41" s="61">
        <v>0</v>
      </c>
      <c r="G41" s="61">
        <v>0</v>
      </c>
      <c r="H41" s="61"/>
      <c r="I41" s="57"/>
      <c r="J41" s="61"/>
      <c r="K41" s="57"/>
      <c r="L41" s="61"/>
      <c r="M41" s="22"/>
      <c r="N41" s="25"/>
      <c r="O41" s="53"/>
      <c r="P41" s="63"/>
    </row>
    <row r="42" spans="1:16" ht="15" customHeight="1" x14ac:dyDescent="0.3">
      <c r="A42" s="65">
        <v>3535</v>
      </c>
      <c r="B42" s="57">
        <v>45839</v>
      </c>
      <c r="C42" s="8"/>
      <c r="D42" s="61">
        <v>1</v>
      </c>
      <c r="E42" s="61">
        <v>45</v>
      </c>
      <c r="F42" s="61">
        <v>45</v>
      </c>
      <c r="G42" s="61">
        <v>0</v>
      </c>
      <c r="H42" s="61">
        <v>0</v>
      </c>
      <c r="I42" s="57"/>
      <c r="J42" s="61"/>
      <c r="K42" s="57"/>
      <c r="L42" s="61"/>
      <c r="M42" s="22" t="s">
        <v>24</v>
      </c>
      <c r="N42" s="25" t="s">
        <v>14</v>
      </c>
      <c r="O42" s="53">
        <v>45839</v>
      </c>
      <c r="P42" s="63">
        <v>3535</v>
      </c>
    </row>
    <row r="43" spans="1:16" ht="15" customHeight="1" x14ac:dyDescent="0.3">
      <c r="A43" s="65">
        <v>3536</v>
      </c>
      <c r="B43" s="57">
        <v>45831</v>
      </c>
      <c r="C43" s="8"/>
      <c r="D43" s="61">
        <v>1</v>
      </c>
      <c r="E43" s="61">
        <v>3</v>
      </c>
      <c r="F43" s="61">
        <v>3</v>
      </c>
      <c r="G43" s="61">
        <v>0</v>
      </c>
      <c r="H43" s="61">
        <v>0</v>
      </c>
      <c r="I43" s="57"/>
      <c r="J43" s="61"/>
      <c r="K43" s="57"/>
      <c r="L43" s="61"/>
      <c r="M43" s="22" t="s">
        <v>24</v>
      </c>
      <c r="N43" s="25" t="s">
        <v>14</v>
      </c>
      <c r="O43" s="53">
        <v>45831</v>
      </c>
      <c r="P43" s="63">
        <v>3536</v>
      </c>
    </row>
    <row r="44" spans="1:16" ht="15" customHeight="1" x14ac:dyDescent="0.3">
      <c r="A44" s="65">
        <v>3537</v>
      </c>
      <c r="B44" s="57">
        <v>45844</v>
      </c>
      <c r="C44" s="8"/>
      <c r="D44" s="61">
        <v>3</v>
      </c>
      <c r="E44" s="61">
        <v>59</v>
      </c>
      <c r="F44" s="61">
        <v>59</v>
      </c>
      <c r="G44" s="61">
        <v>0</v>
      </c>
      <c r="H44" s="61">
        <v>0</v>
      </c>
      <c r="I44" s="57"/>
      <c r="J44" s="61"/>
      <c r="K44" s="57"/>
      <c r="L44" s="61"/>
      <c r="M44" s="22" t="s">
        <v>24</v>
      </c>
      <c r="N44" s="25" t="s">
        <v>14</v>
      </c>
      <c r="O44" s="53">
        <v>45844</v>
      </c>
      <c r="P44" s="63">
        <v>3537</v>
      </c>
    </row>
    <row r="45" spans="1:16" ht="15" customHeight="1" x14ac:dyDescent="0.3">
      <c r="A45" s="65">
        <v>3538</v>
      </c>
      <c r="B45" s="57">
        <v>45840</v>
      </c>
      <c r="C45" s="8"/>
      <c r="D45" s="61">
        <v>2</v>
      </c>
      <c r="E45" s="61">
        <v>195</v>
      </c>
      <c r="F45" s="61">
        <v>147</v>
      </c>
      <c r="G45" s="61">
        <v>48</v>
      </c>
      <c r="H45" s="61">
        <v>1</v>
      </c>
      <c r="I45" s="57">
        <v>45847</v>
      </c>
      <c r="J45" s="61">
        <v>48</v>
      </c>
      <c r="K45" s="57"/>
      <c r="L45" s="61"/>
      <c r="M45" s="22" t="s">
        <v>24</v>
      </c>
      <c r="N45" s="25" t="s">
        <v>14</v>
      </c>
      <c r="O45" s="53">
        <v>45840</v>
      </c>
      <c r="P45" s="63"/>
    </row>
    <row r="46" spans="1:16" ht="15" customHeight="1" x14ac:dyDescent="0.3">
      <c r="A46" s="66">
        <v>3540</v>
      </c>
      <c r="B46" s="57"/>
      <c r="C46" s="8"/>
      <c r="D46" s="61"/>
      <c r="E46" s="61"/>
      <c r="F46" s="61"/>
      <c r="G46" s="61"/>
      <c r="H46" s="61"/>
      <c r="I46" s="57"/>
      <c r="J46" s="61"/>
      <c r="K46" s="57"/>
      <c r="L46" s="61"/>
      <c r="M46" s="22"/>
      <c r="N46" s="25"/>
      <c r="O46" s="53"/>
      <c r="P46" s="63"/>
    </row>
    <row r="47" spans="1:16" ht="15" customHeight="1" x14ac:dyDescent="0.3">
      <c r="A47" s="65">
        <v>3541</v>
      </c>
      <c r="B47" s="57">
        <v>45829</v>
      </c>
      <c r="C47" s="8"/>
      <c r="D47" s="61">
        <v>3</v>
      </c>
      <c r="E47" s="61">
        <v>271</v>
      </c>
      <c r="F47" s="61">
        <v>271</v>
      </c>
      <c r="G47" s="61">
        <v>0</v>
      </c>
      <c r="H47" s="61">
        <v>0</v>
      </c>
      <c r="I47" s="57"/>
      <c r="J47" s="61"/>
      <c r="K47" s="57"/>
      <c r="L47" s="61"/>
      <c r="M47" s="22" t="s">
        <v>24</v>
      </c>
      <c r="N47" s="25" t="s">
        <v>14</v>
      </c>
      <c r="O47" s="53">
        <v>45829</v>
      </c>
      <c r="P47" s="63">
        <v>3541</v>
      </c>
    </row>
    <row r="48" spans="1:16" ht="15" customHeight="1" x14ac:dyDescent="0.3">
      <c r="A48" s="65">
        <v>3542</v>
      </c>
      <c r="B48" s="57">
        <v>45785</v>
      </c>
      <c r="C48" s="8"/>
      <c r="D48" s="61">
        <v>3</v>
      </c>
      <c r="E48" s="61">
        <v>120</v>
      </c>
      <c r="F48" s="61">
        <v>120</v>
      </c>
      <c r="G48" s="61">
        <v>0</v>
      </c>
      <c r="H48" s="61">
        <v>0</v>
      </c>
      <c r="I48" s="57"/>
      <c r="J48" s="61"/>
      <c r="K48" s="57"/>
      <c r="L48" s="61"/>
      <c r="M48" s="22" t="s">
        <v>24</v>
      </c>
      <c r="N48" s="25" t="s">
        <v>14</v>
      </c>
      <c r="O48" s="53">
        <v>45785</v>
      </c>
      <c r="P48" s="63">
        <v>3542</v>
      </c>
    </row>
    <row r="49" spans="1:16" ht="15" customHeight="1" x14ac:dyDescent="0.3">
      <c r="A49" s="65">
        <v>3543</v>
      </c>
      <c r="B49" s="57">
        <v>45824</v>
      </c>
      <c r="C49" s="8"/>
      <c r="D49" s="61">
        <v>3</v>
      </c>
      <c r="E49" s="61">
        <v>117</v>
      </c>
      <c r="F49" s="61">
        <v>177</v>
      </c>
      <c r="G49" s="61">
        <v>0</v>
      </c>
      <c r="H49" s="61">
        <v>0</v>
      </c>
      <c r="I49" s="57"/>
      <c r="J49" s="61"/>
      <c r="K49" s="57"/>
      <c r="L49" s="61"/>
      <c r="M49" s="22" t="s">
        <v>24</v>
      </c>
      <c r="N49" s="25" t="s">
        <v>14</v>
      </c>
      <c r="O49" s="53">
        <v>45824</v>
      </c>
      <c r="P49" s="63"/>
    </row>
    <row r="50" spans="1:16" ht="15" customHeight="1" x14ac:dyDescent="0.3">
      <c r="A50" s="67">
        <v>3544</v>
      </c>
      <c r="B50" s="57">
        <v>45817</v>
      </c>
      <c r="C50" s="8" t="s">
        <v>28</v>
      </c>
      <c r="D50" s="61">
        <v>2</v>
      </c>
      <c r="E50" s="61">
        <v>142</v>
      </c>
      <c r="F50" s="61">
        <v>130</v>
      </c>
      <c r="G50" s="61">
        <v>12</v>
      </c>
      <c r="H50" s="61">
        <v>0</v>
      </c>
      <c r="I50" s="57"/>
      <c r="J50" s="61"/>
      <c r="K50" s="57"/>
      <c r="L50" s="61"/>
      <c r="M50" s="22" t="s">
        <v>24</v>
      </c>
      <c r="N50" s="25" t="s">
        <v>14</v>
      </c>
      <c r="O50" s="53">
        <v>45817</v>
      </c>
      <c r="P50" s="63">
        <v>3544</v>
      </c>
    </row>
    <row r="51" spans="1:16" ht="15" customHeight="1" x14ac:dyDescent="0.3">
      <c r="A51" s="65">
        <v>3545</v>
      </c>
      <c r="B51" s="57">
        <v>45823</v>
      </c>
      <c r="C51" s="8"/>
      <c r="D51" s="61">
        <v>3</v>
      </c>
      <c r="E51" s="61">
        <v>108</v>
      </c>
      <c r="F51" s="61">
        <v>108</v>
      </c>
      <c r="G51" s="61">
        <v>0</v>
      </c>
      <c r="H51" s="61">
        <v>0</v>
      </c>
      <c r="I51" s="57"/>
      <c r="J51" s="61"/>
      <c r="K51" s="57"/>
      <c r="L51" s="61"/>
      <c r="M51" s="22" t="s">
        <v>24</v>
      </c>
      <c r="N51" s="25" t="s">
        <v>14</v>
      </c>
      <c r="O51" s="53">
        <v>45823</v>
      </c>
      <c r="P51" s="63">
        <v>3545</v>
      </c>
    </row>
    <row r="52" spans="1:16" ht="15" customHeight="1" x14ac:dyDescent="0.3">
      <c r="A52" s="65">
        <v>3546</v>
      </c>
      <c r="B52" s="57">
        <v>45860</v>
      </c>
      <c r="C52" s="8"/>
      <c r="D52" s="61">
        <v>2</v>
      </c>
      <c r="E52" s="61">
        <v>56</v>
      </c>
      <c r="F52" s="61">
        <v>56</v>
      </c>
      <c r="G52" s="61">
        <v>0</v>
      </c>
      <c r="H52" s="61">
        <v>0</v>
      </c>
      <c r="I52" s="57"/>
      <c r="J52" s="61"/>
      <c r="K52" s="57"/>
      <c r="L52" s="61"/>
      <c r="M52" s="22" t="s">
        <v>24</v>
      </c>
      <c r="N52" s="25" t="s">
        <v>14</v>
      </c>
      <c r="O52" s="53">
        <v>45860</v>
      </c>
      <c r="P52" s="63">
        <v>3546</v>
      </c>
    </row>
    <row r="53" spans="1:16" ht="15" customHeight="1" x14ac:dyDescent="0.3">
      <c r="A53" s="65">
        <v>3547</v>
      </c>
      <c r="B53" s="57">
        <v>45830</v>
      </c>
      <c r="C53" s="8"/>
      <c r="D53" s="61">
        <v>3</v>
      </c>
      <c r="E53" s="61">
        <v>99</v>
      </c>
      <c r="F53" s="61">
        <v>99</v>
      </c>
      <c r="G53" s="61">
        <v>20</v>
      </c>
      <c r="H53" s="61">
        <v>1</v>
      </c>
      <c r="I53" s="57">
        <v>45838</v>
      </c>
      <c r="J53" s="61">
        <v>44</v>
      </c>
      <c r="K53" s="57"/>
      <c r="L53" s="61"/>
      <c r="M53" s="22" t="s">
        <v>24</v>
      </c>
      <c r="N53" s="25" t="s">
        <v>14</v>
      </c>
      <c r="O53" s="53">
        <v>45838</v>
      </c>
      <c r="P53" s="63">
        <v>3547</v>
      </c>
    </row>
    <row r="54" spans="1:16" ht="15" customHeight="1" x14ac:dyDescent="0.3">
      <c r="A54" s="65">
        <v>3548</v>
      </c>
      <c r="B54" s="57">
        <v>45833</v>
      </c>
      <c r="C54" s="8"/>
      <c r="D54" s="61">
        <v>3</v>
      </c>
      <c r="E54" s="61">
        <v>126</v>
      </c>
      <c r="F54" s="61">
        <v>126</v>
      </c>
      <c r="G54" s="61">
        <v>0</v>
      </c>
      <c r="H54" s="61">
        <v>0</v>
      </c>
      <c r="I54" s="57"/>
      <c r="J54" s="61"/>
      <c r="K54" s="57"/>
      <c r="L54" s="61"/>
      <c r="M54" s="22" t="s">
        <v>24</v>
      </c>
      <c r="N54" s="25" t="s">
        <v>14</v>
      </c>
      <c r="O54" s="53">
        <v>45833</v>
      </c>
      <c r="P54" s="63">
        <v>3548</v>
      </c>
    </row>
    <row r="55" spans="1:16" ht="15" customHeight="1" x14ac:dyDescent="0.3">
      <c r="A55" s="65">
        <v>3549</v>
      </c>
      <c r="B55" s="57">
        <v>45818</v>
      </c>
      <c r="C55" s="8"/>
      <c r="D55" s="61">
        <v>2</v>
      </c>
      <c r="E55" s="61">
        <v>285</v>
      </c>
      <c r="F55" s="61">
        <v>277</v>
      </c>
      <c r="G55" s="61">
        <v>8</v>
      </c>
      <c r="H55" s="61">
        <v>1</v>
      </c>
      <c r="I55" s="57">
        <v>45858</v>
      </c>
      <c r="J55" s="61">
        <v>12</v>
      </c>
      <c r="K55" s="57"/>
      <c r="L55" s="61"/>
      <c r="M55" s="22" t="s">
        <v>24</v>
      </c>
      <c r="N55" s="25" t="s">
        <v>14</v>
      </c>
      <c r="O55" s="53">
        <v>45858</v>
      </c>
      <c r="P55" s="63">
        <v>3549</v>
      </c>
    </row>
    <row r="56" spans="1:16" ht="15" customHeight="1" x14ac:dyDescent="0.3">
      <c r="A56" s="65">
        <v>3550</v>
      </c>
      <c r="B56" s="57">
        <v>45842</v>
      </c>
      <c r="C56" s="8"/>
      <c r="D56" s="61">
        <v>1</v>
      </c>
      <c r="E56" s="61">
        <v>8</v>
      </c>
      <c r="F56" s="61">
        <v>8</v>
      </c>
      <c r="G56" s="61">
        <v>0</v>
      </c>
      <c r="H56" s="61">
        <v>0</v>
      </c>
      <c r="I56" s="57"/>
      <c r="J56" s="61"/>
      <c r="K56" s="57"/>
      <c r="L56" s="61"/>
      <c r="M56" s="22" t="s">
        <v>24</v>
      </c>
      <c r="N56" s="25" t="s">
        <v>14</v>
      </c>
      <c r="O56" s="53">
        <v>45842</v>
      </c>
      <c r="P56" s="63"/>
    </row>
    <row r="57" spans="1:16" ht="15" customHeight="1" x14ac:dyDescent="0.3">
      <c r="A57" s="70">
        <v>3551</v>
      </c>
      <c r="B57" s="57">
        <v>45831</v>
      </c>
      <c r="C57" s="8"/>
      <c r="D57" s="61">
        <v>3</v>
      </c>
      <c r="E57" s="61">
        <v>92</v>
      </c>
      <c r="F57" s="61">
        <v>47</v>
      </c>
      <c r="G57" s="61">
        <v>25</v>
      </c>
      <c r="H57" s="61">
        <v>0</v>
      </c>
      <c r="I57" s="57"/>
      <c r="J57" s="61"/>
      <c r="K57" s="57"/>
      <c r="L57" s="61"/>
      <c r="M57" s="22" t="s">
        <v>24</v>
      </c>
      <c r="N57" s="25" t="s">
        <v>14</v>
      </c>
      <c r="O57" s="53">
        <v>45831</v>
      </c>
      <c r="P57" s="63">
        <v>3551</v>
      </c>
    </row>
    <row r="58" spans="1:16" ht="15" customHeight="1" x14ac:dyDescent="0.3">
      <c r="A58" s="65">
        <v>3552</v>
      </c>
      <c r="B58" s="57">
        <v>45856</v>
      </c>
      <c r="C58" s="8"/>
      <c r="D58" s="61">
        <v>1</v>
      </c>
      <c r="E58" s="61">
        <v>49</v>
      </c>
      <c r="F58" s="61">
        <v>49</v>
      </c>
      <c r="G58" s="61">
        <v>0</v>
      </c>
      <c r="H58" s="61">
        <v>0</v>
      </c>
      <c r="I58" s="57"/>
      <c r="J58" s="61"/>
      <c r="K58" s="57"/>
      <c r="L58" s="61"/>
      <c r="M58" s="22" t="s">
        <v>24</v>
      </c>
      <c r="N58" s="25" t="s">
        <v>14</v>
      </c>
      <c r="O58" s="53">
        <v>45856</v>
      </c>
      <c r="P58" s="63">
        <v>3552</v>
      </c>
    </row>
    <row r="59" spans="1:16" ht="15" customHeight="1" x14ac:dyDescent="0.3">
      <c r="A59" s="65">
        <v>3553</v>
      </c>
      <c r="B59" s="57">
        <v>45835</v>
      </c>
      <c r="C59" s="8"/>
      <c r="D59" s="61">
        <v>1</v>
      </c>
      <c r="E59" s="61">
        <v>104</v>
      </c>
      <c r="F59" s="61">
        <v>104</v>
      </c>
      <c r="G59" s="61">
        <v>0</v>
      </c>
      <c r="H59" s="61">
        <v>0</v>
      </c>
      <c r="I59" s="57"/>
      <c r="J59" s="61"/>
      <c r="K59" s="57"/>
      <c r="L59" s="61"/>
      <c r="M59" s="22" t="s">
        <v>24</v>
      </c>
      <c r="N59" s="25" t="s">
        <v>14</v>
      </c>
      <c r="O59" s="53">
        <v>45835</v>
      </c>
      <c r="P59" s="63">
        <v>3553</v>
      </c>
    </row>
    <row r="60" spans="1:16" ht="15" customHeight="1" x14ac:dyDescent="0.3">
      <c r="A60" s="67">
        <v>3554</v>
      </c>
      <c r="B60" s="57">
        <v>45810</v>
      </c>
      <c r="C60" s="8" t="s">
        <v>28</v>
      </c>
      <c r="D60" s="61">
        <v>3</v>
      </c>
      <c r="E60" s="61">
        <v>108</v>
      </c>
      <c r="F60" s="61">
        <v>108</v>
      </c>
      <c r="G60" s="61">
        <v>0</v>
      </c>
      <c r="H60" s="61">
        <v>0</v>
      </c>
      <c r="I60" s="57"/>
      <c r="J60" s="61"/>
      <c r="K60" s="57"/>
      <c r="L60" s="61"/>
      <c r="M60" s="22" t="s">
        <v>24</v>
      </c>
      <c r="N60" s="25" t="s">
        <v>14</v>
      </c>
      <c r="O60" s="53">
        <v>45810</v>
      </c>
      <c r="P60" s="63">
        <v>3554</v>
      </c>
    </row>
    <row r="61" spans="1:16" ht="15" customHeight="1" x14ac:dyDescent="0.3">
      <c r="A61" s="65">
        <v>3555</v>
      </c>
      <c r="B61" s="57">
        <v>45832</v>
      </c>
      <c r="C61" s="8"/>
      <c r="D61" s="61">
        <v>2</v>
      </c>
      <c r="E61" s="61">
        <v>16</v>
      </c>
      <c r="F61" s="61">
        <v>16</v>
      </c>
      <c r="G61" s="61">
        <v>0</v>
      </c>
      <c r="H61" s="61">
        <v>0</v>
      </c>
      <c r="I61" s="57"/>
      <c r="J61" s="61"/>
      <c r="K61" s="57"/>
      <c r="L61" s="61"/>
      <c r="M61" s="22" t="s">
        <v>24</v>
      </c>
      <c r="N61" s="25" t="s">
        <v>14</v>
      </c>
      <c r="O61" s="53">
        <v>45832</v>
      </c>
      <c r="P61" s="63">
        <v>3555</v>
      </c>
    </row>
    <row r="62" spans="1:16" ht="15" customHeight="1" x14ac:dyDescent="0.3">
      <c r="A62" s="65">
        <v>3556</v>
      </c>
      <c r="B62" s="57">
        <v>45848</v>
      </c>
      <c r="C62" s="8"/>
      <c r="D62" s="61">
        <v>1</v>
      </c>
      <c r="E62" s="61">
        <v>81</v>
      </c>
      <c r="F62" s="61">
        <v>81</v>
      </c>
      <c r="G62" s="61">
        <v>0</v>
      </c>
      <c r="H62" s="61">
        <v>0</v>
      </c>
      <c r="I62" s="57"/>
      <c r="J62" s="61"/>
      <c r="K62" s="57"/>
      <c r="L62" s="61"/>
      <c r="M62" s="22" t="s">
        <v>24</v>
      </c>
      <c r="N62" s="25" t="s">
        <v>14</v>
      </c>
      <c r="O62" s="53">
        <v>45848</v>
      </c>
      <c r="P62" s="63"/>
    </row>
    <row r="63" spans="1:16" ht="15" customHeight="1" x14ac:dyDescent="0.3">
      <c r="A63" s="65">
        <v>3557</v>
      </c>
      <c r="B63" s="57">
        <v>45819</v>
      </c>
      <c r="C63" s="8"/>
      <c r="D63" s="61">
        <v>3</v>
      </c>
      <c r="E63" s="61">
        <v>362</v>
      </c>
      <c r="F63" s="61">
        <v>362</v>
      </c>
      <c r="G63" s="61">
        <v>0</v>
      </c>
      <c r="H63" s="61">
        <v>0</v>
      </c>
      <c r="I63" s="57"/>
      <c r="J63" s="61"/>
      <c r="K63" s="57"/>
      <c r="L63" s="61"/>
      <c r="M63" s="22" t="s">
        <v>24</v>
      </c>
      <c r="N63" s="25" t="s">
        <v>14</v>
      </c>
      <c r="O63" s="53">
        <v>45819</v>
      </c>
      <c r="P63" s="63">
        <v>3557</v>
      </c>
    </row>
    <row r="64" spans="1:16" ht="15" customHeight="1" x14ac:dyDescent="0.3">
      <c r="A64" s="65">
        <v>3558</v>
      </c>
      <c r="B64" s="57">
        <v>45831</v>
      </c>
      <c r="C64" s="8"/>
      <c r="D64" s="61">
        <v>1</v>
      </c>
      <c r="E64" s="61">
        <v>114</v>
      </c>
      <c r="F64" s="61">
        <v>114</v>
      </c>
      <c r="G64" s="61">
        <v>0</v>
      </c>
      <c r="H64" s="61">
        <v>2</v>
      </c>
      <c r="I64" s="57">
        <v>45840</v>
      </c>
      <c r="J64" s="61">
        <v>68</v>
      </c>
      <c r="K64" s="57"/>
      <c r="L64" s="61"/>
      <c r="M64" s="22" t="s">
        <v>24</v>
      </c>
      <c r="N64" s="25" t="s">
        <v>14</v>
      </c>
      <c r="O64" s="53">
        <v>45831</v>
      </c>
      <c r="P64" s="63">
        <v>3558</v>
      </c>
    </row>
    <row r="65" spans="1:16" ht="15" customHeight="1" x14ac:dyDescent="0.3">
      <c r="A65" s="65">
        <v>3559</v>
      </c>
      <c r="B65" s="57">
        <v>45823</v>
      </c>
      <c r="C65" s="8"/>
      <c r="D65" s="61">
        <v>2</v>
      </c>
      <c r="E65" s="61">
        <v>67</v>
      </c>
      <c r="F65" s="61">
        <v>67</v>
      </c>
      <c r="G65" s="61">
        <v>0</v>
      </c>
      <c r="H65" s="61">
        <v>0</v>
      </c>
      <c r="I65" s="57"/>
      <c r="J65" s="61"/>
      <c r="K65" s="57"/>
      <c r="L65" s="61"/>
      <c r="M65" s="22" t="s">
        <v>24</v>
      </c>
      <c r="N65" s="25" t="s">
        <v>14</v>
      </c>
      <c r="O65" s="53">
        <v>45823</v>
      </c>
      <c r="P65" s="63">
        <v>3559</v>
      </c>
    </row>
    <row r="66" spans="1:16" ht="15" customHeight="1" x14ac:dyDescent="0.3">
      <c r="A66" s="65">
        <v>3560</v>
      </c>
      <c r="B66" s="57">
        <v>45838</v>
      </c>
      <c r="C66" s="8"/>
      <c r="D66" s="61">
        <v>3</v>
      </c>
      <c r="E66" s="61">
        <v>277</v>
      </c>
      <c r="F66" s="61">
        <v>277</v>
      </c>
      <c r="G66" s="61">
        <v>0</v>
      </c>
      <c r="H66" s="61">
        <v>0</v>
      </c>
      <c r="I66" s="57"/>
      <c r="J66" s="61"/>
      <c r="K66" s="57"/>
      <c r="L66" s="61"/>
      <c r="M66" s="22" t="s">
        <v>24</v>
      </c>
      <c r="N66" s="25" t="s">
        <v>14</v>
      </c>
      <c r="O66" s="53">
        <v>45838</v>
      </c>
      <c r="P66" s="63">
        <v>3560</v>
      </c>
    </row>
    <row r="67" spans="1:16" ht="15" customHeight="1" x14ac:dyDescent="0.3">
      <c r="A67" s="67">
        <v>3561</v>
      </c>
      <c r="B67" s="57">
        <v>45809</v>
      </c>
      <c r="C67" s="8" t="s">
        <v>28</v>
      </c>
      <c r="D67" s="61">
        <v>3</v>
      </c>
      <c r="E67" s="61">
        <v>57</v>
      </c>
      <c r="F67" s="61">
        <v>10</v>
      </c>
      <c r="G67" s="61">
        <v>47</v>
      </c>
      <c r="H67" s="61">
        <v>2</v>
      </c>
      <c r="I67" s="57">
        <v>45833</v>
      </c>
      <c r="J67" s="61">
        <v>47</v>
      </c>
      <c r="K67" s="57"/>
      <c r="L67" s="61"/>
      <c r="M67" s="22" t="s">
        <v>24</v>
      </c>
      <c r="N67" s="25" t="s">
        <v>14</v>
      </c>
      <c r="O67" s="53">
        <v>45833</v>
      </c>
      <c r="P67" s="63">
        <v>3561</v>
      </c>
    </row>
    <row r="68" spans="1:16" ht="18.75" x14ac:dyDescent="0.3">
      <c r="A68" s="67">
        <v>3562</v>
      </c>
      <c r="B68" s="57">
        <v>45826</v>
      </c>
      <c r="C68" s="8" t="s">
        <v>28</v>
      </c>
      <c r="D68" s="61">
        <v>2</v>
      </c>
      <c r="E68" s="61">
        <v>253</v>
      </c>
      <c r="F68" s="61">
        <v>253</v>
      </c>
      <c r="G68" s="61">
        <v>0</v>
      </c>
      <c r="H68" s="61">
        <v>0</v>
      </c>
      <c r="I68" s="57">
        <v>45851</v>
      </c>
      <c r="J68" s="61">
        <v>32</v>
      </c>
      <c r="K68" s="57"/>
      <c r="L68" s="61"/>
      <c r="M68" s="22" t="s">
        <v>24</v>
      </c>
      <c r="N68" s="25" t="s">
        <v>14</v>
      </c>
      <c r="O68" s="53">
        <v>45826</v>
      </c>
      <c r="P68" s="63">
        <v>3562</v>
      </c>
    </row>
    <row r="69" spans="1:16" ht="18.75" x14ac:dyDescent="0.3">
      <c r="A69" s="65">
        <v>3563</v>
      </c>
      <c r="B69" s="57">
        <v>45837</v>
      </c>
      <c r="C69" s="8"/>
      <c r="D69" s="61">
        <v>2</v>
      </c>
      <c r="E69" s="61">
        <v>75</v>
      </c>
      <c r="F69" s="61">
        <v>75</v>
      </c>
      <c r="G69" s="61">
        <v>0</v>
      </c>
      <c r="H69" s="61">
        <v>1</v>
      </c>
      <c r="I69" s="57">
        <v>45847</v>
      </c>
      <c r="J69" s="61">
        <v>5</v>
      </c>
      <c r="K69" s="57"/>
      <c r="L69" s="61"/>
      <c r="M69" s="22" t="s">
        <v>24</v>
      </c>
      <c r="N69" s="25" t="s">
        <v>14</v>
      </c>
      <c r="O69" s="53">
        <v>45837</v>
      </c>
      <c r="P69" s="63">
        <v>3563</v>
      </c>
    </row>
    <row r="70" spans="1:16" ht="18.75" x14ac:dyDescent="0.3">
      <c r="A70" s="65">
        <v>3564</v>
      </c>
      <c r="B70" s="57">
        <v>45827</v>
      </c>
      <c r="C70" s="8"/>
      <c r="D70" s="61">
        <v>2</v>
      </c>
      <c r="E70" s="61">
        <v>127</v>
      </c>
      <c r="F70" s="61">
        <v>127</v>
      </c>
      <c r="G70" s="61">
        <v>0</v>
      </c>
      <c r="H70" s="61">
        <v>1</v>
      </c>
      <c r="I70" s="57">
        <v>45844</v>
      </c>
      <c r="J70" s="61">
        <v>3</v>
      </c>
      <c r="K70" s="57"/>
      <c r="L70" s="61"/>
      <c r="M70" s="22" t="s">
        <v>24</v>
      </c>
      <c r="N70" s="25" t="s">
        <v>14</v>
      </c>
      <c r="O70" s="53">
        <v>45827</v>
      </c>
      <c r="P70" s="63">
        <v>3564</v>
      </c>
    </row>
    <row r="71" spans="1:16" ht="18.75" x14ac:dyDescent="0.3">
      <c r="A71" s="65">
        <v>3565</v>
      </c>
      <c r="B71" s="57">
        <v>45833</v>
      </c>
      <c r="C71" s="8"/>
      <c r="D71" s="61">
        <v>3</v>
      </c>
      <c r="E71" s="61">
        <v>63</v>
      </c>
      <c r="F71" s="61">
        <v>23</v>
      </c>
      <c r="G71" s="61">
        <v>40</v>
      </c>
      <c r="H71" s="61">
        <v>1</v>
      </c>
      <c r="I71" s="57">
        <v>45837</v>
      </c>
      <c r="J71" s="61">
        <v>59</v>
      </c>
      <c r="K71" s="57"/>
      <c r="L71" s="61"/>
      <c r="M71" s="22" t="s">
        <v>24</v>
      </c>
      <c r="N71" s="25" t="s">
        <v>14</v>
      </c>
      <c r="O71" s="53">
        <v>45837</v>
      </c>
      <c r="P71" s="63">
        <v>3565</v>
      </c>
    </row>
    <row r="72" spans="1:16" ht="18.75" x14ac:dyDescent="0.3">
      <c r="A72" s="65">
        <v>3566</v>
      </c>
      <c r="B72" s="57">
        <v>45824</v>
      </c>
      <c r="C72" s="8"/>
      <c r="D72" s="61">
        <v>3</v>
      </c>
      <c r="E72" s="61">
        <v>94</v>
      </c>
      <c r="F72" s="61">
        <v>94</v>
      </c>
      <c r="G72" s="61">
        <v>0</v>
      </c>
      <c r="H72" s="61">
        <v>0</v>
      </c>
      <c r="I72" s="57"/>
      <c r="J72" s="61"/>
      <c r="K72" s="57"/>
      <c r="L72" s="61"/>
      <c r="M72" s="22" t="s">
        <v>24</v>
      </c>
      <c r="N72" s="25" t="s">
        <v>14</v>
      </c>
      <c r="O72" s="53">
        <v>45824</v>
      </c>
      <c r="P72" s="63">
        <v>3565</v>
      </c>
    </row>
    <row r="73" spans="1:16" ht="18.75" x14ac:dyDescent="0.3">
      <c r="A73" s="69">
        <v>3567</v>
      </c>
      <c r="B73" s="57">
        <v>45818</v>
      </c>
      <c r="C73" s="8"/>
      <c r="D73" s="61">
        <v>1</v>
      </c>
      <c r="E73" s="61">
        <v>32</v>
      </c>
      <c r="F73" s="61">
        <v>32</v>
      </c>
      <c r="G73" s="61">
        <v>0</v>
      </c>
      <c r="H73" s="61">
        <v>0</v>
      </c>
      <c r="I73" s="57"/>
      <c r="J73" s="61"/>
      <c r="K73" s="57"/>
      <c r="L73" s="61"/>
      <c r="M73" s="22" t="s">
        <v>24</v>
      </c>
      <c r="N73" s="25" t="s">
        <v>14</v>
      </c>
      <c r="O73" s="53">
        <v>45818</v>
      </c>
      <c r="P73" s="63">
        <v>3567</v>
      </c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algorithmName="SHA-512" hashValue="bito4p2qK6qO6SNBezrKn6/IYkHiWu9T2OcmrCcvQGfsdWurG4/oFyP49h8nR3JuN7oe2BQBZu8GIVm9D67Blg==" saltValue="aC/RVgOrzvTBOPCYgP3dzA==" spinCount="100000" sheet="1" objects="1" scenarios="1" sort="0" autoFilter="0"/>
  <mergeCells count="1">
    <mergeCell ref="R2:U2"/>
  </mergeCells>
  <dataValidations count="5">
    <dataValidation type="whole" allowBlank="1" showInputMessage="1" showErrorMessage="1" sqref="A2:A73" xr:uid="{92CB231E-6708-4455-8CC5-512F16BB4F34}">
      <formula1>1</formula1>
      <formula2>9999</formula2>
    </dataValidation>
    <dataValidation type="date" operator="greaterThanOrEqual" allowBlank="1" showInputMessage="1" showErrorMessage="1" sqref="B2:B73 I1:I73 K2:K73 O2:O73" xr:uid="{C2F77CDC-4EE3-4C21-AEF9-6E9145E503BA}">
      <formula1>45658</formula1>
    </dataValidation>
    <dataValidation type="whole" allowBlank="1" showInputMessage="1" showErrorMessage="1" sqref="D2:D73 E2:E73 F2:F73 G2:G73" xr:uid="{E23825AB-67B2-42A4-8E97-537FE6706DF2}">
      <formula1>0</formula1>
      <formula2>999</formula2>
    </dataValidation>
    <dataValidation type="whole" operator="greaterThanOrEqual" allowBlank="1" showInputMessage="1" showErrorMessage="1" sqref="H2:H73 J1:J73 L1:L73" xr:uid="{CE6C1D0D-B266-4A8E-BABE-8B33124D4B25}">
      <formula1>0</formula1>
    </dataValidation>
    <dataValidation type="whole" operator="greaterThanOrEqual" allowBlank="1" showInputMessage="1" showErrorMessage="1" sqref="P2:P73" xr:uid="{75D4C922-3381-42B5-913F-83ED39E6C40A}">
      <formula1>1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DFEAA17-FBDD-4BD2-95D4-1F385B0934BE}">
          <x14:formula1>
            <xm:f>Inspected!$A$1:$A$2</xm:f>
          </x14:formula1>
          <xm:sqref>M1:M73</xm:sqref>
        </x14:dataValidation>
        <x14:dataValidation type="list" allowBlank="1" showInputMessage="1" showErrorMessage="1" xr:uid="{5A20F497-0B41-4B8D-BF99-F664482A9866}">
          <x14:formula1>
            <xm:f>Inspected!$D$1</xm:f>
          </x14:formula1>
          <xm:sqref>C2:C73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D3A61-736F-45E1-B409-6E04A34EC217}">
  <dimension ref="A1:U207"/>
  <sheetViews>
    <sheetView workbookViewId="0">
      <selection activeCell="D11" sqref="D11"/>
    </sheetView>
  </sheetViews>
  <sheetFormatPr defaultColWidth="19.5703125" defaultRowHeight="15" x14ac:dyDescent="0.25"/>
  <cols>
    <col min="1" max="1" width="11.5703125" style="1" customWidth="1"/>
    <col min="2" max="2" width="12.85546875" style="1" customWidth="1"/>
    <col min="3" max="3" width="14.85546875" style="1" customWidth="1"/>
    <col min="4" max="4" width="22.42578125" style="1" customWidth="1"/>
    <col min="5" max="5" width="11.140625" style="1" customWidth="1"/>
    <col min="6" max="6" width="10.42578125" style="1" customWidth="1"/>
    <col min="7" max="7" width="14" style="1" customWidth="1"/>
    <col min="8" max="8" width="16.85546875" style="1" customWidth="1"/>
    <col min="9" max="9" width="16.42578125" style="1" customWidth="1"/>
    <col min="10" max="10" width="12.85546875" style="1" customWidth="1"/>
    <col min="11" max="11" width="14.5703125" style="1" customWidth="1"/>
    <col min="12" max="12" width="13.140625" style="1" customWidth="1"/>
    <col min="13" max="13" width="15.140625" style="29" customWidth="1"/>
    <col min="14" max="14" width="15.85546875" style="1" customWidth="1"/>
    <col min="15" max="15" width="28.85546875" style="1" customWidth="1"/>
    <col min="16" max="16" width="22.42578125" style="1" customWidth="1"/>
    <col min="17" max="16384" width="19.5703125" style="1"/>
  </cols>
  <sheetData>
    <row r="1" spans="1:21" ht="50.25" customHeight="1" thickBot="1" x14ac:dyDescent="0.3">
      <c r="A1" s="33" t="s">
        <v>0</v>
      </c>
      <c r="B1" s="42" t="s">
        <v>1</v>
      </c>
      <c r="C1" s="42" t="s">
        <v>26</v>
      </c>
      <c r="D1" s="35" t="s">
        <v>2</v>
      </c>
      <c r="E1" s="35" t="s">
        <v>3</v>
      </c>
      <c r="F1" s="35" t="s">
        <v>4</v>
      </c>
      <c r="G1" s="35" t="s">
        <v>5</v>
      </c>
      <c r="H1" s="35" t="s">
        <v>6</v>
      </c>
      <c r="I1" s="59" t="s">
        <v>7</v>
      </c>
      <c r="J1" s="36" t="s">
        <v>8</v>
      </c>
      <c r="K1" s="37" t="s">
        <v>9</v>
      </c>
      <c r="L1" s="37" t="s">
        <v>27</v>
      </c>
      <c r="M1" s="38" t="s">
        <v>10</v>
      </c>
      <c r="N1" s="39" t="s">
        <v>11</v>
      </c>
      <c r="O1" s="40" t="s">
        <v>12</v>
      </c>
      <c r="P1" s="41" t="s">
        <v>13</v>
      </c>
    </row>
    <row r="2" spans="1:21" ht="15" customHeight="1" x14ac:dyDescent="0.3">
      <c r="A2" s="65">
        <v>3231</v>
      </c>
      <c r="B2" s="53">
        <v>45854</v>
      </c>
      <c r="C2" s="8"/>
      <c r="D2" s="61">
        <v>4</v>
      </c>
      <c r="E2" s="61">
        <v>99</v>
      </c>
      <c r="F2" s="61">
        <v>55</v>
      </c>
      <c r="G2" s="61">
        <v>44</v>
      </c>
      <c r="H2" s="61">
        <v>3</v>
      </c>
      <c r="I2" s="57">
        <v>45883</v>
      </c>
      <c r="J2" s="61">
        <v>105</v>
      </c>
      <c r="K2" s="57"/>
      <c r="L2" s="61"/>
      <c r="M2" s="22" t="s">
        <v>24</v>
      </c>
      <c r="N2" s="25" t="s">
        <v>14</v>
      </c>
      <c r="O2" s="53">
        <v>45883</v>
      </c>
      <c r="P2" s="63">
        <v>3231</v>
      </c>
      <c r="R2" s="81" t="s">
        <v>15</v>
      </c>
      <c r="S2" s="82"/>
      <c r="T2" s="82"/>
      <c r="U2" s="83"/>
    </row>
    <row r="3" spans="1:21" ht="15" customHeight="1" x14ac:dyDescent="0.3">
      <c r="A3" s="65">
        <v>3232</v>
      </c>
      <c r="B3" s="53">
        <v>45858</v>
      </c>
      <c r="C3" s="8"/>
      <c r="D3" s="61">
        <v>4</v>
      </c>
      <c r="E3" s="61">
        <v>52</v>
      </c>
      <c r="F3" s="61">
        <v>48</v>
      </c>
      <c r="G3" s="61">
        <v>4</v>
      </c>
      <c r="H3" s="61">
        <v>1</v>
      </c>
      <c r="I3" s="57">
        <v>45859</v>
      </c>
      <c r="J3" s="61">
        <v>4</v>
      </c>
      <c r="K3" s="57"/>
      <c r="L3" s="61"/>
      <c r="M3" s="22" t="s">
        <v>24</v>
      </c>
      <c r="N3" s="25" t="s">
        <v>14</v>
      </c>
      <c r="O3" s="53">
        <v>45859</v>
      </c>
      <c r="P3" s="63">
        <v>3232</v>
      </c>
      <c r="R3" s="10" t="s">
        <v>16</v>
      </c>
      <c r="S3" s="11" t="s">
        <v>17</v>
      </c>
      <c r="T3" s="12" t="s">
        <v>18</v>
      </c>
      <c r="U3" s="13" t="s">
        <v>19</v>
      </c>
    </row>
    <row r="4" spans="1:21" ht="15" customHeight="1" thickBot="1" x14ac:dyDescent="0.35">
      <c r="A4" s="65">
        <v>3233</v>
      </c>
      <c r="B4" s="53">
        <v>45887</v>
      </c>
      <c r="C4" s="8"/>
      <c r="D4" s="61">
        <v>2</v>
      </c>
      <c r="E4" s="61">
        <v>7</v>
      </c>
      <c r="F4" s="61">
        <v>7</v>
      </c>
      <c r="G4" s="61">
        <v>0</v>
      </c>
      <c r="H4" s="61">
        <v>0</v>
      </c>
      <c r="I4" s="57"/>
      <c r="J4" s="61"/>
      <c r="K4" s="57"/>
      <c r="L4" s="61"/>
      <c r="M4" s="22" t="s">
        <v>24</v>
      </c>
      <c r="N4" s="25" t="s">
        <v>30</v>
      </c>
      <c r="O4" s="53">
        <v>45887</v>
      </c>
      <c r="P4" s="63">
        <v>3233</v>
      </c>
      <c r="R4" s="14">
        <v>36</v>
      </c>
      <c r="S4" s="15">
        <f>COUNTA(A:A)-1</f>
        <v>72</v>
      </c>
      <c r="T4" s="15">
        <f>COUNTA(O:O)-1</f>
        <v>56</v>
      </c>
      <c r="U4" s="16">
        <f>T4/S4</f>
        <v>0.77777777777777779</v>
      </c>
    </row>
    <row r="5" spans="1:21" ht="15" customHeight="1" x14ac:dyDescent="0.3">
      <c r="A5" s="65">
        <v>3234</v>
      </c>
      <c r="B5" s="53">
        <v>45858</v>
      </c>
      <c r="C5" s="8"/>
      <c r="D5" s="61">
        <v>1</v>
      </c>
      <c r="E5" s="61">
        <v>4</v>
      </c>
      <c r="F5" s="61">
        <v>4</v>
      </c>
      <c r="G5" s="61">
        <v>0</v>
      </c>
      <c r="H5" s="61">
        <v>0</v>
      </c>
      <c r="I5" s="57"/>
      <c r="J5" s="61"/>
      <c r="K5" s="57"/>
      <c r="L5" s="61"/>
      <c r="M5" s="22" t="s">
        <v>24</v>
      </c>
      <c r="N5" s="25" t="s">
        <v>14</v>
      </c>
      <c r="O5" s="53" t="s">
        <v>25</v>
      </c>
      <c r="P5" s="63">
        <v>3234</v>
      </c>
    </row>
    <row r="6" spans="1:21" ht="15" customHeight="1" x14ac:dyDescent="0.3">
      <c r="A6" s="65">
        <v>3235</v>
      </c>
      <c r="B6" s="53">
        <v>45900</v>
      </c>
      <c r="C6" s="8"/>
      <c r="D6" s="61">
        <v>1</v>
      </c>
      <c r="E6" s="61">
        <v>4</v>
      </c>
      <c r="F6" s="61">
        <v>4</v>
      </c>
      <c r="G6" s="61">
        <v>0</v>
      </c>
      <c r="H6" s="61">
        <v>0</v>
      </c>
      <c r="I6" s="57"/>
      <c r="J6" s="61"/>
      <c r="K6" s="57"/>
      <c r="L6" s="61"/>
      <c r="M6" s="22" t="s">
        <v>24</v>
      </c>
      <c r="N6" s="25" t="s">
        <v>30</v>
      </c>
      <c r="O6" s="53">
        <v>45900</v>
      </c>
      <c r="P6" s="63">
        <v>3235</v>
      </c>
    </row>
    <row r="7" spans="1:21" ht="15" customHeight="1" x14ac:dyDescent="0.3">
      <c r="A7" s="65">
        <v>3236</v>
      </c>
      <c r="B7" s="53">
        <v>45867</v>
      </c>
      <c r="C7" s="8"/>
      <c r="D7" s="61">
        <v>2</v>
      </c>
      <c r="E7" s="61">
        <v>10</v>
      </c>
      <c r="F7" s="61">
        <v>10</v>
      </c>
      <c r="G7" s="61">
        <v>0</v>
      </c>
      <c r="H7" s="61">
        <v>0</v>
      </c>
      <c r="I7" s="57"/>
      <c r="J7" s="61"/>
      <c r="K7" s="57"/>
      <c r="L7" s="61"/>
      <c r="M7" s="22" t="s">
        <v>24</v>
      </c>
      <c r="N7" s="25" t="s">
        <v>14</v>
      </c>
      <c r="O7" s="53">
        <v>45867</v>
      </c>
      <c r="P7" s="63"/>
    </row>
    <row r="8" spans="1:21" ht="15" customHeight="1" x14ac:dyDescent="0.3">
      <c r="A8" s="65">
        <v>3237</v>
      </c>
      <c r="B8" s="53">
        <v>45844</v>
      </c>
      <c r="C8" s="8"/>
      <c r="D8" s="61">
        <v>4</v>
      </c>
      <c r="E8" s="61">
        <v>98</v>
      </c>
      <c r="F8" s="61">
        <v>98</v>
      </c>
      <c r="G8" s="61">
        <v>0</v>
      </c>
      <c r="H8" s="61">
        <v>0</v>
      </c>
      <c r="I8" s="57"/>
      <c r="J8" s="61"/>
      <c r="K8" s="57"/>
      <c r="L8" s="61"/>
      <c r="M8" s="22" t="s">
        <v>24</v>
      </c>
      <c r="N8" s="25" t="s">
        <v>14</v>
      </c>
      <c r="O8" s="53">
        <v>45844</v>
      </c>
      <c r="P8" s="63">
        <v>3237</v>
      </c>
    </row>
    <row r="9" spans="1:21" ht="15" customHeight="1" x14ac:dyDescent="0.3">
      <c r="A9" s="65">
        <v>3238</v>
      </c>
      <c r="B9" s="53">
        <v>45834</v>
      </c>
      <c r="C9" s="8"/>
      <c r="D9" s="61">
        <v>2</v>
      </c>
      <c r="E9" s="61">
        <v>14</v>
      </c>
      <c r="F9" s="61">
        <v>14</v>
      </c>
      <c r="G9" s="61">
        <v>0</v>
      </c>
      <c r="H9" s="61">
        <v>1</v>
      </c>
      <c r="I9" s="57">
        <v>45843</v>
      </c>
      <c r="J9" s="61">
        <v>14</v>
      </c>
      <c r="K9" s="57"/>
      <c r="L9" s="61"/>
      <c r="M9" s="22" t="s">
        <v>24</v>
      </c>
      <c r="N9" s="25" t="s">
        <v>14</v>
      </c>
      <c r="O9" s="53">
        <v>45843</v>
      </c>
      <c r="P9" s="63">
        <v>3238</v>
      </c>
    </row>
    <row r="10" spans="1:21" ht="15" customHeight="1" x14ac:dyDescent="0.3">
      <c r="A10" s="65">
        <v>3239</v>
      </c>
      <c r="B10" s="53">
        <v>45933</v>
      </c>
      <c r="C10" s="8"/>
      <c r="D10" s="61">
        <v>3</v>
      </c>
      <c r="E10" s="61">
        <v>17</v>
      </c>
      <c r="F10" s="61">
        <v>17</v>
      </c>
      <c r="G10" s="61">
        <v>0</v>
      </c>
      <c r="H10" s="61">
        <v>0</v>
      </c>
      <c r="I10" s="57"/>
      <c r="J10" s="61"/>
      <c r="K10" s="57"/>
      <c r="L10" s="61"/>
      <c r="M10" s="22" t="s">
        <v>24</v>
      </c>
      <c r="N10" s="25" t="s">
        <v>14</v>
      </c>
      <c r="O10" s="53">
        <v>45933</v>
      </c>
      <c r="P10" s="63">
        <v>3239</v>
      </c>
    </row>
    <row r="11" spans="1:21" ht="15" customHeight="1" x14ac:dyDescent="0.3">
      <c r="A11" s="65">
        <v>3240</v>
      </c>
      <c r="B11" s="53">
        <v>45851</v>
      </c>
      <c r="C11" s="8"/>
      <c r="D11" s="61">
        <v>1</v>
      </c>
      <c r="E11" s="61">
        <v>27</v>
      </c>
      <c r="F11" s="61">
        <v>27</v>
      </c>
      <c r="G11" s="61">
        <v>0</v>
      </c>
      <c r="H11" s="61">
        <v>0</v>
      </c>
      <c r="I11" s="57"/>
      <c r="J11" s="61"/>
      <c r="K11" s="57"/>
      <c r="L11" s="61"/>
      <c r="M11" s="22" t="s">
        <v>24</v>
      </c>
      <c r="N11" s="25" t="s">
        <v>14</v>
      </c>
      <c r="O11" s="53">
        <v>45851</v>
      </c>
      <c r="P11" s="63"/>
    </row>
    <row r="12" spans="1:21" ht="15" customHeight="1" x14ac:dyDescent="0.3">
      <c r="A12" s="65">
        <v>3241</v>
      </c>
      <c r="B12" s="53">
        <v>45831</v>
      </c>
      <c r="C12" s="8"/>
      <c r="D12" s="61">
        <v>3</v>
      </c>
      <c r="E12" s="61">
        <v>12</v>
      </c>
      <c r="F12" s="61">
        <v>12</v>
      </c>
      <c r="G12" s="61">
        <v>0</v>
      </c>
      <c r="H12" s="61">
        <v>0</v>
      </c>
      <c r="I12" s="57"/>
      <c r="J12" s="61"/>
      <c r="K12" s="57"/>
      <c r="L12" s="61"/>
      <c r="M12" s="22" t="s">
        <v>24</v>
      </c>
      <c r="N12" s="25" t="s">
        <v>14</v>
      </c>
      <c r="O12" s="53">
        <v>45831</v>
      </c>
      <c r="P12" s="63">
        <v>3241</v>
      </c>
    </row>
    <row r="13" spans="1:21" ht="15" customHeight="1" x14ac:dyDescent="0.3">
      <c r="A13" s="65">
        <v>3242</v>
      </c>
      <c r="B13" s="53">
        <v>45833</v>
      </c>
      <c r="C13" s="8"/>
      <c r="D13" s="61">
        <v>4</v>
      </c>
      <c r="E13" s="61">
        <v>58</v>
      </c>
      <c r="F13" s="61">
        <v>58</v>
      </c>
      <c r="G13" s="61">
        <v>0</v>
      </c>
      <c r="H13" s="61">
        <v>0</v>
      </c>
      <c r="I13" s="57"/>
      <c r="J13" s="61"/>
      <c r="K13" s="57"/>
      <c r="L13" s="61"/>
      <c r="M13" s="22" t="s">
        <v>24</v>
      </c>
      <c r="N13" s="25" t="s">
        <v>14</v>
      </c>
      <c r="O13" s="53">
        <v>45833</v>
      </c>
      <c r="P13" s="63">
        <v>3242</v>
      </c>
    </row>
    <row r="14" spans="1:21" ht="15" customHeight="1" x14ac:dyDescent="0.3">
      <c r="A14" s="65">
        <v>3243</v>
      </c>
      <c r="B14" s="53">
        <v>45846</v>
      </c>
      <c r="C14" s="8"/>
      <c r="D14" s="61">
        <v>3</v>
      </c>
      <c r="E14" s="61">
        <v>16</v>
      </c>
      <c r="F14" s="61">
        <v>16</v>
      </c>
      <c r="G14" s="61">
        <v>0</v>
      </c>
      <c r="H14" s="61">
        <v>0</v>
      </c>
      <c r="I14" s="57"/>
      <c r="J14" s="61"/>
      <c r="K14" s="57"/>
      <c r="L14" s="61"/>
      <c r="M14" s="22" t="s">
        <v>24</v>
      </c>
      <c r="N14" s="25" t="s">
        <v>14</v>
      </c>
      <c r="O14" s="53">
        <v>45846</v>
      </c>
      <c r="P14" s="63">
        <v>3243</v>
      </c>
    </row>
    <row r="15" spans="1:21" ht="15" customHeight="1" x14ac:dyDescent="0.3">
      <c r="A15" s="65">
        <v>3244</v>
      </c>
      <c r="B15" s="53">
        <v>45838</v>
      </c>
      <c r="C15" s="8"/>
      <c r="D15" s="61">
        <v>1</v>
      </c>
      <c r="E15" s="61">
        <v>27</v>
      </c>
      <c r="F15" s="61">
        <v>27</v>
      </c>
      <c r="G15" s="61">
        <v>0</v>
      </c>
      <c r="H15" s="61">
        <v>3</v>
      </c>
      <c r="I15" s="57">
        <v>45851</v>
      </c>
      <c r="J15" s="61">
        <v>192</v>
      </c>
      <c r="K15" s="57"/>
      <c r="L15" s="61"/>
      <c r="M15" s="22" t="s">
        <v>24</v>
      </c>
      <c r="N15" s="25" t="s">
        <v>14</v>
      </c>
      <c r="O15" s="53">
        <v>45851</v>
      </c>
      <c r="P15" s="63">
        <v>3244</v>
      </c>
    </row>
    <row r="16" spans="1:21" ht="15" customHeight="1" x14ac:dyDescent="0.3">
      <c r="A16" s="67">
        <v>3245</v>
      </c>
      <c r="B16" s="53"/>
      <c r="C16" s="8"/>
      <c r="D16" s="61"/>
      <c r="E16" s="61"/>
      <c r="F16" s="61"/>
      <c r="G16" s="61"/>
      <c r="H16" s="61"/>
      <c r="I16" s="57"/>
      <c r="J16" s="61"/>
      <c r="K16" s="57"/>
      <c r="L16" s="61"/>
      <c r="M16" s="22"/>
      <c r="N16" s="25"/>
      <c r="O16" s="53"/>
      <c r="P16" s="63"/>
    </row>
    <row r="17" spans="1:16" ht="15" customHeight="1" x14ac:dyDescent="0.3">
      <c r="A17" s="65">
        <v>3246</v>
      </c>
      <c r="B17" s="53">
        <v>45876</v>
      </c>
      <c r="C17" s="8"/>
      <c r="D17" s="61">
        <v>1</v>
      </c>
      <c r="E17" s="61">
        <v>75</v>
      </c>
      <c r="F17" s="61">
        <v>75</v>
      </c>
      <c r="G17" s="61">
        <v>0</v>
      </c>
      <c r="H17" s="61">
        <v>0</v>
      </c>
      <c r="I17" s="57"/>
      <c r="J17" s="61"/>
      <c r="K17" s="57"/>
      <c r="L17" s="61"/>
      <c r="M17" s="22" t="s">
        <v>24</v>
      </c>
      <c r="N17" s="25" t="s">
        <v>14</v>
      </c>
      <c r="O17" s="53">
        <v>45876</v>
      </c>
      <c r="P17" s="63">
        <v>3246</v>
      </c>
    </row>
    <row r="18" spans="1:16" ht="15" customHeight="1" x14ac:dyDescent="0.3">
      <c r="A18" s="67">
        <v>3247</v>
      </c>
      <c r="B18" s="53"/>
      <c r="C18" s="8"/>
      <c r="D18" s="61"/>
      <c r="E18" s="61"/>
      <c r="F18" s="61"/>
      <c r="G18" s="61"/>
      <c r="H18" s="61"/>
      <c r="I18" s="57"/>
      <c r="J18" s="61"/>
      <c r="K18" s="57"/>
      <c r="L18" s="61"/>
      <c r="M18" s="22"/>
      <c r="N18" s="25"/>
      <c r="O18" s="53"/>
      <c r="P18" s="63"/>
    </row>
    <row r="19" spans="1:16" ht="15" customHeight="1" x14ac:dyDescent="0.3">
      <c r="A19" s="65">
        <v>3248</v>
      </c>
      <c r="B19" s="53">
        <v>45868</v>
      </c>
      <c r="C19" s="8"/>
      <c r="D19" s="61">
        <v>2</v>
      </c>
      <c r="E19" s="61">
        <v>7</v>
      </c>
      <c r="F19" s="61">
        <v>7</v>
      </c>
      <c r="G19" s="61">
        <v>0</v>
      </c>
      <c r="H19" s="61">
        <v>0</v>
      </c>
      <c r="I19" s="57"/>
      <c r="J19" s="61"/>
      <c r="K19" s="57"/>
      <c r="L19" s="61"/>
      <c r="M19" s="22" t="s">
        <v>24</v>
      </c>
      <c r="N19" s="25" t="s">
        <v>14</v>
      </c>
      <c r="O19" s="53">
        <v>45868</v>
      </c>
      <c r="P19" s="63">
        <v>3248</v>
      </c>
    </row>
    <row r="20" spans="1:16" ht="15" customHeight="1" x14ac:dyDescent="0.3">
      <c r="A20" s="65">
        <v>3250</v>
      </c>
      <c r="B20" s="53">
        <v>45897</v>
      </c>
      <c r="C20" s="8"/>
      <c r="D20" s="61">
        <v>1</v>
      </c>
      <c r="E20" s="61">
        <v>5</v>
      </c>
      <c r="F20" s="61">
        <v>5</v>
      </c>
      <c r="G20" s="61">
        <v>0</v>
      </c>
      <c r="H20" s="61">
        <v>0</v>
      </c>
      <c r="I20" s="57"/>
      <c r="J20" s="61"/>
      <c r="K20" s="57"/>
      <c r="L20" s="61"/>
      <c r="M20" s="22" t="s">
        <v>24</v>
      </c>
      <c r="N20" s="25" t="s">
        <v>30</v>
      </c>
      <c r="O20" s="53">
        <v>45897</v>
      </c>
      <c r="P20" s="63">
        <v>3250</v>
      </c>
    </row>
    <row r="21" spans="1:16" ht="15" customHeight="1" x14ac:dyDescent="0.3">
      <c r="A21" s="65">
        <v>3251</v>
      </c>
      <c r="B21" s="53"/>
      <c r="C21" s="8"/>
      <c r="D21" s="61"/>
      <c r="E21" s="61"/>
      <c r="F21" s="61"/>
      <c r="G21" s="61"/>
      <c r="H21" s="61"/>
      <c r="I21" s="57"/>
      <c r="J21" s="61"/>
      <c r="K21" s="57"/>
      <c r="L21" s="61"/>
      <c r="M21" s="22"/>
      <c r="N21" s="25"/>
      <c r="O21" s="53"/>
      <c r="P21" s="63"/>
    </row>
    <row r="22" spans="1:16" ht="15" customHeight="1" x14ac:dyDescent="0.3">
      <c r="A22" s="68">
        <v>3252</v>
      </c>
      <c r="B22" s="53"/>
      <c r="C22" s="8"/>
      <c r="D22" s="61"/>
      <c r="E22" s="61"/>
      <c r="F22" s="61"/>
      <c r="G22" s="61"/>
      <c r="H22" s="61"/>
      <c r="I22" s="57"/>
      <c r="J22" s="61"/>
      <c r="K22" s="57"/>
      <c r="L22" s="61"/>
      <c r="M22" s="22"/>
      <c r="N22" s="25"/>
      <c r="O22" s="53"/>
      <c r="P22" s="63"/>
    </row>
    <row r="23" spans="1:16" ht="15" customHeight="1" x14ac:dyDescent="0.3">
      <c r="A23" s="66">
        <v>3253</v>
      </c>
      <c r="B23" s="53"/>
      <c r="C23" s="8"/>
      <c r="D23" s="61"/>
      <c r="E23" s="61"/>
      <c r="F23" s="61"/>
      <c r="G23" s="61"/>
      <c r="H23" s="61"/>
      <c r="I23" s="57"/>
      <c r="J23" s="61"/>
      <c r="K23" s="57"/>
      <c r="L23" s="61"/>
      <c r="M23" s="22"/>
      <c r="N23" s="25"/>
      <c r="O23" s="53"/>
      <c r="P23" s="63"/>
    </row>
    <row r="24" spans="1:16" ht="15" customHeight="1" x14ac:dyDescent="0.3">
      <c r="A24" s="65">
        <v>3254</v>
      </c>
      <c r="B24" s="53">
        <v>45902</v>
      </c>
      <c r="C24" s="8"/>
      <c r="D24" s="61">
        <v>2</v>
      </c>
      <c r="E24" s="61">
        <v>18</v>
      </c>
      <c r="F24" s="61">
        <v>18</v>
      </c>
      <c r="G24" s="61">
        <v>0</v>
      </c>
      <c r="H24" s="61">
        <v>0</v>
      </c>
      <c r="I24" s="57"/>
      <c r="J24" s="61"/>
      <c r="K24" s="57"/>
      <c r="L24" s="61"/>
      <c r="M24" s="22" t="s">
        <v>24</v>
      </c>
      <c r="N24" s="25" t="s">
        <v>30</v>
      </c>
      <c r="O24" s="53">
        <v>45902</v>
      </c>
      <c r="P24" s="63">
        <v>3254</v>
      </c>
    </row>
    <row r="25" spans="1:16" ht="15" customHeight="1" x14ac:dyDescent="0.3">
      <c r="A25" s="65">
        <v>3255</v>
      </c>
      <c r="B25" s="53">
        <v>45894</v>
      </c>
      <c r="C25" s="8"/>
      <c r="D25" s="61">
        <v>2</v>
      </c>
      <c r="E25" s="61">
        <v>37</v>
      </c>
      <c r="F25" s="61">
        <v>37</v>
      </c>
      <c r="G25" s="61">
        <v>0</v>
      </c>
      <c r="H25" s="61">
        <v>0</v>
      </c>
      <c r="I25" s="57"/>
      <c r="J25" s="61"/>
      <c r="K25" s="57"/>
      <c r="L25" s="61"/>
      <c r="M25" s="22" t="s">
        <v>24</v>
      </c>
      <c r="N25" s="25" t="s">
        <v>32</v>
      </c>
      <c r="O25" s="53">
        <v>45894</v>
      </c>
      <c r="P25" s="63">
        <v>3255</v>
      </c>
    </row>
    <row r="26" spans="1:16" ht="15" customHeight="1" x14ac:dyDescent="0.3">
      <c r="A26" s="65">
        <v>3256</v>
      </c>
      <c r="B26" s="53"/>
      <c r="C26" s="8"/>
      <c r="D26" s="61"/>
      <c r="E26" s="61"/>
      <c r="F26" s="61"/>
      <c r="G26" s="61"/>
      <c r="H26" s="61"/>
      <c r="I26" s="57"/>
      <c r="J26" s="61"/>
      <c r="K26" s="57"/>
      <c r="L26" s="61"/>
      <c r="M26" s="22"/>
      <c r="N26" s="25"/>
      <c r="O26" s="53"/>
      <c r="P26" s="63"/>
    </row>
    <row r="27" spans="1:16" ht="15" customHeight="1" x14ac:dyDescent="0.3">
      <c r="A27" s="65">
        <v>3258</v>
      </c>
      <c r="B27" s="53">
        <v>45844</v>
      </c>
      <c r="C27" s="8"/>
      <c r="D27" s="61">
        <v>1</v>
      </c>
      <c r="E27" s="61">
        <v>5</v>
      </c>
      <c r="F27" s="61">
        <v>5</v>
      </c>
      <c r="G27" s="61">
        <v>0</v>
      </c>
      <c r="H27" s="61">
        <v>0</v>
      </c>
      <c r="I27" s="57"/>
      <c r="J27" s="61"/>
      <c r="K27" s="57"/>
      <c r="L27" s="61"/>
      <c r="M27" s="22" t="s">
        <v>24</v>
      </c>
      <c r="N27" s="25" t="s">
        <v>14</v>
      </c>
      <c r="O27" s="53">
        <v>45844</v>
      </c>
      <c r="P27" s="63">
        <v>3258</v>
      </c>
    </row>
    <row r="28" spans="1:16" ht="15" customHeight="1" x14ac:dyDescent="0.3">
      <c r="A28" s="65">
        <v>3259</v>
      </c>
      <c r="B28" s="53">
        <v>45862</v>
      </c>
      <c r="C28" s="8"/>
      <c r="D28" s="61">
        <v>2</v>
      </c>
      <c r="E28" s="61">
        <v>98</v>
      </c>
      <c r="F28" s="61">
        <v>98</v>
      </c>
      <c r="G28" s="61">
        <v>0</v>
      </c>
      <c r="H28" s="61">
        <v>0</v>
      </c>
      <c r="I28" s="57"/>
      <c r="J28" s="61"/>
      <c r="K28" s="57"/>
      <c r="L28" s="61"/>
      <c r="M28" s="22" t="s">
        <v>24</v>
      </c>
      <c r="N28" s="25" t="s">
        <v>14</v>
      </c>
      <c r="O28" s="53">
        <v>45862</v>
      </c>
      <c r="P28" s="63">
        <v>3259</v>
      </c>
    </row>
    <row r="29" spans="1:16" ht="15" customHeight="1" x14ac:dyDescent="0.3">
      <c r="A29" s="65">
        <v>3260</v>
      </c>
      <c r="B29" s="53"/>
      <c r="C29" s="8"/>
      <c r="D29" s="61"/>
      <c r="E29" s="61"/>
      <c r="F29" s="61"/>
      <c r="G29" s="61"/>
      <c r="H29" s="61"/>
      <c r="I29" s="57"/>
      <c r="J29" s="61"/>
      <c r="K29" s="57"/>
      <c r="L29" s="61"/>
      <c r="M29" s="22"/>
      <c r="N29" s="25"/>
      <c r="O29" s="53"/>
      <c r="P29" s="63"/>
    </row>
    <row r="30" spans="1:16" ht="15" customHeight="1" x14ac:dyDescent="0.3">
      <c r="A30" s="65">
        <v>3261</v>
      </c>
      <c r="B30" s="53">
        <v>45847</v>
      </c>
      <c r="C30" s="8"/>
      <c r="D30" s="61">
        <v>2</v>
      </c>
      <c r="E30" s="61">
        <v>17</v>
      </c>
      <c r="F30" s="61">
        <v>17</v>
      </c>
      <c r="G30" s="61">
        <v>0</v>
      </c>
      <c r="H30" s="61">
        <v>0</v>
      </c>
      <c r="I30" s="57"/>
      <c r="J30" s="61"/>
      <c r="K30" s="57"/>
      <c r="L30" s="61"/>
      <c r="M30" s="22" t="s">
        <v>24</v>
      </c>
      <c r="N30" s="25" t="s">
        <v>14</v>
      </c>
      <c r="O30" s="53">
        <v>45847</v>
      </c>
      <c r="P30" s="63"/>
    </row>
    <row r="31" spans="1:16" ht="15" customHeight="1" x14ac:dyDescent="0.3">
      <c r="A31" s="65">
        <v>3262</v>
      </c>
      <c r="B31" s="53">
        <v>45832</v>
      </c>
      <c r="C31" s="8"/>
      <c r="D31" s="61">
        <v>4</v>
      </c>
      <c r="E31" s="61">
        <v>160</v>
      </c>
      <c r="F31" s="61">
        <v>160</v>
      </c>
      <c r="G31" s="61">
        <v>0</v>
      </c>
      <c r="H31" s="61">
        <v>0</v>
      </c>
      <c r="I31" s="57"/>
      <c r="J31" s="61"/>
      <c r="K31" s="57"/>
      <c r="L31" s="61"/>
      <c r="M31" s="22" t="s">
        <v>24</v>
      </c>
      <c r="N31" s="25" t="s">
        <v>14</v>
      </c>
      <c r="O31" s="53">
        <v>45832</v>
      </c>
      <c r="P31" s="63"/>
    </row>
    <row r="32" spans="1:16" ht="15" customHeight="1" x14ac:dyDescent="0.3">
      <c r="A32" s="65">
        <v>3263</v>
      </c>
      <c r="B32" s="53">
        <v>45846</v>
      </c>
      <c r="C32" s="8"/>
      <c r="D32" s="61">
        <v>1</v>
      </c>
      <c r="E32" s="61">
        <v>12</v>
      </c>
      <c r="F32" s="61">
        <v>12</v>
      </c>
      <c r="G32" s="61">
        <v>0</v>
      </c>
      <c r="H32" s="61">
        <v>0</v>
      </c>
      <c r="I32" s="57"/>
      <c r="J32" s="61"/>
      <c r="K32" s="57"/>
      <c r="L32" s="61"/>
      <c r="M32" s="22" t="s">
        <v>24</v>
      </c>
      <c r="N32" s="25" t="s">
        <v>14</v>
      </c>
      <c r="O32" s="53">
        <v>45846</v>
      </c>
      <c r="P32" s="63"/>
    </row>
    <row r="33" spans="1:16" ht="15" customHeight="1" x14ac:dyDescent="0.3">
      <c r="A33" s="65">
        <v>3264</v>
      </c>
      <c r="B33" s="53">
        <v>45813</v>
      </c>
      <c r="C33" s="8"/>
      <c r="D33" s="61">
        <v>1</v>
      </c>
      <c r="E33" s="61">
        <v>26</v>
      </c>
      <c r="F33" s="61">
        <v>26</v>
      </c>
      <c r="G33" s="61">
        <v>0</v>
      </c>
      <c r="H33" s="61">
        <v>0</v>
      </c>
      <c r="I33" s="57"/>
      <c r="J33" s="61"/>
      <c r="K33" s="57"/>
      <c r="L33" s="61"/>
      <c r="M33" s="22" t="s">
        <v>24</v>
      </c>
      <c r="N33" s="25" t="s">
        <v>14</v>
      </c>
      <c r="O33" s="53">
        <v>45813</v>
      </c>
      <c r="P33" s="63"/>
    </row>
    <row r="34" spans="1:16" ht="15" customHeight="1" x14ac:dyDescent="0.3">
      <c r="A34" s="65">
        <v>3265</v>
      </c>
      <c r="B34" s="53"/>
      <c r="C34" s="8"/>
      <c r="D34" s="61"/>
      <c r="E34" s="61"/>
      <c r="F34" s="61"/>
      <c r="G34" s="61"/>
      <c r="H34" s="61"/>
      <c r="I34" s="57"/>
      <c r="J34" s="61"/>
      <c r="K34" s="57"/>
      <c r="L34" s="61"/>
      <c r="M34" s="22"/>
      <c r="N34" s="25"/>
      <c r="O34" s="53"/>
      <c r="P34" s="63"/>
    </row>
    <row r="35" spans="1:16" ht="15" customHeight="1" x14ac:dyDescent="0.3">
      <c r="A35" s="65">
        <v>3266</v>
      </c>
      <c r="B35" s="53">
        <v>45823</v>
      </c>
      <c r="C35" s="8"/>
      <c r="D35" s="61">
        <v>2</v>
      </c>
      <c r="E35" s="61">
        <v>22</v>
      </c>
      <c r="F35" s="61">
        <v>22</v>
      </c>
      <c r="G35" s="61">
        <v>0</v>
      </c>
      <c r="H35" s="61">
        <v>0</v>
      </c>
      <c r="I35" s="57"/>
      <c r="J35" s="61"/>
      <c r="K35" s="57"/>
      <c r="L35" s="61"/>
      <c r="M35" s="22" t="s">
        <v>24</v>
      </c>
      <c r="N35" s="25" t="s">
        <v>14</v>
      </c>
      <c r="O35" s="53">
        <v>45823</v>
      </c>
      <c r="P35" s="63"/>
    </row>
    <row r="36" spans="1:16" ht="15" customHeight="1" x14ac:dyDescent="0.3">
      <c r="A36" s="67">
        <v>3267</v>
      </c>
      <c r="B36" s="53"/>
      <c r="C36" s="8"/>
      <c r="D36" s="61"/>
      <c r="E36" s="61"/>
      <c r="F36" s="61"/>
      <c r="G36" s="61"/>
      <c r="H36" s="61"/>
      <c r="I36" s="57"/>
      <c r="J36" s="61"/>
      <c r="K36" s="57"/>
      <c r="L36" s="61"/>
      <c r="M36" s="22"/>
      <c r="N36" s="25"/>
      <c r="O36" s="53"/>
      <c r="P36" s="63"/>
    </row>
    <row r="37" spans="1:16" ht="15" customHeight="1" x14ac:dyDescent="0.3">
      <c r="A37" s="65">
        <v>3299</v>
      </c>
      <c r="B37" s="53">
        <v>45860</v>
      </c>
      <c r="C37" s="8"/>
      <c r="D37" s="61">
        <v>4</v>
      </c>
      <c r="E37" s="61">
        <v>56</v>
      </c>
      <c r="F37" s="61">
        <v>56</v>
      </c>
      <c r="G37" s="61">
        <v>0</v>
      </c>
      <c r="H37" s="61">
        <v>0</v>
      </c>
      <c r="I37" s="57"/>
      <c r="J37" s="61"/>
      <c r="K37" s="57"/>
      <c r="L37" s="61"/>
      <c r="M37" s="22" t="s">
        <v>24</v>
      </c>
      <c r="N37" s="25" t="s">
        <v>14</v>
      </c>
      <c r="O37" s="53">
        <v>45860</v>
      </c>
      <c r="P37" s="63">
        <v>3299</v>
      </c>
    </row>
    <row r="38" spans="1:16" ht="15" customHeight="1" x14ac:dyDescent="0.3">
      <c r="A38" s="65">
        <v>3531</v>
      </c>
      <c r="B38" s="53">
        <v>45857</v>
      </c>
      <c r="C38" s="8"/>
      <c r="D38" s="61">
        <v>3</v>
      </c>
      <c r="E38" s="61">
        <v>59</v>
      </c>
      <c r="F38" s="61">
        <v>59</v>
      </c>
      <c r="G38" s="61">
        <v>0</v>
      </c>
      <c r="H38" s="61">
        <v>0</v>
      </c>
      <c r="I38" s="57"/>
      <c r="J38" s="61"/>
      <c r="K38" s="57"/>
      <c r="L38" s="61"/>
      <c r="M38" s="22" t="s">
        <v>24</v>
      </c>
      <c r="N38" s="25" t="s">
        <v>14</v>
      </c>
      <c r="O38" s="53">
        <v>45857</v>
      </c>
      <c r="P38" s="63">
        <v>3531</v>
      </c>
    </row>
    <row r="39" spans="1:16" ht="15" customHeight="1" x14ac:dyDescent="0.3">
      <c r="A39" s="67">
        <v>3532</v>
      </c>
      <c r="B39" s="53"/>
      <c r="C39" s="8"/>
      <c r="D39" s="61"/>
      <c r="E39" s="61"/>
      <c r="F39" s="61"/>
      <c r="G39" s="61"/>
      <c r="H39" s="61"/>
      <c r="I39" s="57"/>
      <c r="J39" s="61"/>
      <c r="K39" s="57"/>
      <c r="L39" s="61"/>
      <c r="M39" s="22"/>
      <c r="N39" s="25"/>
      <c r="O39" s="53"/>
      <c r="P39" s="63"/>
    </row>
    <row r="40" spans="1:16" ht="15" customHeight="1" x14ac:dyDescent="0.3">
      <c r="A40" s="67">
        <v>3533</v>
      </c>
      <c r="B40" s="53"/>
      <c r="C40" s="8"/>
      <c r="D40" s="61"/>
      <c r="E40" s="61"/>
      <c r="F40" s="61"/>
      <c r="G40" s="61"/>
      <c r="H40" s="61"/>
      <c r="I40" s="57"/>
      <c r="J40" s="61"/>
      <c r="K40" s="57"/>
      <c r="L40" s="61"/>
      <c r="M40" s="22"/>
      <c r="N40" s="25"/>
      <c r="O40" s="53"/>
      <c r="P40" s="63"/>
    </row>
    <row r="41" spans="1:16" ht="15" customHeight="1" x14ac:dyDescent="0.3">
      <c r="A41" s="67">
        <v>3534</v>
      </c>
      <c r="B41" s="53"/>
      <c r="C41" s="8"/>
      <c r="D41" s="61"/>
      <c r="E41" s="61"/>
      <c r="F41" s="61"/>
      <c r="G41" s="61"/>
      <c r="H41" s="61"/>
      <c r="I41" s="57"/>
      <c r="J41" s="61"/>
      <c r="K41" s="57"/>
      <c r="L41" s="61"/>
      <c r="M41" s="22"/>
      <c r="N41" s="25"/>
      <c r="O41" s="53"/>
      <c r="P41" s="63"/>
    </row>
    <row r="42" spans="1:16" ht="15" customHeight="1" x14ac:dyDescent="0.3">
      <c r="A42" s="65">
        <v>3535</v>
      </c>
      <c r="B42" s="53">
        <v>45869</v>
      </c>
      <c r="C42" s="8"/>
      <c r="D42" s="61">
        <v>3</v>
      </c>
      <c r="E42" s="61">
        <v>64</v>
      </c>
      <c r="F42" s="61">
        <v>64</v>
      </c>
      <c r="G42" s="61">
        <v>0</v>
      </c>
      <c r="H42" s="61">
        <v>0</v>
      </c>
      <c r="I42" s="57"/>
      <c r="J42" s="61"/>
      <c r="K42" s="57"/>
      <c r="L42" s="61"/>
      <c r="M42" s="22" t="s">
        <v>24</v>
      </c>
      <c r="N42" s="25" t="s">
        <v>14</v>
      </c>
      <c r="O42" s="53">
        <v>45869</v>
      </c>
      <c r="P42" s="63">
        <v>3535</v>
      </c>
    </row>
    <row r="43" spans="1:16" ht="15" customHeight="1" x14ac:dyDescent="0.3">
      <c r="A43" s="65">
        <v>3536</v>
      </c>
      <c r="B43" s="53">
        <v>45931</v>
      </c>
      <c r="C43" s="8"/>
      <c r="D43" s="61">
        <v>3</v>
      </c>
      <c r="E43" s="61">
        <v>69</v>
      </c>
      <c r="F43" s="61">
        <v>69</v>
      </c>
      <c r="G43" s="61">
        <v>0</v>
      </c>
      <c r="H43" s="61">
        <v>0</v>
      </c>
      <c r="I43" s="57"/>
      <c r="J43" s="61"/>
      <c r="K43" s="57"/>
      <c r="L43" s="61"/>
      <c r="M43" s="22" t="s">
        <v>24</v>
      </c>
      <c r="N43" s="25" t="s">
        <v>14</v>
      </c>
      <c r="O43" s="53">
        <v>45931</v>
      </c>
      <c r="P43" s="63">
        <v>3536</v>
      </c>
    </row>
    <row r="44" spans="1:16" ht="15" customHeight="1" x14ac:dyDescent="0.3">
      <c r="A44" s="65">
        <v>3537</v>
      </c>
      <c r="B44" s="53">
        <v>45850</v>
      </c>
      <c r="C44" s="8"/>
      <c r="D44" s="61">
        <v>1</v>
      </c>
      <c r="E44" s="61">
        <v>9</v>
      </c>
      <c r="F44" s="61">
        <v>9</v>
      </c>
      <c r="G44" s="61">
        <v>0</v>
      </c>
      <c r="H44" s="61">
        <v>0</v>
      </c>
      <c r="I44" s="57"/>
      <c r="J44" s="61"/>
      <c r="K44" s="57"/>
      <c r="L44" s="61"/>
      <c r="M44" s="22" t="s">
        <v>24</v>
      </c>
      <c r="N44" s="25" t="s">
        <v>14</v>
      </c>
      <c r="O44" s="53">
        <v>45850</v>
      </c>
      <c r="P44" s="63"/>
    </row>
    <row r="45" spans="1:16" ht="15" customHeight="1" x14ac:dyDescent="0.3">
      <c r="A45" s="65">
        <v>3538</v>
      </c>
      <c r="B45" s="53">
        <v>45847</v>
      </c>
      <c r="C45" s="8"/>
      <c r="D45" s="61">
        <v>1</v>
      </c>
      <c r="E45" s="61">
        <v>8</v>
      </c>
      <c r="F45" s="61">
        <v>8</v>
      </c>
      <c r="G45" s="61">
        <v>0</v>
      </c>
      <c r="H45" s="61">
        <v>0</v>
      </c>
      <c r="I45" s="57"/>
      <c r="J45" s="61"/>
      <c r="K45" s="57"/>
      <c r="L45" s="61"/>
      <c r="M45" s="22" t="s">
        <v>24</v>
      </c>
      <c r="N45" s="25" t="s">
        <v>14</v>
      </c>
      <c r="O45" s="53">
        <v>45847</v>
      </c>
      <c r="P45" s="63"/>
    </row>
    <row r="46" spans="1:16" ht="15" customHeight="1" x14ac:dyDescent="0.3">
      <c r="A46" s="66">
        <v>3540</v>
      </c>
      <c r="B46" s="53"/>
      <c r="C46" s="8"/>
      <c r="D46" s="61"/>
      <c r="E46" s="61"/>
      <c r="F46" s="61"/>
      <c r="G46" s="61"/>
      <c r="H46" s="61"/>
      <c r="I46" s="57"/>
      <c r="J46" s="61"/>
      <c r="K46" s="57"/>
      <c r="L46" s="61"/>
      <c r="M46" s="22"/>
      <c r="N46" s="25"/>
      <c r="O46" s="53"/>
      <c r="P46" s="63"/>
    </row>
    <row r="47" spans="1:16" ht="15" customHeight="1" x14ac:dyDescent="0.3">
      <c r="A47" s="65">
        <v>3541</v>
      </c>
      <c r="B47" s="53">
        <v>45848</v>
      </c>
      <c r="C47" s="8"/>
      <c r="D47" s="61">
        <v>3</v>
      </c>
      <c r="E47" s="61">
        <v>166</v>
      </c>
      <c r="F47" s="61">
        <v>166</v>
      </c>
      <c r="G47" s="61">
        <v>0</v>
      </c>
      <c r="H47" s="61">
        <v>0</v>
      </c>
      <c r="I47" s="57"/>
      <c r="J47" s="61"/>
      <c r="K47" s="57"/>
      <c r="L47" s="61"/>
      <c r="M47" s="22" t="s">
        <v>24</v>
      </c>
      <c r="N47" s="25" t="s">
        <v>14</v>
      </c>
      <c r="O47" s="53">
        <v>45848</v>
      </c>
      <c r="P47" s="63">
        <v>3541</v>
      </c>
    </row>
    <row r="48" spans="1:16" ht="15" customHeight="1" x14ac:dyDescent="0.3">
      <c r="A48" s="65">
        <v>3542</v>
      </c>
      <c r="B48" s="53">
        <v>45828</v>
      </c>
      <c r="C48" s="8"/>
      <c r="D48" s="61">
        <v>3</v>
      </c>
      <c r="E48" s="61">
        <v>198</v>
      </c>
      <c r="F48" s="61">
        <v>198</v>
      </c>
      <c r="G48" s="61">
        <v>0</v>
      </c>
      <c r="H48" s="61">
        <v>0</v>
      </c>
      <c r="I48" s="57"/>
      <c r="J48" s="61"/>
      <c r="K48" s="57"/>
      <c r="L48" s="61"/>
      <c r="M48" s="22" t="s">
        <v>24</v>
      </c>
      <c r="N48" s="25" t="s">
        <v>14</v>
      </c>
      <c r="O48" s="53">
        <v>45828</v>
      </c>
      <c r="P48" s="63">
        <v>3542</v>
      </c>
    </row>
    <row r="49" spans="1:19" ht="15" customHeight="1" x14ac:dyDescent="0.3">
      <c r="A49" s="65">
        <v>3543</v>
      </c>
      <c r="B49" s="53"/>
      <c r="C49" s="8"/>
      <c r="D49" s="61"/>
      <c r="E49" s="61"/>
      <c r="F49" s="61"/>
      <c r="G49" s="61"/>
      <c r="H49" s="61"/>
      <c r="I49" s="57"/>
      <c r="J49" s="61"/>
      <c r="K49" s="57"/>
      <c r="L49" s="61"/>
      <c r="M49" s="22"/>
      <c r="N49" s="25"/>
      <c r="O49" s="53"/>
      <c r="P49" s="63"/>
    </row>
    <row r="50" spans="1:19" ht="15" customHeight="1" x14ac:dyDescent="0.3">
      <c r="A50" s="67">
        <v>3544</v>
      </c>
      <c r="B50" s="53"/>
      <c r="C50" s="8"/>
      <c r="D50" s="61"/>
      <c r="E50" s="61"/>
      <c r="F50" s="61"/>
      <c r="G50" s="61"/>
      <c r="H50" s="61"/>
      <c r="I50" s="57"/>
      <c r="J50" s="61"/>
      <c r="K50" s="57"/>
      <c r="L50" s="61"/>
      <c r="M50" s="22"/>
      <c r="N50" s="25"/>
      <c r="O50" s="53"/>
      <c r="P50" s="63"/>
    </row>
    <row r="51" spans="1:19" ht="15" customHeight="1" x14ac:dyDescent="0.3">
      <c r="A51" s="65">
        <v>3545</v>
      </c>
      <c r="B51" s="53">
        <v>45862</v>
      </c>
      <c r="C51" s="8"/>
      <c r="D51" s="61">
        <v>2</v>
      </c>
      <c r="E51" s="61">
        <v>86</v>
      </c>
      <c r="F51" s="61">
        <v>86</v>
      </c>
      <c r="G51" s="61">
        <v>0</v>
      </c>
      <c r="H51" s="61">
        <v>0</v>
      </c>
      <c r="I51" s="57"/>
      <c r="J51" s="61"/>
      <c r="K51" s="57"/>
      <c r="L51" s="61"/>
      <c r="M51" s="22" t="s">
        <v>24</v>
      </c>
      <c r="N51" s="25" t="s">
        <v>14</v>
      </c>
      <c r="O51" s="53">
        <v>45862</v>
      </c>
      <c r="P51" s="63">
        <v>3545</v>
      </c>
    </row>
    <row r="52" spans="1:19" ht="15" customHeight="1" x14ac:dyDescent="0.3">
      <c r="A52" s="65">
        <v>3546</v>
      </c>
      <c r="B52" s="53">
        <v>45880</v>
      </c>
      <c r="C52" s="8"/>
      <c r="D52" s="61">
        <v>3</v>
      </c>
      <c r="E52" s="61">
        <v>29</v>
      </c>
      <c r="F52" s="61">
        <v>29</v>
      </c>
      <c r="G52" s="61">
        <v>0</v>
      </c>
      <c r="H52" s="61">
        <v>0</v>
      </c>
      <c r="I52" s="57"/>
      <c r="J52" s="61"/>
      <c r="K52" s="57"/>
      <c r="L52" s="61"/>
      <c r="M52" s="22" t="s">
        <v>24</v>
      </c>
      <c r="N52" s="25" t="s">
        <v>14</v>
      </c>
      <c r="O52" s="53">
        <v>45880</v>
      </c>
      <c r="P52" s="63">
        <v>3546</v>
      </c>
    </row>
    <row r="53" spans="1:19" ht="15" customHeight="1" x14ac:dyDescent="0.3">
      <c r="A53" s="65">
        <v>3547</v>
      </c>
      <c r="B53" s="53">
        <v>45838</v>
      </c>
      <c r="C53" s="8"/>
      <c r="D53" s="61">
        <v>3</v>
      </c>
      <c r="E53" s="61">
        <v>57</v>
      </c>
      <c r="F53" s="61">
        <v>40</v>
      </c>
      <c r="G53" s="61">
        <v>17</v>
      </c>
      <c r="H53" s="61">
        <v>2</v>
      </c>
      <c r="I53" s="57">
        <v>45850</v>
      </c>
      <c r="J53" s="61">
        <v>17</v>
      </c>
      <c r="K53" s="57"/>
      <c r="L53" s="61"/>
      <c r="M53" s="22" t="s">
        <v>24</v>
      </c>
      <c r="N53" s="25" t="s">
        <v>14</v>
      </c>
      <c r="O53" s="53">
        <v>45838</v>
      </c>
      <c r="P53" s="63">
        <v>3547</v>
      </c>
    </row>
    <row r="54" spans="1:19" ht="15" customHeight="1" x14ac:dyDescent="0.3">
      <c r="A54" s="65">
        <v>3548</v>
      </c>
      <c r="B54" s="53">
        <v>45840</v>
      </c>
      <c r="C54" s="8"/>
      <c r="D54" s="61">
        <v>1</v>
      </c>
      <c r="E54" s="61">
        <v>24</v>
      </c>
      <c r="F54" s="61">
        <v>24</v>
      </c>
      <c r="G54" s="61">
        <v>0</v>
      </c>
      <c r="H54" s="61">
        <v>0</v>
      </c>
      <c r="I54" s="57"/>
      <c r="J54" s="61"/>
      <c r="K54" s="57"/>
      <c r="L54" s="61"/>
      <c r="M54" s="22" t="s">
        <v>24</v>
      </c>
      <c r="N54" s="25" t="s">
        <v>14</v>
      </c>
      <c r="O54" s="53">
        <v>45840</v>
      </c>
      <c r="P54" s="63"/>
    </row>
    <row r="55" spans="1:19" ht="15" customHeight="1" x14ac:dyDescent="0.3">
      <c r="A55" s="65">
        <v>3549</v>
      </c>
      <c r="B55" s="53">
        <v>45838</v>
      </c>
      <c r="C55" s="8"/>
      <c r="D55" s="61">
        <v>2</v>
      </c>
      <c r="E55" s="61">
        <v>112</v>
      </c>
      <c r="F55" s="61">
        <v>60</v>
      </c>
      <c r="G55" s="61">
        <v>52</v>
      </c>
      <c r="H55" s="61">
        <v>1</v>
      </c>
      <c r="I55" s="57">
        <v>45839</v>
      </c>
      <c r="J55" s="61">
        <v>52</v>
      </c>
      <c r="K55" s="57"/>
      <c r="L55" s="61"/>
      <c r="M55" s="22" t="s">
        <v>24</v>
      </c>
      <c r="N55" s="25" t="s">
        <v>14</v>
      </c>
      <c r="O55" s="53">
        <v>45839</v>
      </c>
      <c r="P55" s="63">
        <v>3549</v>
      </c>
    </row>
    <row r="56" spans="1:19" ht="15" customHeight="1" x14ac:dyDescent="0.3">
      <c r="A56" s="65">
        <v>3550</v>
      </c>
      <c r="B56" s="53">
        <v>45861</v>
      </c>
      <c r="C56" s="8"/>
      <c r="D56" s="61">
        <v>2</v>
      </c>
      <c r="E56" s="61">
        <v>25</v>
      </c>
      <c r="F56" s="61">
        <v>25</v>
      </c>
      <c r="G56" s="61">
        <v>0</v>
      </c>
      <c r="H56" s="61">
        <v>0</v>
      </c>
      <c r="I56" s="57"/>
      <c r="J56" s="61"/>
      <c r="K56" s="57"/>
      <c r="L56" s="61"/>
      <c r="M56" s="22" t="s">
        <v>24</v>
      </c>
      <c r="N56" s="25" t="s">
        <v>14</v>
      </c>
      <c r="O56" s="53">
        <v>45861</v>
      </c>
      <c r="P56" s="63">
        <v>3550</v>
      </c>
    </row>
    <row r="57" spans="1:19" ht="15" customHeight="1" x14ac:dyDescent="0.3">
      <c r="A57" s="70">
        <v>3551</v>
      </c>
      <c r="B57" s="53">
        <v>45861</v>
      </c>
      <c r="C57" s="8"/>
      <c r="D57" s="61">
        <v>3</v>
      </c>
      <c r="E57" s="61">
        <v>100</v>
      </c>
      <c r="F57" s="61">
        <v>100</v>
      </c>
      <c r="G57" s="61">
        <v>0</v>
      </c>
      <c r="H57" s="61">
        <v>0</v>
      </c>
      <c r="I57" s="57"/>
      <c r="J57" s="61"/>
      <c r="K57" s="57"/>
      <c r="L57" s="61"/>
      <c r="M57" s="22" t="s">
        <v>24</v>
      </c>
      <c r="N57" s="25" t="s">
        <v>14</v>
      </c>
      <c r="O57" s="53">
        <v>45861</v>
      </c>
      <c r="P57" s="63">
        <v>3551</v>
      </c>
    </row>
    <row r="58" spans="1:19" ht="15" customHeight="1" x14ac:dyDescent="0.3">
      <c r="A58" s="65">
        <v>3552</v>
      </c>
      <c r="B58" s="53">
        <v>45875</v>
      </c>
      <c r="C58" s="8"/>
      <c r="D58" s="61">
        <v>2</v>
      </c>
      <c r="E58" s="61">
        <v>61</v>
      </c>
      <c r="F58" s="61">
        <v>61</v>
      </c>
      <c r="G58" s="61">
        <v>0</v>
      </c>
      <c r="H58" s="61">
        <v>0</v>
      </c>
      <c r="I58" s="57"/>
      <c r="J58" s="61"/>
      <c r="K58" s="57"/>
      <c r="L58" s="61"/>
      <c r="M58" s="22" t="s">
        <v>24</v>
      </c>
      <c r="N58" s="25" t="s">
        <v>14</v>
      </c>
      <c r="O58" s="53">
        <v>45875</v>
      </c>
      <c r="P58" s="63">
        <v>3552</v>
      </c>
    </row>
    <row r="59" spans="1:19" ht="15" customHeight="1" x14ac:dyDescent="0.3">
      <c r="A59" s="65">
        <v>3553</v>
      </c>
      <c r="B59" s="53">
        <v>45842</v>
      </c>
      <c r="C59" s="8"/>
      <c r="D59" s="61">
        <v>1</v>
      </c>
      <c r="E59" s="61">
        <v>33</v>
      </c>
      <c r="F59" s="61">
        <v>33</v>
      </c>
      <c r="G59" s="61">
        <v>0</v>
      </c>
      <c r="H59" s="61">
        <v>0</v>
      </c>
      <c r="I59" s="57"/>
      <c r="J59" s="61"/>
      <c r="K59" s="57"/>
      <c r="L59" s="61"/>
      <c r="M59" s="22" t="s">
        <v>24</v>
      </c>
      <c r="N59" s="25" t="s">
        <v>14</v>
      </c>
      <c r="O59" s="53">
        <v>45842</v>
      </c>
      <c r="P59" s="63">
        <v>3553</v>
      </c>
    </row>
    <row r="60" spans="1:19" ht="15" customHeight="1" x14ac:dyDescent="0.3">
      <c r="A60" s="67">
        <v>3554</v>
      </c>
      <c r="B60" s="53"/>
      <c r="C60" s="8"/>
      <c r="D60" s="61"/>
      <c r="E60" s="61"/>
      <c r="F60" s="61"/>
      <c r="G60" s="61"/>
      <c r="H60" s="61"/>
      <c r="I60" s="57"/>
      <c r="J60" s="61"/>
      <c r="K60" s="57"/>
      <c r="L60" s="61"/>
      <c r="M60" s="22"/>
      <c r="N60" s="25"/>
      <c r="O60" s="53"/>
      <c r="P60" s="63"/>
    </row>
    <row r="61" spans="1:19" ht="15" customHeight="1" x14ac:dyDescent="0.3">
      <c r="A61" s="65">
        <v>3555</v>
      </c>
      <c r="B61" s="53">
        <v>45876</v>
      </c>
      <c r="C61" s="8"/>
      <c r="D61" s="61">
        <v>3</v>
      </c>
      <c r="E61" s="61">
        <v>57</v>
      </c>
      <c r="F61" s="61">
        <v>57</v>
      </c>
      <c r="G61" s="61">
        <v>0</v>
      </c>
      <c r="H61" s="61">
        <v>0</v>
      </c>
      <c r="I61" s="57"/>
      <c r="J61" s="61"/>
      <c r="K61" s="57"/>
      <c r="L61" s="61"/>
      <c r="M61" s="22" t="s">
        <v>24</v>
      </c>
      <c r="N61" s="25" t="s">
        <v>14</v>
      </c>
      <c r="O61" s="53">
        <v>45876</v>
      </c>
      <c r="P61" s="63">
        <v>3555</v>
      </c>
      <c r="S61" s="1" t="s">
        <v>22</v>
      </c>
    </row>
    <row r="62" spans="1:19" ht="15" customHeight="1" x14ac:dyDescent="0.3">
      <c r="A62" s="65">
        <v>3556</v>
      </c>
      <c r="B62" s="53">
        <v>45874</v>
      </c>
      <c r="C62" s="8"/>
      <c r="D62" s="61">
        <v>2</v>
      </c>
      <c r="E62" s="61">
        <v>12</v>
      </c>
      <c r="F62" s="61">
        <v>12</v>
      </c>
      <c r="G62" s="61">
        <v>0</v>
      </c>
      <c r="H62" s="61">
        <v>0</v>
      </c>
      <c r="I62" s="57"/>
      <c r="J62" s="61"/>
      <c r="K62" s="57"/>
      <c r="L62" s="61"/>
      <c r="M62" s="22" t="s">
        <v>24</v>
      </c>
      <c r="N62" s="25" t="s">
        <v>14</v>
      </c>
      <c r="O62" s="53">
        <v>45874</v>
      </c>
      <c r="P62" s="63">
        <v>3556</v>
      </c>
    </row>
    <row r="63" spans="1:19" ht="15" customHeight="1" x14ac:dyDescent="0.3">
      <c r="A63" s="65">
        <v>3557</v>
      </c>
      <c r="B63" s="53">
        <v>45832</v>
      </c>
      <c r="C63" s="8"/>
      <c r="D63" s="61">
        <v>3</v>
      </c>
      <c r="E63" s="61">
        <v>112</v>
      </c>
      <c r="F63" s="61">
        <v>112</v>
      </c>
      <c r="G63" s="61">
        <v>0</v>
      </c>
      <c r="H63" s="61">
        <v>0</v>
      </c>
      <c r="I63" s="57"/>
      <c r="J63" s="61"/>
      <c r="K63" s="57"/>
      <c r="L63" s="61"/>
      <c r="M63" s="22" t="s">
        <v>24</v>
      </c>
      <c r="N63" s="25" t="s">
        <v>14</v>
      </c>
      <c r="O63" s="53">
        <v>45832</v>
      </c>
      <c r="P63" s="63">
        <v>3557</v>
      </c>
    </row>
    <row r="64" spans="1:19" ht="15" customHeight="1" x14ac:dyDescent="0.3">
      <c r="A64" s="65">
        <v>3558</v>
      </c>
      <c r="B64" s="53">
        <v>45846</v>
      </c>
      <c r="C64" s="8"/>
      <c r="D64" s="61">
        <v>3</v>
      </c>
      <c r="E64" s="61">
        <v>65</v>
      </c>
      <c r="F64" s="61">
        <v>65</v>
      </c>
      <c r="G64" s="61">
        <v>0</v>
      </c>
      <c r="H64" s="61">
        <v>0</v>
      </c>
      <c r="I64" s="57"/>
      <c r="J64" s="61"/>
      <c r="K64" s="57"/>
      <c r="L64" s="61"/>
      <c r="M64" s="22" t="s">
        <v>24</v>
      </c>
      <c r="N64" s="25" t="s">
        <v>14</v>
      </c>
      <c r="O64" s="53">
        <v>45846</v>
      </c>
      <c r="P64" s="63"/>
    </row>
    <row r="65" spans="1:16" ht="15" customHeight="1" x14ac:dyDescent="0.3">
      <c r="A65" s="65">
        <v>3559</v>
      </c>
      <c r="B65" s="53">
        <v>45834</v>
      </c>
      <c r="C65" s="8"/>
      <c r="D65" s="61">
        <v>3</v>
      </c>
      <c r="E65" s="61">
        <v>13</v>
      </c>
      <c r="F65" s="61">
        <v>13</v>
      </c>
      <c r="G65" s="61">
        <v>0</v>
      </c>
      <c r="H65" s="61">
        <v>0</v>
      </c>
      <c r="I65" s="57"/>
      <c r="J65" s="61"/>
      <c r="K65" s="57"/>
      <c r="L65" s="61"/>
      <c r="M65" s="22" t="s">
        <v>24</v>
      </c>
      <c r="N65" s="25" t="s">
        <v>14</v>
      </c>
      <c r="O65" s="53">
        <v>45834</v>
      </c>
      <c r="P65" s="63">
        <v>3559</v>
      </c>
    </row>
    <row r="66" spans="1:16" ht="15" customHeight="1" x14ac:dyDescent="0.3">
      <c r="A66" s="65">
        <v>3560</v>
      </c>
      <c r="B66" s="53">
        <v>45849</v>
      </c>
      <c r="C66" s="8"/>
      <c r="D66" s="61">
        <v>3</v>
      </c>
      <c r="E66" s="61">
        <v>149</v>
      </c>
      <c r="F66" s="61">
        <v>63</v>
      </c>
      <c r="G66" s="61">
        <v>86</v>
      </c>
      <c r="H66" s="61">
        <v>2</v>
      </c>
      <c r="I66" s="57">
        <v>45851</v>
      </c>
      <c r="J66" s="61">
        <v>74</v>
      </c>
      <c r="K66" s="57">
        <v>45852</v>
      </c>
      <c r="L66" s="61">
        <v>18</v>
      </c>
      <c r="M66" s="22" t="s">
        <v>24</v>
      </c>
      <c r="N66" s="25" t="s">
        <v>14</v>
      </c>
      <c r="O66" s="53">
        <v>45852</v>
      </c>
      <c r="P66" s="63">
        <v>3560</v>
      </c>
    </row>
    <row r="67" spans="1:16" ht="15" customHeight="1" x14ac:dyDescent="0.3">
      <c r="A67" s="67">
        <v>3561</v>
      </c>
      <c r="B67" s="53">
        <v>45833</v>
      </c>
      <c r="C67" s="8"/>
      <c r="D67" s="61">
        <v>3</v>
      </c>
      <c r="E67" s="61">
        <v>94</v>
      </c>
      <c r="F67" s="61">
        <v>94</v>
      </c>
      <c r="G67" s="61">
        <v>28</v>
      </c>
      <c r="H67" s="61">
        <v>1</v>
      </c>
      <c r="I67" s="57">
        <v>45842</v>
      </c>
      <c r="J67" s="61">
        <v>28</v>
      </c>
      <c r="K67" s="57"/>
      <c r="L67" s="61"/>
      <c r="M67" s="22" t="s">
        <v>24</v>
      </c>
      <c r="N67" s="25" t="s">
        <v>14</v>
      </c>
      <c r="O67" s="53">
        <v>45842</v>
      </c>
      <c r="P67" s="63">
        <v>3561</v>
      </c>
    </row>
    <row r="68" spans="1:16" ht="18.75" x14ac:dyDescent="0.3">
      <c r="A68" s="67">
        <v>3562</v>
      </c>
      <c r="B68" s="53">
        <v>45851</v>
      </c>
      <c r="C68" s="8"/>
      <c r="D68" s="61">
        <v>2</v>
      </c>
      <c r="E68" s="61">
        <v>77</v>
      </c>
      <c r="F68" s="61">
        <v>77</v>
      </c>
      <c r="G68" s="61">
        <v>0</v>
      </c>
      <c r="H68" s="61">
        <v>0</v>
      </c>
      <c r="I68" s="57"/>
      <c r="J68" s="61"/>
      <c r="K68" s="57"/>
      <c r="L68" s="61"/>
      <c r="M68" s="22" t="s">
        <v>24</v>
      </c>
      <c r="N68" s="25" t="s">
        <v>14</v>
      </c>
      <c r="O68" s="53">
        <v>45851</v>
      </c>
      <c r="P68" s="63">
        <v>3562</v>
      </c>
    </row>
    <row r="69" spans="1:16" ht="18.75" x14ac:dyDescent="0.3">
      <c r="A69" s="65">
        <v>3563</v>
      </c>
      <c r="B69" s="53">
        <v>45875</v>
      </c>
      <c r="C69" s="8"/>
      <c r="D69" s="61">
        <v>2</v>
      </c>
      <c r="E69" s="61">
        <v>44</v>
      </c>
      <c r="F69" s="61">
        <v>44</v>
      </c>
      <c r="G69" s="61">
        <v>0</v>
      </c>
      <c r="H69" s="61">
        <v>0</v>
      </c>
      <c r="I69" s="57"/>
      <c r="J69" s="61"/>
      <c r="K69" s="57"/>
      <c r="L69" s="61"/>
      <c r="M69" s="22" t="s">
        <v>24</v>
      </c>
      <c r="N69" s="25" t="s">
        <v>14</v>
      </c>
      <c r="O69" s="53">
        <v>45875</v>
      </c>
      <c r="P69" s="63">
        <v>3563</v>
      </c>
    </row>
    <row r="70" spans="1:16" ht="18.75" x14ac:dyDescent="0.3">
      <c r="A70" s="65">
        <v>3564</v>
      </c>
      <c r="B70" s="53">
        <v>45831</v>
      </c>
      <c r="C70" s="8"/>
      <c r="D70" s="61">
        <v>1</v>
      </c>
      <c r="E70" s="61">
        <v>22</v>
      </c>
      <c r="F70" s="61">
        <v>22</v>
      </c>
      <c r="G70" s="61">
        <v>0</v>
      </c>
      <c r="H70" s="61">
        <v>0</v>
      </c>
      <c r="I70" s="57"/>
      <c r="J70" s="61"/>
      <c r="K70" s="57"/>
      <c r="L70" s="61"/>
      <c r="M70" s="22" t="s">
        <v>24</v>
      </c>
      <c r="N70" s="25" t="s">
        <v>14</v>
      </c>
      <c r="O70" s="53">
        <v>45831</v>
      </c>
      <c r="P70" s="63">
        <v>3564</v>
      </c>
    </row>
    <row r="71" spans="1:16" ht="18.75" x14ac:dyDescent="0.3">
      <c r="A71" s="65">
        <v>3565</v>
      </c>
      <c r="B71" s="53">
        <v>45846</v>
      </c>
      <c r="C71" s="8"/>
      <c r="D71" s="61">
        <v>2</v>
      </c>
      <c r="E71" s="61">
        <v>47</v>
      </c>
      <c r="F71" s="61">
        <v>47</v>
      </c>
      <c r="G71" s="61">
        <v>0</v>
      </c>
      <c r="H71" s="61">
        <v>0</v>
      </c>
      <c r="I71" s="57"/>
      <c r="J71" s="61"/>
      <c r="K71" s="57"/>
      <c r="L71" s="61"/>
      <c r="M71" s="22" t="s">
        <v>24</v>
      </c>
      <c r="N71" s="25" t="s">
        <v>14</v>
      </c>
      <c r="O71" s="53">
        <v>45846</v>
      </c>
      <c r="P71" s="63"/>
    </row>
    <row r="72" spans="1:16" ht="18.75" x14ac:dyDescent="0.3">
      <c r="A72" s="65">
        <v>3566</v>
      </c>
      <c r="B72" s="53">
        <v>45832</v>
      </c>
      <c r="C72" s="8"/>
      <c r="D72" s="61">
        <v>1</v>
      </c>
      <c r="E72" s="61">
        <v>17</v>
      </c>
      <c r="F72" s="61">
        <v>17</v>
      </c>
      <c r="G72" s="61">
        <v>0</v>
      </c>
      <c r="H72" s="61">
        <v>0</v>
      </c>
      <c r="I72" s="57"/>
      <c r="J72" s="61"/>
      <c r="K72" s="57"/>
      <c r="L72" s="61"/>
      <c r="M72" s="22" t="s">
        <v>24</v>
      </c>
      <c r="N72" s="25" t="s">
        <v>14</v>
      </c>
      <c r="O72" s="53">
        <v>45832</v>
      </c>
      <c r="P72" s="63"/>
    </row>
    <row r="73" spans="1:16" ht="18.75" x14ac:dyDescent="0.3">
      <c r="A73" s="69">
        <v>3567</v>
      </c>
      <c r="B73" s="53">
        <v>45831</v>
      </c>
      <c r="C73" s="8"/>
      <c r="D73" s="61">
        <v>1</v>
      </c>
      <c r="E73" s="61">
        <v>29</v>
      </c>
      <c r="F73" s="61">
        <v>29</v>
      </c>
      <c r="G73" s="61">
        <v>0</v>
      </c>
      <c r="H73" s="61">
        <v>0</v>
      </c>
      <c r="I73" s="57"/>
      <c r="J73" s="61"/>
      <c r="K73" s="57"/>
      <c r="L73" s="61"/>
      <c r="M73" s="22" t="s">
        <v>24</v>
      </c>
      <c r="N73" s="25" t="s">
        <v>14</v>
      </c>
      <c r="O73" s="53">
        <v>45831</v>
      </c>
      <c r="P73" s="63">
        <v>3567</v>
      </c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algorithmName="SHA-512" hashValue="AWtffOwQQaY6lwdb9powKRiaxX/cpS/sselBXEoDNV+EkJTDIO/5s5Z76KcdFmrWhSNj0o+e1yECZ2uu26pRcw==" saltValue="19/jWpVw5YUIxZJNVxjts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2:L73 P2:P73" xr:uid="{BFE9D574-EBF7-4950-AE19-06EBA256758B}">
      <formula1>0</formula1>
    </dataValidation>
    <dataValidation type="date" operator="greaterThanOrEqual" allowBlank="1" showInputMessage="1" showErrorMessage="1" sqref="B2:B73 I2:I73 K2:K73 O2:O73" xr:uid="{5D02B5C7-2995-43CE-8708-5F3E6E4BBA5A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31B940B-F800-4692-901C-7E874374AF63}">
          <x14:formula1>
            <xm:f>Inspected!$A$1:$A$2</xm:f>
          </x14:formula1>
          <xm:sqref>M2:M73</xm:sqref>
        </x14:dataValidation>
        <x14:dataValidation type="list" allowBlank="1" showInputMessage="1" showErrorMessage="1" xr:uid="{FDBE7656-DFB4-46B7-848C-F256C264DE56}">
          <x14:formula1>
            <xm:f>Inspected!$D$1</xm:f>
          </x14:formula1>
          <xm:sqref>C2:C73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31D33-08C7-4E9E-A41E-1A97D2612410}">
  <dimension ref="A1:U207"/>
  <sheetViews>
    <sheetView workbookViewId="0">
      <selection activeCell="I16" sqref="I16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3.42578125" style="1" customWidth="1"/>
    <col min="5" max="5" width="12.5703125" style="1" customWidth="1"/>
    <col min="6" max="6" width="12.85546875" style="1" customWidth="1"/>
    <col min="7" max="7" width="14" style="1" customWidth="1"/>
    <col min="8" max="8" width="20.85546875" style="1" customWidth="1"/>
    <col min="9" max="9" width="15.42578125" style="1" customWidth="1"/>
    <col min="10" max="10" width="13.140625" style="1" customWidth="1"/>
    <col min="11" max="11" width="16.5703125" style="1" customWidth="1"/>
    <col min="12" max="12" width="11.42578125" style="1" customWidth="1"/>
    <col min="13" max="13" width="17" style="29" customWidth="1"/>
    <col min="14" max="14" width="15.85546875" style="1" customWidth="1"/>
    <col min="15" max="15" width="28.5703125" style="1" customWidth="1"/>
    <col min="16" max="16" width="22.14062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60.75" thickBot="1" x14ac:dyDescent="0.3">
      <c r="A1" s="80" t="s">
        <v>0</v>
      </c>
      <c r="B1" s="42" t="s">
        <v>1</v>
      </c>
      <c r="C1" s="42" t="s">
        <v>26</v>
      </c>
      <c r="D1" s="35" t="s">
        <v>2</v>
      </c>
      <c r="E1" s="35" t="s">
        <v>3</v>
      </c>
      <c r="F1" s="35" t="s">
        <v>4</v>
      </c>
      <c r="G1" s="35" t="s">
        <v>5</v>
      </c>
      <c r="H1" s="35" t="s">
        <v>6</v>
      </c>
      <c r="I1" s="36" t="s">
        <v>7</v>
      </c>
      <c r="J1" s="36" t="s">
        <v>8</v>
      </c>
      <c r="K1" s="37" t="s">
        <v>9</v>
      </c>
      <c r="L1" s="37" t="s">
        <v>27</v>
      </c>
      <c r="M1" s="38" t="s">
        <v>10</v>
      </c>
      <c r="N1" s="39" t="s">
        <v>11</v>
      </c>
      <c r="O1" s="40" t="s">
        <v>12</v>
      </c>
      <c r="P1" s="41" t="s">
        <v>13</v>
      </c>
    </row>
    <row r="2" spans="1:21" ht="15" customHeight="1" x14ac:dyDescent="0.3">
      <c r="A2" s="65">
        <v>3231</v>
      </c>
      <c r="B2" s="53">
        <v>45898</v>
      </c>
      <c r="C2" s="8"/>
      <c r="D2" s="61">
        <v>1</v>
      </c>
      <c r="E2" s="61">
        <v>17</v>
      </c>
      <c r="F2" s="61">
        <v>17</v>
      </c>
      <c r="G2" s="61">
        <v>0</v>
      </c>
      <c r="H2" s="61">
        <v>0</v>
      </c>
      <c r="I2" s="57"/>
      <c r="J2" s="61"/>
      <c r="K2" s="57"/>
      <c r="L2" s="61"/>
      <c r="M2" s="22" t="s">
        <v>24</v>
      </c>
      <c r="N2" s="25" t="s">
        <v>30</v>
      </c>
      <c r="O2" s="53">
        <v>45898</v>
      </c>
      <c r="P2" s="63">
        <v>3231</v>
      </c>
      <c r="R2" s="81" t="s">
        <v>15</v>
      </c>
      <c r="S2" s="82"/>
      <c r="T2" s="82"/>
      <c r="U2" s="83"/>
    </row>
    <row r="3" spans="1:21" ht="15" customHeight="1" x14ac:dyDescent="0.3">
      <c r="A3" s="65">
        <v>3232</v>
      </c>
      <c r="B3" s="53">
        <v>45859</v>
      </c>
      <c r="C3" s="8"/>
      <c r="D3" s="61">
        <v>1</v>
      </c>
      <c r="E3" s="61">
        <v>4</v>
      </c>
      <c r="F3" s="61">
        <v>4</v>
      </c>
      <c r="G3" s="61">
        <v>0</v>
      </c>
      <c r="H3" s="61">
        <v>0</v>
      </c>
      <c r="I3" s="57"/>
      <c r="J3" s="61"/>
      <c r="K3" s="57"/>
      <c r="L3" s="61"/>
      <c r="M3" s="22" t="s">
        <v>24</v>
      </c>
      <c r="N3" s="25" t="s">
        <v>14</v>
      </c>
      <c r="O3" s="53">
        <v>45859</v>
      </c>
      <c r="P3" s="63">
        <v>3232</v>
      </c>
      <c r="R3" s="10" t="s">
        <v>16</v>
      </c>
      <c r="S3" s="11" t="s">
        <v>17</v>
      </c>
      <c r="T3" s="12" t="s">
        <v>18</v>
      </c>
      <c r="U3" s="13" t="s">
        <v>19</v>
      </c>
    </row>
    <row r="4" spans="1:21" ht="15" customHeight="1" thickBot="1" x14ac:dyDescent="0.35">
      <c r="A4" s="70">
        <v>3233</v>
      </c>
      <c r="B4" s="53"/>
      <c r="C4" s="8"/>
      <c r="D4" s="61"/>
      <c r="E4" s="61"/>
      <c r="F4" s="61"/>
      <c r="G4" s="61"/>
      <c r="H4" s="61"/>
      <c r="I4" s="57"/>
      <c r="J4" s="61"/>
      <c r="K4" s="57"/>
      <c r="L4" s="61"/>
      <c r="M4" s="22"/>
      <c r="N4" s="25"/>
      <c r="O4" s="53"/>
      <c r="P4" s="63"/>
      <c r="R4" s="14">
        <v>36</v>
      </c>
      <c r="S4" s="15">
        <f>COUNTA(A:A)-1</f>
        <v>72</v>
      </c>
      <c r="T4" s="15">
        <f>COUNTA(O:O)-1</f>
        <v>49</v>
      </c>
      <c r="U4" s="16">
        <f>T4/S4</f>
        <v>0.68055555555555558</v>
      </c>
    </row>
    <row r="5" spans="1:21" ht="15" customHeight="1" x14ac:dyDescent="0.3">
      <c r="A5" s="65">
        <v>3234</v>
      </c>
      <c r="B5" s="53">
        <v>45893</v>
      </c>
      <c r="C5" s="8"/>
      <c r="D5" s="61">
        <v>2</v>
      </c>
      <c r="E5" s="61">
        <v>16</v>
      </c>
      <c r="F5" s="61">
        <v>16</v>
      </c>
      <c r="G5" s="61">
        <v>0</v>
      </c>
      <c r="H5" s="61">
        <v>0</v>
      </c>
      <c r="I5" s="57"/>
      <c r="J5" s="61"/>
      <c r="K5" s="57"/>
      <c r="L5" s="61"/>
      <c r="M5" s="22" t="s">
        <v>24</v>
      </c>
      <c r="N5" s="25" t="s">
        <v>31</v>
      </c>
      <c r="O5" s="53">
        <v>45893</v>
      </c>
      <c r="P5" s="63">
        <v>3234</v>
      </c>
    </row>
    <row r="6" spans="1:21" ht="15" customHeight="1" x14ac:dyDescent="0.3">
      <c r="A6" s="65">
        <v>3235</v>
      </c>
      <c r="B6" s="53">
        <v>45932</v>
      </c>
      <c r="C6" s="8"/>
      <c r="D6" s="61">
        <v>2</v>
      </c>
      <c r="E6" s="61">
        <v>6</v>
      </c>
      <c r="F6" s="61">
        <v>6</v>
      </c>
      <c r="G6" s="61">
        <v>0</v>
      </c>
      <c r="H6" s="61">
        <v>0</v>
      </c>
      <c r="I6" s="57"/>
      <c r="J6" s="61"/>
      <c r="K6" s="57"/>
      <c r="L6" s="61"/>
      <c r="M6" s="22" t="s">
        <v>24</v>
      </c>
      <c r="N6" s="25" t="s">
        <v>14</v>
      </c>
      <c r="O6" s="53">
        <v>45932</v>
      </c>
      <c r="P6" s="63">
        <v>3235</v>
      </c>
    </row>
    <row r="7" spans="1:21" ht="15" customHeight="1" x14ac:dyDescent="0.3">
      <c r="A7" s="65">
        <v>3236</v>
      </c>
      <c r="B7" s="53"/>
      <c r="C7" s="8"/>
      <c r="D7" s="61"/>
      <c r="E7" s="61"/>
      <c r="F7" s="61"/>
      <c r="G7" s="61"/>
      <c r="H7" s="61"/>
      <c r="I7" s="57"/>
      <c r="J7" s="61"/>
      <c r="K7" s="57"/>
      <c r="L7" s="61"/>
      <c r="M7" s="22"/>
      <c r="N7" s="25"/>
      <c r="O7" s="53"/>
      <c r="P7" s="63"/>
    </row>
    <row r="8" spans="1:21" ht="15" customHeight="1" x14ac:dyDescent="0.3">
      <c r="A8" s="65">
        <v>3237</v>
      </c>
      <c r="B8" s="53">
        <v>45880</v>
      </c>
      <c r="C8" s="8"/>
      <c r="D8" s="61">
        <v>2</v>
      </c>
      <c r="E8" s="61">
        <v>23</v>
      </c>
      <c r="F8" s="61">
        <v>23</v>
      </c>
      <c r="G8" s="61">
        <v>0</v>
      </c>
      <c r="H8" s="61">
        <v>0</v>
      </c>
      <c r="I8" s="57"/>
      <c r="J8" s="61"/>
      <c r="K8" s="57"/>
      <c r="L8" s="61"/>
      <c r="M8" s="22" t="s">
        <v>29</v>
      </c>
      <c r="N8" s="25" t="s">
        <v>14</v>
      </c>
      <c r="O8" s="53">
        <v>45880</v>
      </c>
      <c r="P8" s="63">
        <v>3237</v>
      </c>
    </row>
    <row r="9" spans="1:21" ht="15" customHeight="1" x14ac:dyDescent="0.3">
      <c r="A9" s="65">
        <v>3238</v>
      </c>
      <c r="B9" s="53">
        <v>45853</v>
      </c>
      <c r="C9" s="8"/>
      <c r="D9" s="61">
        <v>2</v>
      </c>
      <c r="E9" s="61">
        <v>23</v>
      </c>
      <c r="F9" s="61">
        <v>23</v>
      </c>
      <c r="G9" s="61">
        <v>0</v>
      </c>
      <c r="H9" s="61">
        <v>0</v>
      </c>
      <c r="I9" s="57"/>
      <c r="J9" s="61"/>
      <c r="K9" s="57"/>
      <c r="L9" s="61"/>
      <c r="M9" s="22" t="s">
        <v>24</v>
      </c>
      <c r="N9" s="25" t="s">
        <v>14</v>
      </c>
      <c r="O9" s="53">
        <v>45853</v>
      </c>
      <c r="P9" s="63">
        <v>3238</v>
      </c>
    </row>
    <row r="10" spans="1:21" ht="15" customHeight="1" x14ac:dyDescent="0.3">
      <c r="A10" s="65">
        <v>3239</v>
      </c>
      <c r="B10" s="53"/>
      <c r="C10" s="8"/>
      <c r="D10" s="61"/>
      <c r="E10" s="61"/>
      <c r="F10" s="61"/>
      <c r="G10" s="61"/>
      <c r="H10" s="61"/>
      <c r="I10" s="57"/>
      <c r="J10" s="61"/>
      <c r="K10" s="57"/>
      <c r="L10" s="61"/>
      <c r="M10" s="22"/>
      <c r="N10" s="25"/>
      <c r="O10" s="53"/>
      <c r="P10" s="63"/>
    </row>
    <row r="11" spans="1:21" ht="15" customHeight="1" x14ac:dyDescent="0.3">
      <c r="A11" s="65">
        <v>3240</v>
      </c>
      <c r="B11" s="53">
        <v>45862</v>
      </c>
      <c r="C11" s="8"/>
      <c r="D11" s="61">
        <v>1</v>
      </c>
      <c r="E11" s="61">
        <v>8</v>
      </c>
      <c r="F11" s="61">
        <v>8</v>
      </c>
      <c r="G11" s="61">
        <v>0</v>
      </c>
      <c r="H11" s="61">
        <v>0</v>
      </c>
      <c r="I11" s="57"/>
      <c r="J11" s="61"/>
      <c r="K11" s="57"/>
      <c r="L11" s="61"/>
      <c r="M11" s="22" t="s">
        <v>24</v>
      </c>
      <c r="N11" s="25" t="s">
        <v>14</v>
      </c>
      <c r="O11" s="53">
        <v>45862</v>
      </c>
      <c r="P11" s="63">
        <v>3240</v>
      </c>
    </row>
    <row r="12" spans="1:21" ht="15" customHeight="1" x14ac:dyDescent="0.3">
      <c r="A12" s="65">
        <v>3241</v>
      </c>
      <c r="B12" s="53">
        <v>45860</v>
      </c>
      <c r="C12" s="8"/>
      <c r="D12" s="61">
        <v>4</v>
      </c>
      <c r="E12" s="61">
        <v>39</v>
      </c>
      <c r="F12" s="61">
        <v>39</v>
      </c>
      <c r="G12" s="61">
        <v>0</v>
      </c>
      <c r="H12" s="61">
        <v>0</v>
      </c>
      <c r="I12" s="57"/>
      <c r="J12" s="61"/>
      <c r="K12" s="57"/>
      <c r="L12" s="61"/>
      <c r="M12" s="22" t="s">
        <v>24</v>
      </c>
      <c r="N12" s="25" t="s">
        <v>14</v>
      </c>
      <c r="O12" s="53">
        <v>45860</v>
      </c>
      <c r="P12" s="63">
        <v>3241</v>
      </c>
    </row>
    <row r="13" spans="1:21" ht="15" customHeight="1" x14ac:dyDescent="0.3">
      <c r="A13" s="65">
        <v>3242</v>
      </c>
      <c r="B13" s="53">
        <v>45884</v>
      </c>
      <c r="C13" s="8"/>
      <c r="D13" s="61">
        <v>3</v>
      </c>
      <c r="E13" s="61">
        <v>20</v>
      </c>
      <c r="F13" s="61">
        <v>20</v>
      </c>
      <c r="G13" s="61">
        <v>0</v>
      </c>
      <c r="H13" s="61">
        <v>0</v>
      </c>
      <c r="I13" s="57"/>
      <c r="J13" s="61"/>
      <c r="K13" s="57"/>
      <c r="L13" s="61"/>
      <c r="M13" s="22" t="s">
        <v>24</v>
      </c>
      <c r="N13" s="25" t="s">
        <v>14</v>
      </c>
      <c r="O13" s="53">
        <v>45884</v>
      </c>
      <c r="P13" s="63">
        <v>3242</v>
      </c>
    </row>
    <row r="14" spans="1:21" ht="15" customHeight="1" x14ac:dyDescent="0.3">
      <c r="A14" s="65">
        <v>3243</v>
      </c>
      <c r="B14" s="53">
        <v>45856</v>
      </c>
      <c r="C14" s="8"/>
      <c r="D14" s="61">
        <v>3</v>
      </c>
      <c r="E14" s="61">
        <v>20</v>
      </c>
      <c r="F14" s="61">
        <v>20</v>
      </c>
      <c r="G14" s="61">
        <v>0</v>
      </c>
      <c r="H14" s="61">
        <v>0</v>
      </c>
      <c r="I14" s="57"/>
      <c r="J14" s="61"/>
      <c r="K14" s="57"/>
      <c r="L14" s="61"/>
      <c r="M14" s="22" t="s">
        <v>24</v>
      </c>
      <c r="N14" s="25" t="s">
        <v>14</v>
      </c>
      <c r="O14" s="53">
        <v>45856</v>
      </c>
      <c r="P14" s="63">
        <v>3243</v>
      </c>
    </row>
    <row r="15" spans="1:21" ht="15" customHeight="1" x14ac:dyDescent="0.3">
      <c r="A15" s="65">
        <v>3244</v>
      </c>
      <c r="B15" s="53">
        <v>45881</v>
      </c>
      <c r="C15" s="8"/>
      <c r="D15" s="61">
        <v>2</v>
      </c>
      <c r="E15" s="61">
        <v>18</v>
      </c>
      <c r="F15" s="61">
        <v>18</v>
      </c>
      <c r="G15" s="61">
        <v>0</v>
      </c>
      <c r="H15" s="61">
        <v>0</v>
      </c>
      <c r="I15" s="57"/>
      <c r="J15" s="61"/>
      <c r="K15" s="57"/>
      <c r="L15" s="61"/>
      <c r="M15" s="22" t="s">
        <v>24</v>
      </c>
      <c r="N15" s="25" t="s">
        <v>14</v>
      </c>
      <c r="O15" s="53">
        <v>45881</v>
      </c>
      <c r="P15" s="63">
        <v>3244</v>
      </c>
    </row>
    <row r="16" spans="1:21" ht="15" customHeight="1" x14ac:dyDescent="0.3">
      <c r="A16" s="67">
        <v>3245</v>
      </c>
      <c r="B16" s="53"/>
      <c r="C16" s="8"/>
      <c r="D16" s="61"/>
      <c r="E16" s="61"/>
      <c r="F16" s="61"/>
      <c r="G16" s="61"/>
      <c r="H16" s="61"/>
      <c r="I16" s="57"/>
      <c r="J16" s="61"/>
      <c r="K16" s="57"/>
      <c r="L16" s="61"/>
      <c r="M16" s="22"/>
      <c r="N16" s="25"/>
      <c r="O16" s="53"/>
      <c r="P16" s="63"/>
    </row>
    <row r="17" spans="1:16" ht="15" customHeight="1" x14ac:dyDescent="0.3">
      <c r="A17" s="65">
        <v>3246</v>
      </c>
      <c r="B17" s="53">
        <v>45895</v>
      </c>
      <c r="C17" s="8"/>
      <c r="D17" s="61">
        <v>1</v>
      </c>
      <c r="E17" s="61">
        <v>5</v>
      </c>
      <c r="F17" s="61">
        <v>5</v>
      </c>
      <c r="G17" s="61">
        <v>0</v>
      </c>
      <c r="H17" s="61">
        <v>0</v>
      </c>
      <c r="I17" s="57"/>
      <c r="J17" s="61"/>
      <c r="K17" s="57"/>
      <c r="L17" s="61"/>
      <c r="M17" s="22" t="s">
        <v>24</v>
      </c>
      <c r="N17" s="25" t="s">
        <v>31</v>
      </c>
      <c r="O17" s="53">
        <v>45895</v>
      </c>
      <c r="P17" s="63">
        <v>3246</v>
      </c>
    </row>
    <row r="18" spans="1:16" ht="15" customHeight="1" x14ac:dyDescent="0.3">
      <c r="A18" s="67">
        <v>3247</v>
      </c>
      <c r="B18" s="53"/>
      <c r="C18" s="8"/>
      <c r="D18" s="61"/>
      <c r="E18" s="61"/>
      <c r="F18" s="61"/>
      <c r="G18" s="61"/>
      <c r="H18" s="61"/>
      <c r="I18" s="57"/>
      <c r="J18" s="61"/>
      <c r="K18" s="57"/>
      <c r="L18" s="61"/>
      <c r="M18" s="22"/>
      <c r="N18" s="25"/>
      <c r="O18" s="53"/>
      <c r="P18" s="63"/>
    </row>
    <row r="19" spans="1:16" ht="15" customHeight="1" x14ac:dyDescent="0.3">
      <c r="A19" s="65">
        <v>3248</v>
      </c>
      <c r="B19" s="53">
        <v>45887</v>
      </c>
      <c r="C19" s="8"/>
      <c r="D19" s="61">
        <v>1</v>
      </c>
      <c r="E19" s="61">
        <v>1</v>
      </c>
      <c r="F19" s="61">
        <v>1</v>
      </c>
      <c r="G19" s="61">
        <v>0</v>
      </c>
      <c r="H19" s="61">
        <v>0</v>
      </c>
      <c r="I19" s="57"/>
      <c r="J19" s="61"/>
      <c r="K19" s="57"/>
      <c r="L19" s="61"/>
      <c r="M19" s="22" t="s">
        <v>24</v>
      </c>
      <c r="N19" s="25" t="s">
        <v>30</v>
      </c>
      <c r="O19" s="53">
        <v>45887</v>
      </c>
      <c r="P19" s="63">
        <v>3248</v>
      </c>
    </row>
    <row r="20" spans="1:16" ht="15" customHeight="1" x14ac:dyDescent="0.3">
      <c r="A20" s="65">
        <v>3250</v>
      </c>
      <c r="B20" s="53"/>
      <c r="C20" s="8"/>
      <c r="D20" s="61"/>
      <c r="E20" s="61"/>
      <c r="F20" s="61"/>
      <c r="G20" s="61"/>
      <c r="H20" s="61"/>
      <c r="I20" s="57"/>
      <c r="J20" s="61"/>
      <c r="K20" s="57"/>
      <c r="L20" s="61"/>
      <c r="M20" s="22"/>
      <c r="N20" s="25"/>
      <c r="O20" s="53"/>
      <c r="P20" s="63"/>
    </row>
    <row r="21" spans="1:16" ht="15" customHeight="1" x14ac:dyDescent="0.3">
      <c r="A21" s="65">
        <v>3251</v>
      </c>
      <c r="B21" s="53"/>
      <c r="C21" s="8"/>
      <c r="D21" s="61"/>
      <c r="E21" s="61"/>
      <c r="F21" s="61"/>
      <c r="G21" s="61"/>
      <c r="H21" s="61"/>
      <c r="I21" s="57"/>
      <c r="J21" s="61"/>
      <c r="K21" s="57"/>
      <c r="L21" s="61"/>
      <c r="M21" s="22"/>
      <c r="N21" s="25"/>
      <c r="O21" s="53"/>
      <c r="P21" s="63"/>
    </row>
    <row r="22" spans="1:16" ht="15" customHeight="1" x14ac:dyDescent="0.3">
      <c r="A22" s="68">
        <v>3252</v>
      </c>
      <c r="B22" s="53">
        <v>45930</v>
      </c>
      <c r="C22" s="8"/>
      <c r="D22" s="61">
        <v>1</v>
      </c>
      <c r="E22" s="61">
        <v>5</v>
      </c>
      <c r="F22" s="61">
        <v>5</v>
      </c>
      <c r="G22" s="61">
        <v>0</v>
      </c>
      <c r="H22" s="61">
        <v>0</v>
      </c>
      <c r="I22" s="57"/>
      <c r="J22" s="61"/>
      <c r="K22" s="57"/>
      <c r="L22" s="61"/>
      <c r="M22" s="22" t="s">
        <v>24</v>
      </c>
      <c r="N22" s="25" t="s">
        <v>14</v>
      </c>
      <c r="O22" s="53">
        <v>45930</v>
      </c>
      <c r="P22" s="63">
        <v>3252</v>
      </c>
    </row>
    <row r="23" spans="1:16" ht="15" customHeight="1" x14ac:dyDescent="0.3">
      <c r="A23" s="67">
        <v>3253</v>
      </c>
      <c r="B23" s="53"/>
      <c r="C23" s="8"/>
      <c r="D23" s="61"/>
      <c r="E23" s="61"/>
      <c r="F23" s="61"/>
      <c r="G23" s="61"/>
      <c r="H23" s="61"/>
      <c r="I23" s="57"/>
      <c r="J23" s="61"/>
      <c r="K23" s="57"/>
      <c r="L23" s="61"/>
      <c r="M23" s="22"/>
      <c r="N23" s="25"/>
      <c r="O23" s="53"/>
      <c r="P23" s="63"/>
    </row>
    <row r="24" spans="1:16" ht="15" customHeight="1" x14ac:dyDescent="0.3">
      <c r="A24" s="65">
        <v>3254</v>
      </c>
      <c r="B24" s="53"/>
      <c r="C24" s="8"/>
      <c r="D24" s="61"/>
      <c r="E24" s="61"/>
      <c r="F24" s="61"/>
      <c r="G24" s="61"/>
      <c r="H24" s="61"/>
      <c r="I24" s="57"/>
      <c r="J24" s="61"/>
      <c r="K24" s="57"/>
      <c r="L24" s="61"/>
      <c r="M24" s="22"/>
      <c r="N24" s="25"/>
      <c r="O24" s="53"/>
      <c r="P24" s="63"/>
    </row>
    <row r="25" spans="1:16" ht="15" customHeight="1" x14ac:dyDescent="0.3">
      <c r="A25" s="65">
        <v>3255</v>
      </c>
      <c r="B25" s="53"/>
      <c r="C25" s="8"/>
      <c r="D25" s="61"/>
      <c r="E25" s="61"/>
      <c r="F25" s="61"/>
      <c r="G25" s="61"/>
      <c r="H25" s="61"/>
      <c r="I25" s="57"/>
      <c r="J25" s="61"/>
      <c r="K25" s="57"/>
      <c r="L25" s="61"/>
      <c r="M25" s="22"/>
      <c r="N25" s="25"/>
      <c r="O25" s="53"/>
      <c r="P25" s="63"/>
    </row>
    <row r="26" spans="1:16" ht="15" customHeight="1" x14ac:dyDescent="0.3">
      <c r="A26" s="65">
        <v>3256</v>
      </c>
      <c r="B26" s="53"/>
      <c r="C26" s="8"/>
      <c r="D26" s="61"/>
      <c r="E26" s="61"/>
      <c r="F26" s="61"/>
      <c r="G26" s="61"/>
      <c r="H26" s="61"/>
      <c r="I26" s="57"/>
      <c r="J26" s="61"/>
      <c r="K26" s="57"/>
      <c r="L26" s="61"/>
      <c r="M26" s="22"/>
      <c r="N26" s="25"/>
      <c r="O26" s="53"/>
      <c r="P26" s="63"/>
    </row>
    <row r="27" spans="1:16" ht="15" customHeight="1" x14ac:dyDescent="0.3">
      <c r="A27" s="65">
        <v>3258</v>
      </c>
      <c r="B27" s="53">
        <v>45858</v>
      </c>
      <c r="C27" s="8"/>
      <c r="D27" s="61">
        <v>1</v>
      </c>
      <c r="E27" s="61">
        <v>12</v>
      </c>
      <c r="F27" s="61">
        <v>12</v>
      </c>
      <c r="G27" s="61">
        <v>0</v>
      </c>
      <c r="H27" s="61">
        <v>0</v>
      </c>
      <c r="I27" s="57"/>
      <c r="J27" s="61"/>
      <c r="K27" s="57"/>
      <c r="L27" s="61"/>
      <c r="M27" s="22" t="s">
        <v>24</v>
      </c>
      <c r="N27" s="25" t="s">
        <v>14</v>
      </c>
      <c r="O27" s="53">
        <v>45858</v>
      </c>
      <c r="P27" s="63">
        <v>3258</v>
      </c>
    </row>
    <row r="28" spans="1:16" ht="15" customHeight="1" x14ac:dyDescent="0.3">
      <c r="A28" s="65">
        <v>3259</v>
      </c>
      <c r="B28" s="53"/>
      <c r="C28" s="8"/>
      <c r="D28" s="61"/>
      <c r="E28" s="61"/>
      <c r="F28" s="61"/>
      <c r="G28" s="61"/>
      <c r="H28" s="61"/>
      <c r="I28" s="57"/>
      <c r="J28" s="61"/>
      <c r="K28" s="57"/>
      <c r="L28" s="61"/>
      <c r="M28" s="22"/>
      <c r="N28" s="25"/>
      <c r="O28" s="53"/>
      <c r="P28" s="63"/>
    </row>
    <row r="29" spans="1:16" ht="15" customHeight="1" x14ac:dyDescent="0.3">
      <c r="A29" s="67">
        <v>3260</v>
      </c>
      <c r="B29" s="53"/>
      <c r="C29" s="8"/>
      <c r="D29" s="61"/>
      <c r="E29" s="61"/>
      <c r="F29" s="61"/>
      <c r="G29" s="61"/>
      <c r="H29" s="61"/>
      <c r="I29" s="57"/>
      <c r="J29" s="61"/>
      <c r="K29" s="57"/>
      <c r="L29" s="61"/>
      <c r="M29" s="22"/>
      <c r="N29" s="25"/>
      <c r="O29" s="53"/>
      <c r="P29" s="63"/>
    </row>
    <row r="30" spans="1:16" ht="15" customHeight="1" x14ac:dyDescent="0.3">
      <c r="A30" s="65">
        <v>3261</v>
      </c>
      <c r="B30" s="53">
        <v>45869</v>
      </c>
      <c r="C30" s="8"/>
      <c r="D30" s="61">
        <v>1</v>
      </c>
      <c r="E30" s="61">
        <v>4</v>
      </c>
      <c r="F30" s="61">
        <v>4</v>
      </c>
      <c r="G30" s="61">
        <v>0</v>
      </c>
      <c r="H30" s="61">
        <v>0</v>
      </c>
      <c r="I30" s="57"/>
      <c r="J30" s="61"/>
      <c r="K30" s="57"/>
      <c r="L30" s="61"/>
      <c r="M30" s="22" t="s">
        <v>24</v>
      </c>
      <c r="N30" s="25" t="s">
        <v>14</v>
      </c>
      <c r="O30" s="53">
        <v>45869</v>
      </c>
      <c r="P30" s="63"/>
    </row>
    <row r="31" spans="1:16" ht="15" customHeight="1" x14ac:dyDescent="0.3">
      <c r="A31" s="65">
        <v>3262</v>
      </c>
      <c r="B31" s="53">
        <v>45857</v>
      </c>
      <c r="C31" s="8"/>
      <c r="D31" s="61">
        <v>3</v>
      </c>
      <c r="E31" s="61">
        <v>14</v>
      </c>
      <c r="F31" s="61">
        <v>9</v>
      </c>
      <c r="G31" s="61">
        <v>5</v>
      </c>
      <c r="H31" s="61">
        <v>0</v>
      </c>
      <c r="I31" s="57"/>
      <c r="J31" s="61"/>
      <c r="K31" s="57"/>
      <c r="L31" s="61"/>
      <c r="M31" s="22" t="s">
        <v>24</v>
      </c>
      <c r="N31" s="25" t="s">
        <v>14</v>
      </c>
      <c r="O31" s="53">
        <v>45857</v>
      </c>
      <c r="P31" s="63">
        <v>3262</v>
      </c>
    </row>
    <row r="32" spans="1:16" ht="15" customHeight="1" x14ac:dyDescent="0.3">
      <c r="A32" s="65">
        <v>3263</v>
      </c>
      <c r="B32" s="53">
        <v>45875</v>
      </c>
      <c r="C32" s="8"/>
      <c r="D32" s="61">
        <v>1</v>
      </c>
      <c r="E32" s="61">
        <v>17</v>
      </c>
      <c r="F32" s="61">
        <v>17</v>
      </c>
      <c r="G32" s="61">
        <v>0</v>
      </c>
      <c r="H32" s="61">
        <v>0</v>
      </c>
      <c r="I32" s="57"/>
      <c r="J32" s="61"/>
      <c r="K32" s="57"/>
      <c r="L32" s="61"/>
      <c r="M32" s="22" t="s">
        <v>24</v>
      </c>
      <c r="N32" s="25" t="s">
        <v>14</v>
      </c>
      <c r="O32" s="53">
        <v>45875</v>
      </c>
      <c r="P32" s="63">
        <v>3263</v>
      </c>
    </row>
    <row r="33" spans="1:16" ht="15" customHeight="1" x14ac:dyDescent="0.3">
      <c r="A33" s="65">
        <v>3264</v>
      </c>
      <c r="B33" s="53">
        <v>45875</v>
      </c>
      <c r="C33" s="8"/>
      <c r="D33" s="61">
        <v>2</v>
      </c>
      <c r="E33" s="61">
        <v>15</v>
      </c>
      <c r="F33" s="61">
        <v>15</v>
      </c>
      <c r="G33" s="61">
        <v>0</v>
      </c>
      <c r="H33" s="61">
        <v>0</v>
      </c>
      <c r="I33" s="57"/>
      <c r="J33" s="61"/>
      <c r="K33" s="57"/>
      <c r="L33" s="61"/>
      <c r="M33" s="22" t="s">
        <v>24</v>
      </c>
      <c r="N33" s="25" t="s">
        <v>14</v>
      </c>
      <c r="O33" s="53">
        <v>45875</v>
      </c>
      <c r="P33" s="63">
        <v>3264</v>
      </c>
    </row>
    <row r="34" spans="1:16" ht="15" customHeight="1" x14ac:dyDescent="0.3">
      <c r="A34" s="65">
        <v>3265</v>
      </c>
      <c r="B34" s="53">
        <v>45872</v>
      </c>
      <c r="C34" s="8"/>
      <c r="D34" s="61">
        <v>3</v>
      </c>
      <c r="E34" s="61">
        <v>13</v>
      </c>
      <c r="F34" s="61">
        <v>13</v>
      </c>
      <c r="G34" s="61">
        <v>0</v>
      </c>
      <c r="H34" s="61">
        <v>0</v>
      </c>
      <c r="I34" s="57"/>
      <c r="J34" s="61"/>
      <c r="K34" s="57"/>
      <c r="L34" s="61"/>
      <c r="M34" s="22" t="s">
        <v>24</v>
      </c>
      <c r="N34" s="25" t="s">
        <v>14</v>
      </c>
      <c r="O34" s="53">
        <v>45872</v>
      </c>
      <c r="P34" s="63">
        <v>3265</v>
      </c>
    </row>
    <row r="35" spans="1:16" ht="15" customHeight="1" x14ac:dyDescent="0.3">
      <c r="A35" s="65">
        <v>3266</v>
      </c>
      <c r="B35" s="53">
        <v>45859</v>
      </c>
      <c r="C35" s="8"/>
      <c r="D35" s="61">
        <v>2</v>
      </c>
      <c r="E35" s="61">
        <v>24</v>
      </c>
      <c r="F35" s="61">
        <v>24</v>
      </c>
      <c r="G35" s="61">
        <v>0</v>
      </c>
      <c r="H35" s="61">
        <v>0</v>
      </c>
      <c r="I35" s="57"/>
      <c r="J35" s="61"/>
      <c r="K35" s="57"/>
      <c r="L35" s="61"/>
      <c r="M35" s="22" t="s">
        <v>24</v>
      </c>
      <c r="N35" s="25" t="s">
        <v>14</v>
      </c>
      <c r="O35" s="53">
        <v>45859</v>
      </c>
      <c r="P35" s="63">
        <v>3266</v>
      </c>
    </row>
    <row r="36" spans="1:16" ht="15" customHeight="1" x14ac:dyDescent="0.3">
      <c r="A36" s="67">
        <v>3267</v>
      </c>
      <c r="B36" s="53"/>
      <c r="C36" s="8"/>
      <c r="D36" s="61"/>
      <c r="E36" s="61"/>
      <c r="F36" s="61"/>
      <c r="G36" s="61"/>
      <c r="H36" s="61"/>
      <c r="I36" s="57"/>
      <c r="J36" s="61"/>
      <c r="K36" s="57"/>
      <c r="L36" s="61"/>
      <c r="M36" s="22"/>
      <c r="N36" s="25"/>
      <c r="O36" s="53"/>
      <c r="P36" s="63"/>
    </row>
    <row r="37" spans="1:16" ht="15" customHeight="1" x14ac:dyDescent="0.3">
      <c r="A37" s="65">
        <v>3299</v>
      </c>
      <c r="B37" s="53">
        <v>45887</v>
      </c>
      <c r="C37" s="8"/>
      <c r="D37" s="61">
        <v>2</v>
      </c>
      <c r="E37" s="61">
        <v>14</v>
      </c>
      <c r="F37" s="61">
        <v>14</v>
      </c>
      <c r="G37" s="61">
        <v>0</v>
      </c>
      <c r="H37" s="61">
        <v>0</v>
      </c>
      <c r="I37" s="57"/>
      <c r="J37" s="61"/>
      <c r="K37" s="57"/>
      <c r="L37" s="61"/>
      <c r="M37" s="22" t="s">
        <v>24</v>
      </c>
      <c r="N37" s="25" t="s">
        <v>30</v>
      </c>
      <c r="O37" s="53">
        <v>45887</v>
      </c>
      <c r="P37" s="63">
        <v>3299</v>
      </c>
    </row>
    <row r="38" spans="1:16" ht="15" customHeight="1" x14ac:dyDescent="0.3">
      <c r="A38" s="65">
        <v>3531</v>
      </c>
      <c r="B38" s="53">
        <v>45863</v>
      </c>
      <c r="C38" s="8"/>
      <c r="D38" s="61">
        <v>3</v>
      </c>
      <c r="E38" s="61">
        <v>115</v>
      </c>
      <c r="F38" s="61">
        <v>115</v>
      </c>
      <c r="G38" s="61">
        <v>0</v>
      </c>
      <c r="H38" s="61">
        <v>0</v>
      </c>
      <c r="I38" s="57"/>
      <c r="J38" s="61"/>
      <c r="K38" s="57"/>
      <c r="L38" s="61"/>
      <c r="M38" s="22" t="s">
        <v>24</v>
      </c>
      <c r="N38" s="25" t="s">
        <v>14</v>
      </c>
      <c r="O38" s="53">
        <v>45863</v>
      </c>
      <c r="P38" s="63">
        <v>3531</v>
      </c>
    </row>
    <row r="39" spans="1:16" ht="15" customHeight="1" x14ac:dyDescent="0.3">
      <c r="A39" s="67">
        <v>3532</v>
      </c>
      <c r="B39" s="53"/>
      <c r="C39" s="8"/>
      <c r="D39" s="61"/>
      <c r="E39" s="61"/>
      <c r="F39" s="61"/>
      <c r="G39" s="61"/>
      <c r="H39" s="61"/>
      <c r="I39" s="57"/>
      <c r="J39" s="61"/>
      <c r="K39" s="57"/>
      <c r="L39" s="61"/>
      <c r="M39" s="22"/>
      <c r="N39" s="25"/>
      <c r="O39" s="53"/>
      <c r="P39" s="63"/>
    </row>
    <row r="40" spans="1:16" ht="15" customHeight="1" x14ac:dyDescent="0.3">
      <c r="A40" s="67">
        <v>3533</v>
      </c>
      <c r="B40" s="53"/>
      <c r="C40" s="8"/>
      <c r="D40" s="61"/>
      <c r="E40" s="61"/>
      <c r="F40" s="61"/>
      <c r="G40" s="61"/>
      <c r="H40" s="61"/>
      <c r="I40" s="57"/>
      <c r="J40" s="61"/>
      <c r="K40" s="57"/>
      <c r="L40" s="61"/>
      <c r="M40" s="22"/>
      <c r="N40" s="25"/>
      <c r="O40" s="53"/>
      <c r="P40" s="63"/>
    </row>
    <row r="41" spans="1:16" ht="15" customHeight="1" x14ac:dyDescent="0.3">
      <c r="A41" s="65">
        <v>3534</v>
      </c>
      <c r="B41" s="53"/>
      <c r="C41" s="8"/>
      <c r="D41" s="61"/>
      <c r="E41" s="61"/>
      <c r="F41" s="61"/>
      <c r="G41" s="61"/>
      <c r="H41" s="61"/>
      <c r="I41" s="57"/>
      <c r="J41" s="61"/>
      <c r="K41" s="57"/>
      <c r="L41" s="61"/>
      <c r="M41" s="22"/>
      <c r="N41" s="25"/>
      <c r="O41" s="53"/>
      <c r="P41" s="63"/>
    </row>
    <row r="42" spans="1:16" ht="15" customHeight="1" x14ac:dyDescent="0.3">
      <c r="A42" s="65">
        <v>3535</v>
      </c>
      <c r="B42" s="53">
        <v>45890</v>
      </c>
      <c r="C42" s="8"/>
      <c r="D42" s="61">
        <v>2</v>
      </c>
      <c r="E42" s="61">
        <v>6</v>
      </c>
      <c r="F42" s="61">
        <v>6</v>
      </c>
      <c r="G42" s="61">
        <v>0</v>
      </c>
      <c r="H42" s="61">
        <v>0</v>
      </c>
      <c r="I42" s="57"/>
      <c r="J42" s="61"/>
      <c r="K42" s="57"/>
      <c r="L42" s="61"/>
      <c r="M42" s="22" t="s">
        <v>24</v>
      </c>
      <c r="N42" s="25" t="s">
        <v>31</v>
      </c>
      <c r="O42" s="53">
        <v>45890</v>
      </c>
      <c r="P42" s="63">
        <v>3535</v>
      </c>
    </row>
    <row r="43" spans="1:16" ht="15" customHeight="1" x14ac:dyDescent="0.3">
      <c r="A43" s="65">
        <v>3536</v>
      </c>
      <c r="B43" s="53">
        <v>45942</v>
      </c>
      <c r="C43" s="8"/>
      <c r="D43" s="61">
        <v>2</v>
      </c>
      <c r="E43" s="61">
        <v>9</v>
      </c>
      <c r="F43" s="61">
        <v>9</v>
      </c>
      <c r="G43" s="61">
        <v>0</v>
      </c>
      <c r="H43" s="61">
        <v>0</v>
      </c>
      <c r="I43" s="57"/>
      <c r="J43" s="61"/>
      <c r="K43" s="57"/>
      <c r="L43" s="61"/>
      <c r="M43" s="22" t="s">
        <v>24</v>
      </c>
      <c r="N43" s="25" t="s">
        <v>14</v>
      </c>
      <c r="O43" s="53">
        <v>45942</v>
      </c>
      <c r="P43" s="63">
        <v>3536</v>
      </c>
    </row>
    <row r="44" spans="1:16" ht="15" customHeight="1" x14ac:dyDescent="0.3">
      <c r="A44" s="65">
        <v>3537</v>
      </c>
      <c r="B44" s="53">
        <v>45858</v>
      </c>
      <c r="C44" s="8"/>
      <c r="D44" s="61">
        <v>1</v>
      </c>
      <c r="E44" s="61">
        <v>9</v>
      </c>
      <c r="F44" s="61">
        <v>9</v>
      </c>
      <c r="G44" s="61">
        <v>0</v>
      </c>
      <c r="H44" s="61">
        <v>0</v>
      </c>
      <c r="I44" s="57"/>
      <c r="J44" s="61"/>
      <c r="K44" s="57"/>
      <c r="L44" s="61"/>
      <c r="M44" s="22" t="s">
        <v>24</v>
      </c>
      <c r="N44" s="25" t="s">
        <v>14</v>
      </c>
      <c r="O44" s="53">
        <v>45858</v>
      </c>
      <c r="P44" s="63">
        <v>3537</v>
      </c>
    </row>
    <row r="45" spans="1:16" ht="15" customHeight="1" x14ac:dyDescent="0.3">
      <c r="A45" s="65">
        <v>3538</v>
      </c>
      <c r="B45" s="53">
        <v>45883</v>
      </c>
      <c r="C45" s="8"/>
      <c r="D45" s="61">
        <v>3</v>
      </c>
      <c r="E45" s="61">
        <v>28</v>
      </c>
      <c r="F45" s="61">
        <v>28</v>
      </c>
      <c r="G45" s="61">
        <v>0</v>
      </c>
      <c r="H45" s="61">
        <v>0</v>
      </c>
      <c r="I45" s="57"/>
      <c r="J45" s="61"/>
      <c r="K45" s="57"/>
      <c r="L45" s="61"/>
      <c r="M45" s="22" t="s">
        <v>24</v>
      </c>
      <c r="N45" s="25" t="s">
        <v>14</v>
      </c>
      <c r="O45" s="53">
        <v>45883</v>
      </c>
      <c r="P45" s="63">
        <v>3538</v>
      </c>
    </row>
    <row r="46" spans="1:16" ht="15" customHeight="1" x14ac:dyDescent="0.3">
      <c r="A46" s="70">
        <v>3540</v>
      </c>
      <c r="B46" s="53"/>
      <c r="C46" s="8"/>
      <c r="D46" s="61"/>
      <c r="E46" s="61"/>
      <c r="F46" s="61"/>
      <c r="G46" s="61"/>
      <c r="H46" s="61"/>
      <c r="I46" s="57"/>
      <c r="J46" s="61"/>
      <c r="K46" s="57"/>
      <c r="L46" s="61"/>
      <c r="M46" s="22"/>
      <c r="N46" s="25"/>
      <c r="O46" s="53"/>
      <c r="P46" s="63"/>
    </row>
    <row r="47" spans="1:16" ht="15" customHeight="1" x14ac:dyDescent="0.3">
      <c r="A47" s="65">
        <v>3541</v>
      </c>
      <c r="B47" s="53">
        <v>45879</v>
      </c>
      <c r="C47" s="8"/>
      <c r="D47" s="61">
        <v>1</v>
      </c>
      <c r="E47" s="61">
        <v>19</v>
      </c>
      <c r="F47" s="61">
        <v>19</v>
      </c>
      <c r="G47" s="61">
        <v>0</v>
      </c>
      <c r="H47" s="61">
        <v>0</v>
      </c>
      <c r="I47" s="57"/>
      <c r="J47" s="61"/>
      <c r="K47" s="57"/>
      <c r="L47" s="61"/>
      <c r="M47" s="22" t="s">
        <v>29</v>
      </c>
      <c r="N47" s="25" t="s">
        <v>14</v>
      </c>
      <c r="O47" s="53">
        <v>45879</v>
      </c>
      <c r="P47" s="63">
        <v>3541</v>
      </c>
    </row>
    <row r="48" spans="1:16" ht="15" customHeight="1" x14ac:dyDescent="0.3">
      <c r="A48" s="65">
        <v>3542</v>
      </c>
      <c r="B48" s="53">
        <v>45834</v>
      </c>
      <c r="C48" s="8"/>
      <c r="D48" s="61">
        <v>3</v>
      </c>
      <c r="E48" s="61">
        <v>193</v>
      </c>
      <c r="F48" s="61">
        <v>193</v>
      </c>
      <c r="G48" s="61">
        <v>0</v>
      </c>
      <c r="H48" s="61">
        <v>0</v>
      </c>
      <c r="I48" s="57"/>
      <c r="J48" s="61"/>
      <c r="K48" s="57"/>
      <c r="L48" s="61"/>
      <c r="M48" s="22" t="s">
        <v>24</v>
      </c>
      <c r="N48" s="25" t="s">
        <v>14</v>
      </c>
      <c r="O48" s="53">
        <v>45834</v>
      </c>
      <c r="P48" s="63">
        <v>3542</v>
      </c>
    </row>
    <row r="49" spans="1:16" ht="15" customHeight="1" x14ac:dyDescent="0.3">
      <c r="A49" s="67">
        <v>3543</v>
      </c>
      <c r="B49" s="53"/>
      <c r="C49" s="8"/>
      <c r="D49" s="61"/>
      <c r="E49" s="61"/>
      <c r="F49" s="61"/>
      <c r="G49" s="61"/>
      <c r="H49" s="61"/>
      <c r="I49" s="57"/>
      <c r="J49" s="61"/>
      <c r="K49" s="57"/>
      <c r="L49" s="61"/>
      <c r="M49" s="22"/>
      <c r="N49" s="25"/>
      <c r="O49" s="53"/>
      <c r="P49" s="63"/>
    </row>
    <row r="50" spans="1:16" ht="15" customHeight="1" x14ac:dyDescent="0.3">
      <c r="A50" s="67">
        <v>3544</v>
      </c>
      <c r="B50" s="53"/>
      <c r="C50" s="8"/>
      <c r="D50" s="61"/>
      <c r="E50" s="61"/>
      <c r="F50" s="61"/>
      <c r="G50" s="61"/>
      <c r="H50" s="61"/>
      <c r="I50" s="57"/>
      <c r="J50" s="61"/>
      <c r="K50" s="57"/>
      <c r="L50" s="61"/>
      <c r="M50" s="22"/>
      <c r="N50" s="25"/>
      <c r="O50" s="53"/>
      <c r="P50" s="63"/>
    </row>
    <row r="51" spans="1:16" ht="15" customHeight="1" x14ac:dyDescent="0.3">
      <c r="A51" s="65">
        <v>3545</v>
      </c>
      <c r="B51" s="53">
        <v>45872</v>
      </c>
      <c r="C51" s="8"/>
      <c r="D51" s="61">
        <v>1</v>
      </c>
      <c r="E51" s="61">
        <v>38</v>
      </c>
      <c r="F51" s="61">
        <v>38</v>
      </c>
      <c r="G51" s="61">
        <v>0</v>
      </c>
      <c r="H51" s="61">
        <v>0</v>
      </c>
      <c r="I51" s="57"/>
      <c r="J51" s="61"/>
      <c r="K51" s="57"/>
      <c r="L51" s="61"/>
      <c r="M51" s="22" t="s">
        <v>24</v>
      </c>
      <c r="N51" s="25" t="s">
        <v>14</v>
      </c>
      <c r="O51" s="53">
        <v>45872</v>
      </c>
      <c r="P51" s="63">
        <v>3545</v>
      </c>
    </row>
    <row r="52" spans="1:16" ht="15" customHeight="1" x14ac:dyDescent="0.3">
      <c r="A52" s="65">
        <v>3546</v>
      </c>
      <c r="B52" s="53"/>
      <c r="C52" s="8"/>
      <c r="D52" s="61"/>
      <c r="E52" s="61"/>
      <c r="F52" s="61"/>
      <c r="G52" s="61"/>
      <c r="H52" s="61"/>
      <c r="I52" s="57"/>
      <c r="J52" s="61"/>
      <c r="K52" s="57"/>
      <c r="L52" s="61"/>
      <c r="M52" s="22"/>
      <c r="N52" s="25"/>
      <c r="O52" s="53"/>
      <c r="P52" s="63"/>
    </row>
    <row r="53" spans="1:16" ht="15" customHeight="1" x14ac:dyDescent="0.3">
      <c r="A53" s="65">
        <v>3547</v>
      </c>
      <c r="B53" s="53">
        <v>45859</v>
      </c>
      <c r="C53" s="8"/>
      <c r="D53" s="61">
        <v>1</v>
      </c>
      <c r="E53" s="61">
        <v>16</v>
      </c>
      <c r="F53" s="61">
        <v>16</v>
      </c>
      <c r="G53" s="61">
        <v>0</v>
      </c>
      <c r="H53" s="61">
        <v>0</v>
      </c>
      <c r="I53" s="57"/>
      <c r="J53" s="61"/>
      <c r="K53" s="57"/>
      <c r="L53" s="61"/>
      <c r="M53" s="22" t="s">
        <v>24</v>
      </c>
      <c r="N53" s="25" t="s">
        <v>14</v>
      </c>
      <c r="O53" s="53">
        <v>45859</v>
      </c>
      <c r="P53" s="63">
        <v>3547</v>
      </c>
    </row>
    <row r="54" spans="1:16" ht="15" customHeight="1" x14ac:dyDescent="0.3">
      <c r="A54" s="65">
        <v>3548</v>
      </c>
      <c r="B54" s="53">
        <v>45859</v>
      </c>
      <c r="C54" s="8"/>
      <c r="D54" s="61">
        <v>2</v>
      </c>
      <c r="E54" s="61">
        <v>41</v>
      </c>
      <c r="F54" s="61">
        <v>41</v>
      </c>
      <c r="G54" s="61">
        <v>0</v>
      </c>
      <c r="H54" s="61">
        <v>0</v>
      </c>
      <c r="I54" s="57"/>
      <c r="J54" s="61"/>
      <c r="K54" s="57"/>
      <c r="L54" s="61"/>
      <c r="M54" s="22" t="s">
        <v>24</v>
      </c>
      <c r="N54" s="25" t="s">
        <v>14</v>
      </c>
      <c r="O54" s="53">
        <v>45859</v>
      </c>
      <c r="P54" s="63">
        <v>3548</v>
      </c>
    </row>
    <row r="55" spans="1:16" ht="15" customHeight="1" x14ac:dyDescent="0.3">
      <c r="A55" s="65">
        <v>3549</v>
      </c>
      <c r="B55" s="53">
        <v>45858</v>
      </c>
      <c r="C55" s="8"/>
      <c r="D55" s="61">
        <v>2</v>
      </c>
      <c r="E55" s="61">
        <v>97</v>
      </c>
      <c r="F55" s="61">
        <v>97</v>
      </c>
      <c r="G55" s="61">
        <v>0</v>
      </c>
      <c r="H55" s="61">
        <v>0</v>
      </c>
      <c r="I55" s="57"/>
      <c r="J55" s="61"/>
      <c r="K55" s="57"/>
      <c r="L55" s="61"/>
      <c r="M55" s="22" t="s">
        <v>24</v>
      </c>
      <c r="N55" s="25" t="s">
        <v>14</v>
      </c>
      <c r="O55" s="53">
        <v>45858</v>
      </c>
      <c r="P55" s="63">
        <v>3549</v>
      </c>
    </row>
    <row r="56" spans="1:16" ht="15" customHeight="1" x14ac:dyDescent="0.3">
      <c r="A56" s="65">
        <v>3550</v>
      </c>
      <c r="B56" s="53">
        <v>45887</v>
      </c>
      <c r="C56" s="8"/>
      <c r="D56" s="61">
        <v>3</v>
      </c>
      <c r="E56" s="61">
        <v>92</v>
      </c>
      <c r="F56" s="61">
        <v>92</v>
      </c>
      <c r="G56" s="61">
        <v>0</v>
      </c>
      <c r="H56" s="61">
        <v>0</v>
      </c>
      <c r="I56" s="57"/>
      <c r="J56" s="61"/>
      <c r="K56" s="57"/>
      <c r="L56" s="61"/>
      <c r="M56" s="22" t="s">
        <v>24</v>
      </c>
      <c r="N56" s="25" t="s">
        <v>30</v>
      </c>
      <c r="O56" s="53">
        <v>45887</v>
      </c>
      <c r="P56" s="63">
        <v>3550</v>
      </c>
    </row>
    <row r="57" spans="1:16" ht="15" customHeight="1" x14ac:dyDescent="0.3">
      <c r="A57" s="70">
        <v>3551</v>
      </c>
      <c r="B57" s="53">
        <v>45894</v>
      </c>
      <c r="C57" s="8"/>
      <c r="D57" s="61">
        <v>1</v>
      </c>
      <c r="E57" s="61">
        <v>6</v>
      </c>
      <c r="F57" s="61">
        <v>6</v>
      </c>
      <c r="G57" s="61">
        <v>0</v>
      </c>
      <c r="H57" s="61">
        <v>0</v>
      </c>
      <c r="I57" s="57"/>
      <c r="J57" s="61"/>
      <c r="K57" s="57"/>
      <c r="L57" s="61"/>
      <c r="M57" s="22" t="s">
        <v>24</v>
      </c>
      <c r="N57" s="25" t="s">
        <v>31</v>
      </c>
      <c r="O57" s="53">
        <v>45894</v>
      </c>
      <c r="P57" s="63">
        <v>3551</v>
      </c>
    </row>
    <row r="58" spans="1:16" ht="15" customHeight="1" x14ac:dyDescent="0.3">
      <c r="A58" s="65">
        <v>3552</v>
      </c>
      <c r="B58" s="53">
        <v>45888</v>
      </c>
      <c r="C58" s="8"/>
      <c r="D58" s="61">
        <v>1</v>
      </c>
      <c r="E58" s="61">
        <v>2</v>
      </c>
      <c r="F58" s="61">
        <v>2</v>
      </c>
      <c r="G58" s="61">
        <v>0</v>
      </c>
      <c r="H58" s="61">
        <v>0</v>
      </c>
      <c r="I58" s="57"/>
      <c r="J58" s="61"/>
      <c r="K58" s="57"/>
      <c r="L58" s="61"/>
      <c r="M58" s="22" t="s">
        <v>24</v>
      </c>
      <c r="N58" s="25" t="s">
        <v>30</v>
      </c>
      <c r="O58" s="53">
        <v>45888</v>
      </c>
      <c r="P58" s="63">
        <v>3552</v>
      </c>
    </row>
    <row r="59" spans="1:16" ht="15" customHeight="1" x14ac:dyDescent="0.3">
      <c r="A59" s="65">
        <v>3553</v>
      </c>
      <c r="B59" s="53">
        <v>45853</v>
      </c>
      <c r="C59" s="8"/>
      <c r="D59" s="61">
        <v>1</v>
      </c>
      <c r="E59" s="61">
        <v>35</v>
      </c>
      <c r="F59" s="61">
        <v>35</v>
      </c>
      <c r="G59" s="61">
        <v>0</v>
      </c>
      <c r="H59" s="61">
        <v>0</v>
      </c>
      <c r="I59" s="57"/>
      <c r="J59" s="61"/>
      <c r="K59" s="57"/>
      <c r="L59" s="61"/>
      <c r="M59" s="22" t="s">
        <v>24</v>
      </c>
      <c r="N59" s="25" t="s">
        <v>14</v>
      </c>
      <c r="O59" s="53">
        <v>45853</v>
      </c>
      <c r="P59" s="63">
        <v>3553</v>
      </c>
    </row>
    <row r="60" spans="1:16" ht="15" customHeight="1" x14ac:dyDescent="0.3">
      <c r="A60" s="67">
        <v>3554</v>
      </c>
      <c r="B60" s="53"/>
      <c r="C60" s="8"/>
      <c r="D60" s="61"/>
      <c r="E60" s="61"/>
      <c r="F60" s="61"/>
      <c r="G60" s="61"/>
      <c r="H60" s="61"/>
      <c r="I60" s="57"/>
      <c r="J60" s="61"/>
      <c r="K60" s="57"/>
      <c r="L60" s="61"/>
      <c r="M60" s="22"/>
      <c r="N60" s="25"/>
      <c r="O60" s="53"/>
      <c r="P60" s="63"/>
    </row>
    <row r="61" spans="1:16" ht="15" customHeight="1" x14ac:dyDescent="0.3">
      <c r="A61" s="65">
        <v>3555</v>
      </c>
      <c r="B61" s="53">
        <v>45893</v>
      </c>
      <c r="C61" s="8"/>
      <c r="D61" s="61">
        <v>1</v>
      </c>
      <c r="E61" s="61">
        <v>18</v>
      </c>
      <c r="F61" s="61">
        <v>18</v>
      </c>
      <c r="G61" s="61">
        <v>0</v>
      </c>
      <c r="H61" s="61">
        <v>0</v>
      </c>
      <c r="I61" s="57"/>
      <c r="J61" s="61"/>
      <c r="K61" s="57"/>
      <c r="L61" s="61"/>
      <c r="M61" s="22" t="s">
        <v>24</v>
      </c>
      <c r="N61" s="25" t="s">
        <v>31</v>
      </c>
      <c r="O61" s="53">
        <v>45893</v>
      </c>
      <c r="P61" s="63">
        <v>3555</v>
      </c>
    </row>
    <row r="62" spans="1:16" ht="15" customHeight="1" x14ac:dyDescent="0.3">
      <c r="A62" s="65">
        <v>3556</v>
      </c>
      <c r="B62" s="53">
        <v>45896</v>
      </c>
      <c r="C62" s="8"/>
      <c r="D62" s="61">
        <v>3</v>
      </c>
      <c r="E62" s="61">
        <v>121</v>
      </c>
      <c r="F62" s="61">
        <v>121</v>
      </c>
      <c r="G62" s="61">
        <v>0</v>
      </c>
      <c r="H62" s="61">
        <v>0</v>
      </c>
      <c r="I62" s="57"/>
      <c r="J62" s="61"/>
      <c r="K62" s="57"/>
      <c r="L62" s="61"/>
      <c r="M62" s="22" t="s">
        <v>24</v>
      </c>
      <c r="N62" s="25" t="s">
        <v>31</v>
      </c>
      <c r="O62" s="53">
        <v>45896</v>
      </c>
      <c r="P62" s="63">
        <v>3556</v>
      </c>
    </row>
    <row r="63" spans="1:16" ht="15" customHeight="1" x14ac:dyDescent="0.3">
      <c r="A63" s="65">
        <v>3557</v>
      </c>
      <c r="B63" s="53">
        <v>45839</v>
      </c>
      <c r="C63" s="8"/>
      <c r="D63" s="61">
        <v>1</v>
      </c>
      <c r="E63" s="61">
        <v>16</v>
      </c>
      <c r="F63" s="61">
        <v>16</v>
      </c>
      <c r="G63" s="61">
        <v>0</v>
      </c>
      <c r="H63" s="61">
        <v>0</v>
      </c>
      <c r="I63" s="57"/>
      <c r="J63" s="61"/>
      <c r="K63" s="57"/>
      <c r="L63" s="61"/>
      <c r="M63" s="22" t="s">
        <v>24</v>
      </c>
      <c r="N63" s="25" t="s">
        <v>14</v>
      </c>
      <c r="O63" s="53">
        <v>45839</v>
      </c>
      <c r="P63" s="63">
        <v>3557</v>
      </c>
    </row>
    <row r="64" spans="1:16" ht="15" customHeight="1" x14ac:dyDescent="0.3">
      <c r="A64" s="65">
        <v>3558</v>
      </c>
      <c r="B64" s="53">
        <v>45873</v>
      </c>
      <c r="C64" s="8"/>
      <c r="D64" s="61">
        <v>2</v>
      </c>
      <c r="E64" s="61">
        <v>36</v>
      </c>
      <c r="F64" s="61">
        <v>36</v>
      </c>
      <c r="G64" s="61">
        <v>0</v>
      </c>
      <c r="H64" s="61">
        <v>0</v>
      </c>
      <c r="I64" s="57"/>
      <c r="J64" s="61"/>
      <c r="K64" s="57"/>
      <c r="L64" s="61"/>
      <c r="M64" s="22" t="s">
        <v>24</v>
      </c>
      <c r="N64" s="25" t="s">
        <v>14</v>
      </c>
      <c r="O64" s="53">
        <v>45873</v>
      </c>
      <c r="P64" s="63">
        <v>3558</v>
      </c>
    </row>
    <row r="65" spans="1:16" ht="15" customHeight="1" x14ac:dyDescent="0.3">
      <c r="A65" s="65">
        <v>3559</v>
      </c>
      <c r="B65" s="53">
        <v>45844</v>
      </c>
      <c r="C65" s="8"/>
      <c r="D65" s="61">
        <v>2</v>
      </c>
      <c r="E65" s="61">
        <v>63</v>
      </c>
      <c r="F65" s="61">
        <v>43</v>
      </c>
      <c r="G65" s="61">
        <v>20</v>
      </c>
      <c r="H65" s="61">
        <v>1</v>
      </c>
      <c r="I65" s="57">
        <v>45846</v>
      </c>
      <c r="J65" s="61">
        <v>20</v>
      </c>
      <c r="K65" s="57"/>
      <c r="L65" s="61"/>
      <c r="M65" s="22" t="s">
        <v>24</v>
      </c>
      <c r="N65" s="25" t="s">
        <v>14</v>
      </c>
      <c r="O65" s="53">
        <v>45846</v>
      </c>
      <c r="P65" s="63">
        <v>3559</v>
      </c>
    </row>
    <row r="66" spans="1:16" ht="15" customHeight="1" x14ac:dyDescent="0.3">
      <c r="A66" s="65">
        <v>3560</v>
      </c>
      <c r="B66" s="53">
        <v>45881</v>
      </c>
      <c r="C66" s="8"/>
      <c r="D66" s="61">
        <v>3</v>
      </c>
      <c r="E66" s="61">
        <v>40</v>
      </c>
      <c r="F66" s="61">
        <v>40</v>
      </c>
      <c r="G66" s="61">
        <v>0</v>
      </c>
      <c r="H66" s="61">
        <v>0</v>
      </c>
      <c r="I66" s="57"/>
      <c r="J66" s="61"/>
      <c r="K66" s="57"/>
      <c r="L66" s="61"/>
      <c r="M66" s="22" t="s">
        <v>24</v>
      </c>
      <c r="N66" s="25" t="s">
        <v>14</v>
      </c>
      <c r="O66" s="53">
        <v>45881</v>
      </c>
      <c r="P66" s="63">
        <v>3560</v>
      </c>
    </row>
    <row r="67" spans="1:16" ht="15" customHeight="1" x14ac:dyDescent="0.3">
      <c r="A67" s="65">
        <v>3561</v>
      </c>
      <c r="B67" s="53">
        <v>45842</v>
      </c>
      <c r="C67" s="8"/>
      <c r="D67" s="61">
        <v>2</v>
      </c>
      <c r="E67" s="61">
        <v>11</v>
      </c>
      <c r="F67" s="61">
        <v>11</v>
      </c>
      <c r="G67" s="61">
        <v>0</v>
      </c>
      <c r="H67" s="61">
        <v>0</v>
      </c>
      <c r="I67" s="57"/>
      <c r="J67" s="61"/>
      <c r="K67" s="57"/>
      <c r="L67" s="61"/>
      <c r="M67" s="22" t="s">
        <v>24</v>
      </c>
      <c r="N67" s="25" t="s">
        <v>14</v>
      </c>
      <c r="O67" s="53">
        <v>45842</v>
      </c>
      <c r="P67" s="63">
        <v>3561</v>
      </c>
    </row>
    <row r="68" spans="1:16" ht="18.75" x14ac:dyDescent="0.3">
      <c r="A68" s="65">
        <v>3562</v>
      </c>
      <c r="B68" s="53"/>
      <c r="C68" s="8"/>
      <c r="D68" s="61"/>
      <c r="E68" s="61"/>
      <c r="F68" s="61"/>
      <c r="G68" s="61"/>
      <c r="H68" s="61"/>
      <c r="I68" s="57"/>
      <c r="J68" s="61"/>
      <c r="K68" s="57"/>
      <c r="L68" s="61"/>
      <c r="M68" s="22"/>
      <c r="N68" s="25"/>
      <c r="O68" s="53"/>
      <c r="P68" s="63"/>
    </row>
    <row r="69" spans="1:16" ht="18.75" x14ac:dyDescent="0.3">
      <c r="A69" s="65">
        <v>3563</v>
      </c>
      <c r="B69" s="53">
        <v>45916</v>
      </c>
      <c r="C69" s="8"/>
      <c r="D69" s="61">
        <v>3</v>
      </c>
      <c r="E69" s="61">
        <v>67</v>
      </c>
      <c r="F69" s="61">
        <v>67</v>
      </c>
      <c r="G69" s="61">
        <v>0</v>
      </c>
      <c r="H69" s="61">
        <v>0</v>
      </c>
      <c r="I69" s="57"/>
      <c r="J69" s="61"/>
      <c r="K69" s="57"/>
      <c r="L69" s="61"/>
      <c r="M69" s="22" t="s">
        <v>24</v>
      </c>
      <c r="N69" s="25" t="s">
        <v>14</v>
      </c>
      <c r="O69" s="53">
        <v>45916</v>
      </c>
      <c r="P69" s="63">
        <v>3563</v>
      </c>
    </row>
    <row r="70" spans="1:16" ht="18.75" x14ac:dyDescent="0.3">
      <c r="A70" s="65">
        <v>3564</v>
      </c>
      <c r="B70" s="53">
        <v>45836</v>
      </c>
      <c r="C70" s="8"/>
      <c r="D70" s="61">
        <v>2</v>
      </c>
      <c r="E70" s="61">
        <v>15</v>
      </c>
      <c r="F70" s="61">
        <v>15</v>
      </c>
      <c r="G70" s="61">
        <v>0</v>
      </c>
      <c r="H70" s="61">
        <v>0</v>
      </c>
      <c r="I70" s="57"/>
      <c r="J70" s="61"/>
      <c r="K70" s="57"/>
      <c r="L70" s="61"/>
      <c r="M70" s="22" t="s">
        <v>24</v>
      </c>
      <c r="N70" s="25" t="s">
        <v>14</v>
      </c>
      <c r="O70" s="53">
        <v>45836</v>
      </c>
      <c r="P70" s="63">
        <v>3564</v>
      </c>
    </row>
    <row r="71" spans="1:16" ht="18.75" x14ac:dyDescent="0.3">
      <c r="A71" s="65">
        <v>3565</v>
      </c>
      <c r="B71" s="53">
        <v>45852</v>
      </c>
      <c r="C71" s="8"/>
      <c r="D71" s="61">
        <v>2</v>
      </c>
      <c r="E71" s="61">
        <v>23</v>
      </c>
      <c r="F71" s="61">
        <v>23</v>
      </c>
      <c r="G71" s="61">
        <v>0</v>
      </c>
      <c r="H71" s="61">
        <v>0</v>
      </c>
      <c r="I71" s="57"/>
      <c r="J71" s="61"/>
      <c r="K71" s="57"/>
      <c r="L71" s="61"/>
      <c r="M71" s="22" t="s">
        <v>24</v>
      </c>
      <c r="N71" s="25" t="s">
        <v>14</v>
      </c>
      <c r="O71" s="53">
        <v>45852</v>
      </c>
      <c r="P71" s="63">
        <v>3565</v>
      </c>
    </row>
    <row r="72" spans="1:16" ht="18.75" x14ac:dyDescent="0.3">
      <c r="A72" s="65">
        <v>3566</v>
      </c>
      <c r="B72" s="53">
        <v>45862</v>
      </c>
      <c r="C72" s="8"/>
      <c r="D72" s="61">
        <v>3</v>
      </c>
      <c r="E72" s="61">
        <v>21</v>
      </c>
      <c r="F72" s="61">
        <v>21</v>
      </c>
      <c r="G72" s="61">
        <v>0</v>
      </c>
      <c r="H72" s="61">
        <v>0</v>
      </c>
      <c r="I72" s="57"/>
      <c r="J72" s="61"/>
      <c r="K72" s="57"/>
      <c r="L72" s="61"/>
      <c r="M72" s="22" t="s">
        <v>24</v>
      </c>
      <c r="N72" s="25" t="s">
        <v>14</v>
      </c>
      <c r="O72" s="53">
        <v>45862</v>
      </c>
      <c r="P72" s="63">
        <v>3566</v>
      </c>
    </row>
    <row r="73" spans="1:16" ht="18.75" x14ac:dyDescent="0.3">
      <c r="A73" s="69">
        <v>3567</v>
      </c>
      <c r="B73" s="53">
        <v>45860</v>
      </c>
      <c r="C73" s="8"/>
      <c r="D73" s="61">
        <v>3</v>
      </c>
      <c r="E73" s="61">
        <v>51</v>
      </c>
      <c r="F73" s="61">
        <v>51</v>
      </c>
      <c r="G73" s="61">
        <v>0</v>
      </c>
      <c r="H73" s="61">
        <v>0</v>
      </c>
      <c r="I73" s="57"/>
      <c r="J73" s="61"/>
      <c r="K73" s="57"/>
      <c r="L73" s="61"/>
      <c r="M73" s="22" t="s">
        <v>24</v>
      </c>
      <c r="N73" s="25" t="s">
        <v>14</v>
      </c>
      <c r="O73" s="53">
        <v>45860</v>
      </c>
      <c r="P73" s="63">
        <v>3567</v>
      </c>
    </row>
    <row r="74" spans="1:16" x14ac:dyDescent="0.25">
      <c r="P74" s="30"/>
    </row>
    <row r="75" spans="1:16" x14ac:dyDescent="0.25">
      <c r="P75" s="30"/>
    </row>
    <row r="76" spans="1:16" x14ac:dyDescent="0.25">
      <c r="P76" s="30"/>
    </row>
    <row r="77" spans="1:16" x14ac:dyDescent="0.25">
      <c r="P77" s="30"/>
    </row>
    <row r="78" spans="1:16" x14ac:dyDescent="0.25">
      <c r="P78" s="30"/>
    </row>
    <row r="79" spans="1:16" x14ac:dyDescent="0.25">
      <c r="P79" s="30"/>
    </row>
    <row r="80" spans="1:16" x14ac:dyDescent="0.25">
      <c r="P80" s="30"/>
    </row>
    <row r="81" spans="16:16" x14ac:dyDescent="0.25">
      <c r="P81" s="30"/>
    </row>
    <row r="82" spans="16:16" x14ac:dyDescent="0.25">
      <c r="P82" s="30"/>
    </row>
    <row r="83" spans="16:16" x14ac:dyDescent="0.25">
      <c r="P83" s="30"/>
    </row>
    <row r="84" spans="16:16" x14ac:dyDescent="0.25">
      <c r="P84" s="30"/>
    </row>
    <row r="85" spans="16:16" x14ac:dyDescent="0.25">
      <c r="P85" s="30"/>
    </row>
    <row r="86" spans="16:16" x14ac:dyDescent="0.25">
      <c r="P86" s="30"/>
    </row>
    <row r="87" spans="16:16" x14ac:dyDescent="0.25">
      <c r="P87" s="30"/>
    </row>
    <row r="88" spans="16:16" x14ac:dyDescent="0.25">
      <c r="P88" s="30"/>
    </row>
    <row r="89" spans="16:16" x14ac:dyDescent="0.25">
      <c r="P89" s="30"/>
    </row>
    <row r="90" spans="16:16" x14ac:dyDescent="0.25">
      <c r="P90" s="30"/>
    </row>
    <row r="91" spans="16:16" x14ac:dyDescent="0.25">
      <c r="P91" s="30"/>
    </row>
    <row r="92" spans="16:16" x14ac:dyDescent="0.25">
      <c r="P92" s="30"/>
    </row>
    <row r="93" spans="16:16" x14ac:dyDescent="0.25">
      <c r="P93" s="30"/>
    </row>
    <row r="94" spans="16:16" x14ac:dyDescent="0.25">
      <c r="P94" s="30"/>
    </row>
    <row r="95" spans="16:16" x14ac:dyDescent="0.25">
      <c r="P95" s="30"/>
    </row>
    <row r="96" spans="16:16" x14ac:dyDescent="0.25">
      <c r="P96" s="31"/>
    </row>
    <row r="97" spans="16:16" x14ac:dyDescent="0.25">
      <c r="P97" s="30"/>
    </row>
    <row r="98" spans="16:16" x14ac:dyDescent="0.25">
      <c r="P98" s="30"/>
    </row>
    <row r="99" spans="16:16" x14ac:dyDescent="0.25">
      <c r="P99" s="30"/>
    </row>
    <row r="100" spans="16:16" x14ac:dyDescent="0.25">
      <c r="P100" s="30"/>
    </row>
    <row r="101" spans="16:16" x14ac:dyDescent="0.25">
      <c r="P101" s="30"/>
    </row>
    <row r="102" spans="16:16" x14ac:dyDescent="0.25">
      <c r="P102" s="30"/>
    </row>
    <row r="103" spans="16:16" x14ac:dyDescent="0.25">
      <c r="P103" s="30"/>
    </row>
    <row r="104" spans="16:16" x14ac:dyDescent="0.25">
      <c r="P104" s="30"/>
    </row>
    <row r="105" spans="16:16" x14ac:dyDescent="0.25">
      <c r="P105" s="30"/>
    </row>
    <row r="106" spans="16:16" x14ac:dyDescent="0.25">
      <c r="P106" s="30"/>
    </row>
    <row r="107" spans="16:16" x14ac:dyDescent="0.25">
      <c r="P107" s="30"/>
    </row>
    <row r="108" spans="16:16" x14ac:dyDescent="0.25">
      <c r="P108" s="30"/>
    </row>
    <row r="109" spans="16:16" x14ac:dyDescent="0.25">
      <c r="P109" s="30"/>
    </row>
    <row r="110" spans="16:16" x14ac:dyDescent="0.25">
      <c r="P110" s="30"/>
    </row>
    <row r="111" spans="16:16" x14ac:dyDescent="0.25">
      <c r="P111" s="30"/>
    </row>
    <row r="112" spans="16:16" x14ac:dyDescent="0.25">
      <c r="P112" s="30"/>
    </row>
    <row r="113" spans="16:16" x14ac:dyDescent="0.25">
      <c r="P113" s="30"/>
    </row>
    <row r="114" spans="16:16" x14ac:dyDescent="0.25">
      <c r="P114" s="30"/>
    </row>
    <row r="115" spans="16:16" x14ac:dyDescent="0.25">
      <c r="P115" s="30"/>
    </row>
    <row r="116" spans="16:16" x14ac:dyDescent="0.25">
      <c r="P116" s="30"/>
    </row>
    <row r="117" spans="16:16" x14ac:dyDescent="0.25">
      <c r="P117" s="30"/>
    </row>
    <row r="118" spans="16:16" x14ac:dyDescent="0.25">
      <c r="P118" s="30"/>
    </row>
    <row r="119" spans="16:16" x14ac:dyDescent="0.25">
      <c r="P119" s="30"/>
    </row>
    <row r="120" spans="16:16" x14ac:dyDescent="0.25">
      <c r="P120" s="30"/>
    </row>
    <row r="121" spans="16:16" x14ac:dyDescent="0.25">
      <c r="P121" s="30"/>
    </row>
    <row r="122" spans="16:16" x14ac:dyDescent="0.25">
      <c r="P122" s="30"/>
    </row>
    <row r="123" spans="16:16" x14ac:dyDescent="0.25">
      <c r="P123" s="30"/>
    </row>
    <row r="124" spans="16:16" x14ac:dyDescent="0.25">
      <c r="P124" s="30"/>
    </row>
    <row r="125" spans="16:16" x14ac:dyDescent="0.25">
      <c r="P125" s="30"/>
    </row>
    <row r="126" spans="16:16" x14ac:dyDescent="0.25">
      <c r="P126" s="30"/>
    </row>
    <row r="127" spans="16:16" x14ac:dyDescent="0.25">
      <c r="P127" s="30"/>
    </row>
    <row r="128" spans="16:16" x14ac:dyDescent="0.25">
      <c r="P128" s="30"/>
    </row>
    <row r="129" spans="16:16" x14ac:dyDescent="0.25">
      <c r="P129" s="30"/>
    </row>
    <row r="130" spans="16:16" x14ac:dyDescent="0.25">
      <c r="P130" s="30"/>
    </row>
    <row r="131" spans="16:16" x14ac:dyDescent="0.25">
      <c r="P131" s="30"/>
    </row>
    <row r="132" spans="16:16" x14ac:dyDescent="0.25">
      <c r="P132" s="30"/>
    </row>
    <row r="133" spans="16:16" x14ac:dyDescent="0.25">
      <c r="P133" s="30"/>
    </row>
    <row r="134" spans="16:16" x14ac:dyDescent="0.25">
      <c r="P134" s="30"/>
    </row>
    <row r="135" spans="16:16" x14ac:dyDescent="0.25">
      <c r="P135" s="30"/>
    </row>
    <row r="136" spans="16:16" x14ac:dyDescent="0.25">
      <c r="P136" s="30"/>
    </row>
    <row r="137" spans="16:16" x14ac:dyDescent="0.25">
      <c r="P137" s="30"/>
    </row>
    <row r="138" spans="16:16" x14ac:dyDescent="0.25">
      <c r="P138" s="30"/>
    </row>
    <row r="139" spans="16:16" x14ac:dyDescent="0.25">
      <c r="P139" s="30"/>
    </row>
    <row r="140" spans="16:16" x14ac:dyDescent="0.25">
      <c r="P140" s="30"/>
    </row>
    <row r="141" spans="16:16" x14ac:dyDescent="0.25">
      <c r="P141" s="30"/>
    </row>
    <row r="142" spans="16:16" x14ac:dyDescent="0.25">
      <c r="P142" s="30"/>
    </row>
    <row r="143" spans="16:16" x14ac:dyDescent="0.25">
      <c r="P143" s="30"/>
    </row>
    <row r="144" spans="16:16" x14ac:dyDescent="0.25">
      <c r="P144" s="30"/>
    </row>
    <row r="145" spans="16:16" x14ac:dyDescent="0.25">
      <c r="P145" s="30"/>
    </row>
    <row r="146" spans="16:16" x14ac:dyDescent="0.25">
      <c r="P146" s="30"/>
    </row>
    <row r="147" spans="16:16" x14ac:dyDescent="0.25">
      <c r="P147" s="30"/>
    </row>
    <row r="148" spans="16:16" x14ac:dyDescent="0.25">
      <c r="P148" s="30"/>
    </row>
    <row r="149" spans="16:16" x14ac:dyDescent="0.25">
      <c r="P149" s="30"/>
    </row>
    <row r="150" spans="16:16" x14ac:dyDescent="0.25">
      <c r="P150" s="30"/>
    </row>
    <row r="151" spans="16:16" x14ac:dyDescent="0.25">
      <c r="P151" s="30"/>
    </row>
    <row r="152" spans="16:16" x14ac:dyDescent="0.25">
      <c r="P152" s="30"/>
    </row>
    <row r="153" spans="16:16" x14ac:dyDescent="0.25">
      <c r="P153" s="30"/>
    </row>
    <row r="154" spans="16:16" x14ac:dyDescent="0.25">
      <c r="P154" s="30"/>
    </row>
    <row r="155" spans="16:16" x14ac:dyDescent="0.25">
      <c r="P155" s="30"/>
    </row>
    <row r="156" spans="16:16" x14ac:dyDescent="0.25">
      <c r="P156" s="30"/>
    </row>
    <row r="157" spans="16:16" x14ac:dyDescent="0.25">
      <c r="P157" s="30"/>
    </row>
    <row r="158" spans="16:16" x14ac:dyDescent="0.25">
      <c r="P158" s="30"/>
    </row>
    <row r="159" spans="16:16" x14ac:dyDescent="0.25">
      <c r="P159" s="30"/>
    </row>
    <row r="160" spans="16:16" x14ac:dyDescent="0.25">
      <c r="P160" s="30"/>
    </row>
    <row r="161" spans="16:16" x14ac:dyDescent="0.25">
      <c r="P161" s="30"/>
    </row>
    <row r="162" spans="16:16" x14ac:dyDescent="0.25">
      <c r="P162" s="30"/>
    </row>
    <row r="163" spans="16:16" x14ac:dyDescent="0.25">
      <c r="P163" s="30"/>
    </row>
    <row r="164" spans="16:16" x14ac:dyDescent="0.25">
      <c r="P164" s="30"/>
    </row>
    <row r="165" spans="16:16" x14ac:dyDescent="0.25">
      <c r="P165" s="30"/>
    </row>
    <row r="166" spans="16:16" x14ac:dyDescent="0.25">
      <c r="P166" s="30"/>
    </row>
    <row r="167" spans="16:16" x14ac:dyDescent="0.25">
      <c r="P167" s="30"/>
    </row>
    <row r="168" spans="16:16" x14ac:dyDescent="0.25">
      <c r="P168" s="30"/>
    </row>
    <row r="169" spans="16:16" x14ac:dyDescent="0.25">
      <c r="P169" s="30"/>
    </row>
    <row r="170" spans="16:16" x14ac:dyDescent="0.25">
      <c r="P170" s="30"/>
    </row>
    <row r="171" spans="16:16" x14ac:dyDescent="0.25">
      <c r="P171" s="30"/>
    </row>
    <row r="172" spans="16:16" x14ac:dyDescent="0.25">
      <c r="P172" s="30"/>
    </row>
    <row r="173" spans="16:16" x14ac:dyDescent="0.25">
      <c r="P173" s="30"/>
    </row>
    <row r="174" spans="16:16" x14ac:dyDescent="0.25">
      <c r="P174" s="30"/>
    </row>
    <row r="175" spans="16:16" x14ac:dyDescent="0.25">
      <c r="P175" s="30"/>
    </row>
    <row r="176" spans="16:16" x14ac:dyDescent="0.25">
      <c r="P176" s="30"/>
    </row>
    <row r="177" spans="16:16" x14ac:dyDescent="0.25">
      <c r="P177" s="30"/>
    </row>
    <row r="178" spans="16:16" x14ac:dyDescent="0.25">
      <c r="P178" s="30"/>
    </row>
    <row r="179" spans="16:16" x14ac:dyDescent="0.25">
      <c r="P179" s="31"/>
    </row>
    <row r="180" spans="16:16" x14ac:dyDescent="0.25">
      <c r="P180" s="30"/>
    </row>
    <row r="181" spans="16:16" x14ac:dyDescent="0.25">
      <c r="P181" s="30"/>
    </row>
    <row r="182" spans="16:16" x14ac:dyDescent="0.25">
      <c r="P182" s="30"/>
    </row>
    <row r="183" spans="16:16" x14ac:dyDescent="0.25">
      <c r="P183" s="30"/>
    </row>
    <row r="184" spans="16:16" x14ac:dyDescent="0.25">
      <c r="P184" s="30"/>
    </row>
    <row r="185" spans="16:16" x14ac:dyDescent="0.25">
      <c r="P185" s="30"/>
    </row>
    <row r="186" spans="16:16" x14ac:dyDescent="0.25">
      <c r="P186" s="30"/>
    </row>
    <row r="187" spans="16:16" x14ac:dyDescent="0.25">
      <c r="P187" s="30"/>
    </row>
    <row r="188" spans="16:16" x14ac:dyDescent="0.25">
      <c r="P188" s="30"/>
    </row>
    <row r="189" spans="16:16" x14ac:dyDescent="0.25">
      <c r="P189" s="30"/>
    </row>
    <row r="190" spans="16:16" x14ac:dyDescent="0.25">
      <c r="P190" s="30"/>
    </row>
    <row r="191" spans="16:16" x14ac:dyDescent="0.25">
      <c r="P191" s="30"/>
    </row>
    <row r="192" spans="16:16" x14ac:dyDescent="0.25">
      <c r="P192" s="30"/>
    </row>
    <row r="193" spans="16:16" x14ac:dyDescent="0.25">
      <c r="P193" s="30"/>
    </row>
    <row r="194" spans="16:16" x14ac:dyDescent="0.25">
      <c r="P194" s="30"/>
    </row>
    <row r="195" spans="16:16" x14ac:dyDescent="0.25">
      <c r="P195" s="30"/>
    </row>
    <row r="196" spans="16:16" x14ac:dyDescent="0.25">
      <c r="P196" s="30"/>
    </row>
    <row r="197" spans="16:16" x14ac:dyDescent="0.25">
      <c r="P197" s="30"/>
    </row>
    <row r="198" spans="16:16" x14ac:dyDescent="0.25">
      <c r="P198" s="30"/>
    </row>
    <row r="199" spans="16:16" x14ac:dyDescent="0.25">
      <c r="P199" s="30"/>
    </row>
    <row r="200" spans="16:16" x14ac:dyDescent="0.25">
      <c r="P200" s="30"/>
    </row>
    <row r="201" spans="16:16" x14ac:dyDescent="0.25">
      <c r="P201" s="30"/>
    </row>
    <row r="202" spans="16:16" x14ac:dyDescent="0.25">
      <c r="P202" s="30"/>
    </row>
    <row r="203" spans="16:16" x14ac:dyDescent="0.25">
      <c r="P203" s="30"/>
    </row>
    <row r="204" spans="16:16" x14ac:dyDescent="0.25">
      <c r="P204" s="30"/>
    </row>
    <row r="205" spans="16:16" x14ac:dyDescent="0.25">
      <c r="P205" s="30"/>
    </row>
    <row r="206" spans="16:16" x14ac:dyDescent="0.25">
      <c r="P206" s="30"/>
    </row>
    <row r="207" spans="16:16" x14ac:dyDescent="0.25">
      <c r="P207" s="30"/>
    </row>
  </sheetData>
  <sheetProtection algorithmName="SHA-512" hashValue="IXrObF0g/9rMk6XyJk9RDz62gTTNQcMJUY7csnludifNq6lXjYnjc9Qjj36p+i0Uaqh0ZQdiMD0iywks0ZN7vw==" saltValue="bBexuuA5cZ6cDzylGNYEy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1 L2:L73 P2:P73" xr:uid="{DC4656AA-F65E-4E64-8B9E-62FC21DA163D}">
      <formula1>0</formula1>
    </dataValidation>
    <dataValidation type="date" operator="greaterThanOrEqual" allowBlank="1" showInputMessage="1" showErrorMessage="1" sqref="B2:B73 I2:I73 K2:K73 O2:O73" xr:uid="{D2265510-8992-44D6-99CC-BDCC55FAB297}">
      <formula1>45658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8246755-91DF-4E73-B086-A06583FD930D}">
          <x14:formula1>
            <xm:f>Inspected!$A$1:$A$2</xm:f>
          </x14:formula1>
          <xm:sqref>M2:M73</xm:sqref>
        </x14:dataValidation>
        <x14:dataValidation type="list" allowBlank="1" showInputMessage="1" showErrorMessage="1" xr:uid="{05951FDB-5D83-4CE6-A877-03B4CBD77562}">
          <x14:formula1>
            <xm:f>Inspected!$D$1</xm:f>
          </x14:formula1>
          <xm:sqref>C2:C73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B56AF-48E8-468F-AAA1-F73B3FAABFC0}">
  <dimension ref="A1:U73"/>
  <sheetViews>
    <sheetView workbookViewId="0">
      <selection activeCell="D10" sqref="D10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3.140625" style="1" customWidth="1"/>
    <col min="5" max="5" width="12.85546875" style="1" customWidth="1"/>
    <col min="6" max="6" width="12" style="1" customWidth="1"/>
    <col min="7" max="7" width="13.85546875" style="1" customWidth="1"/>
    <col min="8" max="8" width="19.140625" style="1" customWidth="1"/>
    <col min="9" max="9" width="16.85546875" style="1" customWidth="1"/>
    <col min="10" max="10" width="12.140625" style="1" customWidth="1"/>
    <col min="11" max="11" width="15.5703125" style="1" customWidth="1"/>
    <col min="12" max="12" width="12.42578125" style="1" customWidth="1"/>
    <col min="13" max="13" width="17.5703125" style="29" customWidth="1"/>
    <col min="14" max="14" width="16.42578125" style="1" customWidth="1"/>
    <col min="15" max="15" width="29.5703125" style="1" customWidth="1"/>
    <col min="16" max="16" width="23.570312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33" t="s">
        <v>0</v>
      </c>
      <c r="B1" s="34" t="s">
        <v>1</v>
      </c>
      <c r="C1" s="34" t="s">
        <v>26</v>
      </c>
      <c r="D1" s="35" t="s">
        <v>2</v>
      </c>
      <c r="E1" s="35" t="s">
        <v>3</v>
      </c>
      <c r="F1" s="35" t="s">
        <v>4</v>
      </c>
      <c r="G1" s="35" t="s">
        <v>5</v>
      </c>
      <c r="H1" s="62" t="s">
        <v>6</v>
      </c>
      <c r="I1" s="36" t="s">
        <v>7</v>
      </c>
      <c r="J1" s="36" t="s">
        <v>8</v>
      </c>
      <c r="K1" s="37" t="s">
        <v>9</v>
      </c>
      <c r="L1" s="37" t="s">
        <v>27</v>
      </c>
      <c r="M1" s="38" t="s">
        <v>10</v>
      </c>
      <c r="N1" s="39" t="s">
        <v>11</v>
      </c>
      <c r="O1" s="40" t="s">
        <v>12</v>
      </c>
      <c r="P1" s="41" t="s">
        <v>13</v>
      </c>
    </row>
    <row r="2" spans="1:21" ht="15" customHeight="1" x14ac:dyDescent="0.3">
      <c r="A2" s="2">
        <v>3231</v>
      </c>
      <c r="B2" s="53"/>
      <c r="C2" s="8"/>
      <c r="D2" s="61"/>
      <c r="E2" s="61"/>
      <c r="F2" s="61"/>
      <c r="G2" s="61"/>
      <c r="H2" s="61"/>
      <c r="I2" s="57"/>
      <c r="J2" s="61"/>
      <c r="K2" s="57"/>
      <c r="L2" s="61"/>
      <c r="M2" s="22"/>
      <c r="N2" s="25"/>
      <c r="O2" s="53"/>
      <c r="P2" s="63"/>
      <c r="R2" s="81" t="s">
        <v>15</v>
      </c>
      <c r="S2" s="82"/>
      <c r="T2" s="82"/>
      <c r="U2" s="83"/>
    </row>
    <row r="3" spans="1:21" ht="15" customHeight="1" x14ac:dyDescent="0.3">
      <c r="A3" s="9">
        <v>3232</v>
      </c>
      <c r="B3" s="53">
        <v>45900</v>
      </c>
      <c r="C3" s="8"/>
      <c r="D3" s="61">
        <v>4</v>
      </c>
      <c r="E3" s="61">
        <v>18</v>
      </c>
      <c r="F3" s="61">
        <v>18</v>
      </c>
      <c r="G3" s="61">
        <v>0</v>
      </c>
      <c r="H3" s="61">
        <v>0</v>
      </c>
      <c r="I3" s="57"/>
      <c r="J3" s="61"/>
      <c r="K3" s="57"/>
      <c r="L3" s="61"/>
      <c r="M3" s="22" t="s">
        <v>24</v>
      </c>
      <c r="N3" s="25" t="s">
        <v>30</v>
      </c>
      <c r="O3" s="53">
        <v>45900</v>
      </c>
      <c r="P3" s="63">
        <v>3232</v>
      </c>
      <c r="R3" s="10" t="s">
        <v>16</v>
      </c>
      <c r="S3" s="11" t="s">
        <v>17</v>
      </c>
      <c r="T3" s="12" t="s">
        <v>18</v>
      </c>
      <c r="U3" s="13" t="s">
        <v>19</v>
      </c>
    </row>
    <row r="4" spans="1:21" ht="15" customHeight="1" thickBot="1" x14ac:dyDescent="0.35">
      <c r="A4" s="9">
        <v>3233</v>
      </c>
      <c r="B4" s="53"/>
      <c r="C4" s="8"/>
      <c r="D4" s="61"/>
      <c r="E4" s="61"/>
      <c r="F4" s="61"/>
      <c r="G4" s="61"/>
      <c r="H4" s="61"/>
      <c r="I4" s="57"/>
      <c r="J4" s="61"/>
      <c r="K4" s="57"/>
      <c r="L4" s="61"/>
      <c r="M4" s="22"/>
      <c r="N4" s="25"/>
      <c r="O4" s="53"/>
      <c r="P4" s="63"/>
      <c r="R4" s="14">
        <v>36</v>
      </c>
      <c r="S4" s="15">
        <f>COUNTA(A:A)-1</f>
        <v>72</v>
      </c>
      <c r="T4" s="15">
        <f>COUNTA(O:O)-1</f>
        <v>42</v>
      </c>
      <c r="U4" s="21">
        <f>T4/S4</f>
        <v>0.58333333333333337</v>
      </c>
    </row>
    <row r="5" spans="1:21" ht="15" customHeight="1" x14ac:dyDescent="0.3">
      <c r="A5" s="9">
        <v>3234</v>
      </c>
      <c r="B5" s="53">
        <v>45903</v>
      </c>
      <c r="C5" s="8"/>
      <c r="D5" s="61">
        <v>2</v>
      </c>
      <c r="E5" s="61">
        <v>13</v>
      </c>
      <c r="F5" s="61">
        <v>13</v>
      </c>
      <c r="G5" s="61">
        <v>0</v>
      </c>
      <c r="H5" s="61">
        <v>0</v>
      </c>
      <c r="I5" s="57"/>
      <c r="J5" s="61"/>
      <c r="K5" s="57"/>
      <c r="L5" s="61"/>
      <c r="M5" s="22" t="s">
        <v>24</v>
      </c>
      <c r="N5" s="25" t="s">
        <v>14</v>
      </c>
      <c r="O5" s="53">
        <v>45903</v>
      </c>
      <c r="P5" s="63">
        <v>3234</v>
      </c>
    </row>
    <row r="6" spans="1:21" ht="15" customHeight="1" x14ac:dyDescent="0.3">
      <c r="A6" s="9">
        <v>3235</v>
      </c>
      <c r="B6" s="53"/>
      <c r="C6" s="8"/>
      <c r="D6" s="61"/>
      <c r="E6" s="61"/>
      <c r="F6" s="61"/>
      <c r="G6" s="61"/>
      <c r="H6" s="61"/>
      <c r="I6" s="57"/>
      <c r="J6" s="61"/>
      <c r="K6" s="57"/>
      <c r="L6" s="61"/>
      <c r="M6" s="22"/>
      <c r="N6" s="25"/>
      <c r="O6" s="53"/>
      <c r="P6" s="63"/>
    </row>
    <row r="7" spans="1:21" ht="15" customHeight="1" x14ac:dyDescent="0.3">
      <c r="A7" s="9">
        <v>3236</v>
      </c>
      <c r="B7" s="53"/>
      <c r="C7" s="8"/>
      <c r="D7" s="61"/>
      <c r="E7" s="61"/>
      <c r="F7" s="61"/>
      <c r="G7" s="61"/>
      <c r="H7" s="61"/>
      <c r="I7" s="57"/>
      <c r="J7" s="61"/>
      <c r="K7" s="57"/>
      <c r="L7" s="61"/>
      <c r="M7" s="22"/>
      <c r="N7" s="25"/>
      <c r="O7" s="53"/>
      <c r="P7" s="63"/>
    </row>
    <row r="8" spans="1:21" ht="15" customHeight="1" x14ac:dyDescent="0.3">
      <c r="A8" s="9">
        <v>3237</v>
      </c>
      <c r="B8" s="53">
        <v>45943</v>
      </c>
      <c r="C8" s="8"/>
      <c r="D8" s="61">
        <v>2</v>
      </c>
      <c r="E8" s="61">
        <v>15</v>
      </c>
      <c r="F8" s="61">
        <v>15</v>
      </c>
      <c r="G8" s="61">
        <v>0</v>
      </c>
      <c r="H8" s="61">
        <v>0</v>
      </c>
      <c r="I8" s="57"/>
      <c r="J8" s="61"/>
      <c r="K8" s="57"/>
      <c r="L8" s="61"/>
      <c r="M8" s="22" t="s">
        <v>24</v>
      </c>
      <c r="N8" s="25" t="s">
        <v>14</v>
      </c>
      <c r="O8" s="53">
        <v>45943</v>
      </c>
      <c r="P8" s="63">
        <v>3237</v>
      </c>
    </row>
    <row r="9" spans="1:21" ht="15" customHeight="1" x14ac:dyDescent="0.3">
      <c r="A9" s="9">
        <v>3238</v>
      </c>
      <c r="B9" s="53">
        <v>45870</v>
      </c>
      <c r="C9" s="8"/>
      <c r="D9" s="61">
        <v>3</v>
      </c>
      <c r="E9" s="61">
        <v>68</v>
      </c>
      <c r="F9" s="61">
        <v>68</v>
      </c>
      <c r="G9" s="61">
        <v>0</v>
      </c>
      <c r="H9" s="61">
        <v>0</v>
      </c>
      <c r="I9" s="57"/>
      <c r="J9" s="61"/>
      <c r="K9" s="57"/>
      <c r="L9" s="61"/>
      <c r="M9" s="22" t="s">
        <v>24</v>
      </c>
      <c r="N9" s="25" t="s">
        <v>14</v>
      </c>
      <c r="O9" s="53">
        <v>45870</v>
      </c>
      <c r="P9" s="63">
        <v>3238</v>
      </c>
    </row>
    <row r="10" spans="1:21" ht="15" customHeight="1" x14ac:dyDescent="0.3">
      <c r="A10" s="9">
        <v>3239</v>
      </c>
      <c r="B10" s="53"/>
      <c r="C10" s="8"/>
      <c r="D10" s="61"/>
      <c r="E10" s="61"/>
      <c r="F10" s="61"/>
      <c r="G10" s="61"/>
      <c r="H10" s="61"/>
      <c r="I10" s="57"/>
      <c r="J10" s="61"/>
      <c r="K10" s="57"/>
      <c r="L10" s="61"/>
      <c r="M10" s="22"/>
      <c r="N10" s="25"/>
      <c r="O10" s="53"/>
      <c r="P10" s="63"/>
    </row>
    <row r="11" spans="1:21" ht="15" customHeight="1" x14ac:dyDescent="0.3">
      <c r="A11" s="9">
        <v>3240</v>
      </c>
      <c r="B11" s="53">
        <v>45931</v>
      </c>
      <c r="C11" s="8"/>
      <c r="D11" s="61">
        <v>3</v>
      </c>
      <c r="E11" s="61">
        <v>12</v>
      </c>
      <c r="F11" s="61">
        <v>12</v>
      </c>
      <c r="G11" s="61">
        <v>0</v>
      </c>
      <c r="H11" s="61">
        <v>0</v>
      </c>
      <c r="I11" s="57"/>
      <c r="J11" s="61"/>
      <c r="K11" s="57"/>
      <c r="L11" s="61"/>
      <c r="M11" s="22" t="s">
        <v>24</v>
      </c>
      <c r="N11" s="25" t="s">
        <v>14</v>
      </c>
      <c r="O11" s="53">
        <v>45931</v>
      </c>
      <c r="P11" s="63">
        <v>3240</v>
      </c>
    </row>
    <row r="12" spans="1:21" ht="15" customHeight="1" thickBot="1" x14ac:dyDescent="0.35">
      <c r="A12" s="17">
        <v>3241</v>
      </c>
      <c r="B12" s="53">
        <v>45876</v>
      </c>
      <c r="C12" s="8"/>
      <c r="D12" s="61">
        <v>4</v>
      </c>
      <c r="E12" s="61">
        <v>121</v>
      </c>
      <c r="F12" s="61">
        <v>77</v>
      </c>
      <c r="G12" s="61">
        <v>44</v>
      </c>
      <c r="H12" s="61">
        <v>2</v>
      </c>
      <c r="I12" s="57">
        <v>45878</v>
      </c>
      <c r="J12" s="61">
        <v>16</v>
      </c>
      <c r="K12" s="57">
        <v>45881</v>
      </c>
      <c r="L12" s="61">
        <v>28</v>
      </c>
      <c r="M12" s="22" t="s">
        <v>24</v>
      </c>
      <c r="N12" s="25" t="s">
        <v>14</v>
      </c>
      <c r="O12" s="53">
        <v>45881</v>
      </c>
      <c r="P12" s="63">
        <v>3241</v>
      </c>
    </row>
    <row r="13" spans="1:21" ht="15" customHeight="1" x14ac:dyDescent="0.3">
      <c r="A13" s="3">
        <v>3242</v>
      </c>
      <c r="B13" s="53">
        <v>45893</v>
      </c>
      <c r="C13" s="8"/>
      <c r="D13" s="61">
        <v>4</v>
      </c>
      <c r="E13" s="61">
        <v>37</v>
      </c>
      <c r="F13" s="61">
        <v>37</v>
      </c>
      <c r="G13" s="61">
        <v>0</v>
      </c>
      <c r="H13" s="61">
        <v>0</v>
      </c>
      <c r="I13" s="57"/>
      <c r="J13" s="61"/>
      <c r="K13" s="57"/>
      <c r="L13" s="61"/>
      <c r="M13" s="22" t="s">
        <v>24</v>
      </c>
      <c r="N13" s="25" t="s">
        <v>31</v>
      </c>
      <c r="O13" s="53">
        <v>45893</v>
      </c>
      <c r="P13" s="63">
        <v>3242</v>
      </c>
    </row>
    <row r="14" spans="1:21" ht="15" customHeight="1" x14ac:dyDescent="0.3">
      <c r="A14" s="18">
        <v>3243</v>
      </c>
      <c r="B14" s="53">
        <v>45916</v>
      </c>
      <c r="C14" s="8"/>
      <c r="D14" s="61">
        <v>2</v>
      </c>
      <c r="E14" s="61">
        <v>4</v>
      </c>
      <c r="F14" s="61">
        <v>4</v>
      </c>
      <c r="G14" s="61">
        <v>0</v>
      </c>
      <c r="H14" s="61">
        <v>0</v>
      </c>
      <c r="I14" s="57"/>
      <c r="J14" s="61"/>
      <c r="K14" s="57"/>
      <c r="L14" s="61"/>
      <c r="M14" s="22" t="s">
        <v>24</v>
      </c>
      <c r="N14" s="25" t="s">
        <v>14</v>
      </c>
      <c r="O14" s="53">
        <v>45916</v>
      </c>
      <c r="P14" s="63">
        <v>3243</v>
      </c>
    </row>
    <row r="15" spans="1:21" ht="15" customHeight="1" x14ac:dyDescent="0.3">
      <c r="A15" s="18">
        <v>3244</v>
      </c>
      <c r="B15" s="53">
        <v>45896</v>
      </c>
      <c r="C15" s="8"/>
      <c r="D15" s="61">
        <v>1</v>
      </c>
      <c r="E15" s="61">
        <v>1</v>
      </c>
      <c r="F15" s="61">
        <v>1</v>
      </c>
      <c r="G15" s="61">
        <v>0</v>
      </c>
      <c r="H15" s="61">
        <v>0</v>
      </c>
      <c r="I15" s="57"/>
      <c r="J15" s="61"/>
      <c r="K15" s="57"/>
      <c r="L15" s="61"/>
      <c r="M15" s="22" t="s">
        <v>24</v>
      </c>
      <c r="N15" s="25" t="s">
        <v>31</v>
      </c>
      <c r="O15" s="53">
        <v>45896</v>
      </c>
      <c r="P15" s="63">
        <v>3244</v>
      </c>
    </row>
    <row r="16" spans="1:21" ht="15" customHeight="1" x14ac:dyDescent="0.3">
      <c r="A16" s="18">
        <v>3245</v>
      </c>
      <c r="B16" s="53"/>
      <c r="C16" s="8"/>
      <c r="D16" s="61"/>
      <c r="E16" s="61"/>
      <c r="F16" s="61"/>
      <c r="G16" s="61"/>
      <c r="H16" s="61"/>
      <c r="I16" s="57"/>
      <c r="J16" s="61"/>
      <c r="K16" s="57"/>
      <c r="L16" s="61"/>
      <c r="M16" s="22"/>
      <c r="N16" s="25"/>
      <c r="O16" s="53"/>
      <c r="P16" s="63"/>
    </row>
    <row r="17" spans="1:16" ht="15" customHeight="1" x14ac:dyDescent="0.3">
      <c r="A17" s="18">
        <v>3246</v>
      </c>
      <c r="B17" s="53">
        <v>45918</v>
      </c>
      <c r="C17" s="8"/>
      <c r="D17" s="61">
        <v>2</v>
      </c>
      <c r="E17" s="61">
        <v>12</v>
      </c>
      <c r="F17" s="61">
        <v>12</v>
      </c>
      <c r="G17" s="61">
        <v>0</v>
      </c>
      <c r="H17" s="61">
        <v>0</v>
      </c>
      <c r="I17" s="57"/>
      <c r="J17" s="61"/>
      <c r="K17" s="57"/>
      <c r="L17" s="61"/>
      <c r="M17" s="22" t="s">
        <v>24</v>
      </c>
      <c r="N17" s="25" t="s">
        <v>14</v>
      </c>
      <c r="O17" s="53">
        <v>45918</v>
      </c>
      <c r="P17" s="63">
        <v>3246</v>
      </c>
    </row>
    <row r="18" spans="1:16" ht="15" customHeight="1" x14ac:dyDescent="0.3">
      <c r="A18" s="18">
        <v>3247</v>
      </c>
      <c r="B18" s="53"/>
      <c r="C18" s="8"/>
      <c r="D18" s="61"/>
      <c r="E18" s="61"/>
      <c r="F18" s="61"/>
      <c r="G18" s="61"/>
      <c r="H18" s="61"/>
      <c r="I18" s="57"/>
      <c r="J18" s="61"/>
      <c r="K18" s="57"/>
      <c r="L18" s="61"/>
      <c r="M18" s="22"/>
      <c r="N18" s="25"/>
      <c r="O18" s="53"/>
      <c r="P18" s="63"/>
    </row>
    <row r="19" spans="1:16" ht="15" customHeight="1" x14ac:dyDescent="0.3">
      <c r="A19" s="18">
        <v>3248</v>
      </c>
      <c r="B19" s="53">
        <v>45906</v>
      </c>
      <c r="C19" s="8"/>
      <c r="D19" s="61">
        <v>1</v>
      </c>
      <c r="E19" s="61">
        <v>10</v>
      </c>
      <c r="F19" s="61">
        <v>10</v>
      </c>
      <c r="G19" s="61">
        <v>0</v>
      </c>
      <c r="H19" s="61">
        <v>0</v>
      </c>
      <c r="I19" s="57"/>
      <c r="J19" s="61"/>
      <c r="K19" s="57"/>
      <c r="L19" s="61"/>
      <c r="M19" s="22" t="s">
        <v>29</v>
      </c>
      <c r="N19" s="25" t="s">
        <v>14</v>
      </c>
      <c r="O19" s="53">
        <v>45906</v>
      </c>
      <c r="P19" s="63">
        <v>3248</v>
      </c>
    </row>
    <row r="20" spans="1:16" ht="15" customHeight="1" x14ac:dyDescent="0.3">
      <c r="A20" s="18">
        <v>3250</v>
      </c>
      <c r="B20" s="53"/>
      <c r="C20" s="8"/>
      <c r="D20" s="61"/>
      <c r="E20" s="61"/>
      <c r="F20" s="61"/>
      <c r="G20" s="61"/>
      <c r="H20" s="61"/>
      <c r="I20" s="57"/>
      <c r="J20" s="61"/>
      <c r="K20" s="57"/>
      <c r="L20" s="61"/>
      <c r="M20" s="22"/>
      <c r="N20" s="25"/>
      <c r="O20" s="53"/>
      <c r="P20" s="63"/>
    </row>
    <row r="21" spans="1:16" ht="15" customHeight="1" x14ac:dyDescent="0.3">
      <c r="A21" s="18">
        <v>3251</v>
      </c>
      <c r="B21" s="53"/>
      <c r="C21" s="8"/>
      <c r="D21" s="61"/>
      <c r="E21" s="61"/>
      <c r="F21" s="61"/>
      <c r="G21" s="61"/>
      <c r="H21" s="61"/>
      <c r="I21" s="57"/>
      <c r="J21" s="61"/>
      <c r="K21" s="57"/>
      <c r="L21" s="61"/>
      <c r="M21" s="22"/>
      <c r="N21" s="25"/>
      <c r="O21" s="53"/>
      <c r="P21" s="63"/>
    </row>
    <row r="22" spans="1:16" ht="15" customHeight="1" x14ac:dyDescent="0.3">
      <c r="A22" s="18">
        <v>3252</v>
      </c>
      <c r="B22" s="53"/>
      <c r="C22" s="8"/>
      <c r="D22" s="61"/>
      <c r="E22" s="61"/>
      <c r="F22" s="61"/>
      <c r="G22" s="61"/>
      <c r="H22" s="61"/>
      <c r="I22" s="57"/>
      <c r="J22" s="61"/>
      <c r="K22" s="57"/>
      <c r="L22" s="61"/>
      <c r="M22" s="22"/>
      <c r="N22" s="25"/>
      <c r="O22" s="53"/>
      <c r="P22" s="63"/>
    </row>
    <row r="23" spans="1:16" ht="15" customHeight="1" thickBot="1" x14ac:dyDescent="0.35">
      <c r="A23" s="19">
        <v>3253</v>
      </c>
      <c r="B23" s="53"/>
      <c r="C23" s="8"/>
      <c r="D23" s="61"/>
      <c r="E23" s="61"/>
      <c r="F23" s="61"/>
      <c r="G23" s="61"/>
      <c r="H23" s="61"/>
      <c r="I23" s="57"/>
      <c r="J23" s="61"/>
      <c r="K23" s="57"/>
      <c r="L23" s="61"/>
      <c r="M23" s="22"/>
      <c r="N23" s="25"/>
      <c r="O23" s="53"/>
      <c r="P23" s="63"/>
    </row>
    <row r="24" spans="1:16" ht="15" customHeight="1" x14ac:dyDescent="0.3">
      <c r="A24" s="3">
        <v>3254</v>
      </c>
      <c r="B24" s="53"/>
      <c r="C24" s="8"/>
      <c r="D24" s="61"/>
      <c r="E24" s="61"/>
      <c r="F24" s="61"/>
      <c r="G24" s="61"/>
      <c r="H24" s="61"/>
      <c r="I24" s="57"/>
      <c r="J24" s="61"/>
      <c r="K24" s="57"/>
      <c r="L24" s="61"/>
      <c r="M24" s="22"/>
      <c r="N24" s="25"/>
      <c r="O24" s="53"/>
      <c r="P24" s="63"/>
    </row>
    <row r="25" spans="1:16" ht="15" customHeight="1" x14ac:dyDescent="0.3">
      <c r="A25" s="18">
        <v>3255</v>
      </c>
      <c r="B25" s="53"/>
      <c r="C25" s="8"/>
      <c r="D25" s="61"/>
      <c r="E25" s="61"/>
      <c r="F25" s="61"/>
      <c r="G25" s="61"/>
      <c r="H25" s="61"/>
      <c r="I25" s="57"/>
      <c r="J25" s="61"/>
      <c r="K25" s="57"/>
      <c r="L25" s="61"/>
      <c r="M25" s="22"/>
      <c r="N25" s="25"/>
      <c r="O25" s="53"/>
      <c r="P25" s="63"/>
    </row>
    <row r="26" spans="1:16" ht="15" customHeight="1" x14ac:dyDescent="0.3">
      <c r="A26" s="18">
        <v>3256</v>
      </c>
      <c r="B26" s="53"/>
      <c r="C26" s="8"/>
      <c r="D26" s="61"/>
      <c r="E26" s="61"/>
      <c r="F26" s="61"/>
      <c r="G26" s="61"/>
      <c r="H26" s="61"/>
      <c r="I26" s="57"/>
      <c r="J26" s="61"/>
      <c r="K26" s="57"/>
      <c r="L26" s="61"/>
      <c r="M26" s="22"/>
      <c r="N26" s="25"/>
      <c r="O26" s="53"/>
      <c r="P26" s="63"/>
    </row>
    <row r="27" spans="1:16" ht="15" customHeight="1" x14ac:dyDescent="0.3">
      <c r="A27" s="18">
        <v>3258</v>
      </c>
      <c r="B27" s="53">
        <v>45880</v>
      </c>
      <c r="C27" s="8"/>
      <c r="D27" s="61">
        <v>2</v>
      </c>
      <c r="E27" s="61">
        <v>38</v>
      </c>
      <c r="F27" s="61">
        <v>38</v>
      </c>
      <c r="G27" s="61">
        <v>0</v>
      </c>
      <c r="H27" s="61">
        <v>0</v>
      </c>
      <c r="I27" s="57"/>
      <c r="J27" s="61"/>
      <c r="K27" s="57"/>
      <c r="L27" s="61"/>
      <c r="M27" s="22" t="s">
        <v>24</v>
      </c>
      <c r="N27" s="25" t="s">
        <v>14</v>
      </c>
      <c r="O27" s="53">
        <v>45880</v>
      </c>
      <c r="P27" s="63">
        <v>3258</v>
      </c>
    </row>
    <row r="28" spans="1:16" ht="15" customHeight="1" x14ac:dyDescent="0.3">
      <c r="A28" s="18">
        <v>3259</v>
      </c>
      <c r="B28" s="53"/>
      <c r="C28" s="8"/>
      <c r="D28" s="61"/>
      <c r="E28" s="61"/>
      <c r="F28" s="61"/>
      <c r="G28" s="61"/>
      <c r="H28" s="61"/>
      <c r="I28" s="57"/>
      <c r="J28" s="61"/>
      <c r="K28" s="57"/>
      <c r="L28" s="61"/>
      <c r="M28" s="22"/>
      <c r="N28" s="25"/>
      <c r="O28" s="53"/>
      <c r="P28" s="63"/>
    </row>
    <row r="29" spans="1:16" ht="15" customHeight="1" x14ac:dyDescent="0.3">
      <c r="A29" s="18">
        <v>3260</v>
      </c>
      <c r="B29" s="53"/>
      <c r="C29" s="8"/>
      <c r="D29" s="61"/>
      <c r="E29" s="61"/>
      <c r="F29" s="61"/>
      <c r="G29" s="61"/>
      <c r="H29" s="61"/>
      <c r="I29" s="57"/>
      <c r="J29" s="61"/>
      <c r="K29" s="57"/>
      <c r="L29" s="61"/>
      <c r="M29" s="22"/>
      <c r="N29" s="25"/>
      <c r="O29" s="53"/>
      <c r="P29" s="63"/>
    </row>
    <row r="30" spans="1:16" ht="15" customHeight="1" x14ac:dyDescent="0.3">
      <c r="A30" s="18">
        <v>3261</v>
      </c>
      <c r="B30" s="53">
        <v>45890</v>
      </c>
      <c r="C30" s="8"/>
      <c r="D30" s="61">
        <v>2</v>
      </c>
      <c r="E30" s="61">
        <v>10</v>
      </c>
      <c r="F30" s="61">
        <v>10</v>
      </c>
      <c r="G30" s="61">
        <v>0</v>
      </c>
      <c r="H30" s="61">
        <v>0</v>
      </c>
      <c r="I30" s="57"/>
      <c r="J30" s="61"/>
      <c r="K30" s="57"/>
      <c r="L30" s="61"/>
      <c r="M30" s="22" t="s">
        <v>24</v>
      </c>
      <c r="N30" s="25" t="s">
        <v>31</v>
      </c>
      <c r="O30" s="53">
        <v>45890</v>
      </c>
      <c r="P30" s="63">
        <v>3261</v>
      </c>
    </row>
    <row r="31" spans="1:16" ht="15" customHeight="1" x14ac:dyDescent="0.3">
      <c r="A31" s="18">
        <v>3262</v>
      </c>
      <c r="B31" s="53">
        <v>45869</v>
      </c>
      <c r="C31" s="8"/>
      <c r="D31" s="61">
        <v>3</v>
      </c>
      <c r="E31" s="61">
        <v>9</v>
      </c>
      <c r="F31" s="61">
        <v>9</v>
      </c>
      <c r="G31" s="61">
        <v>0</v>
      </c>
      <c r="H31" s="61">
        <v>0</v>
      </c>
      <c r="I31" s="57"/>
      <c r="J31" s="61"/>
      <c r="K31" s="57"/>
      <c r="L31" s="61"/>
      <c r="M31" s="22" t="s">
        <v>24</v>
      </c>
      <c r="N31" s="25" t="s">
        <v>14</v>
      </c>
      <c r="O31" s="53">
        <v>45869</v>
      </c>
      <c r="P31" s="63">
        <v>3262</v>
      </c>
    </row>
    <row r="32" spans="1:16" ht="15" customHeight="1" x14ac:dyDescent="0.3">
      <c r="A32" s="18">
        <v>3263</v>
      </c>
      <c r="B32" s="53">
        <v>45894</v>
      </c>
      <c r="C32" s="8"/>
      <c r="D32" s="61">
        <v>1</v>
      </c>
      <c r="E32" s="61">
        <v>1</v>
      </c>
      <c r="F32" s="61">
        <v>1</v>
      </c>
      <c r="G32" s="61">
        <v>0</v>
      </c>
      <c r="H32" s="61">
        <v>0</v>
      </c>
      <c r="I32" s="57"/>
      <c r="J32" s="61"/>
      <c r="K32" s="57"/>
      <c r="L32" s="61"/>
      <c r="M32" s="22" t="s">
        <v>24</v>
      </c>
      <c r="N32" s="25" t="s">
        <v>31</v>
      </c>
      <c r="O32" s="53">
        <v>45894</v>
      </c>
      <c r="P32" s="63">
        <v>3263</v>
      </c>
    </row>
    <row r="33" spans="1:16" ht="15" customHeight="1" x14ac:dyDescent="0.3">
      <c r="A33" s="18">
        <v>3264</v>
      </c>
      <c r="B33" s="53">
        <v>45889</v>
      </c>
      <c r="C33" s="8"/>
      <c r="D33" s="61">
        <v>1</v>
      </c>
      <c r="E33" s="61">
        <v>1</v>
      </c>
      <c r="F33" s="61">
        <v>1</v>
      </c>
      <c r="G33" s="61">
        <v>0</v>
      </c>
      <c r="H33" s="61">
        <v>0</v>
      </c>
      <c r="I33" s="57"/>
      <c r="J33" s="61"/>
      <c r="K33" s="57"/>
      <c r="L33" s="61"/>
      <c r="M33" s="22" t="s">
        <v>24</v>
      </c>
      <c r="N33" s="25" t="s">
        <v>31</v>
      </c>
      <c r="O33" s="53">
        <v>45889</v>
      </c>
      <c r="P33" s="63">
        <v>3264</v>
      </c>
    </row>
    <row r="34" spans="1:16" ht="15" customHeight="1" thickBot="1" x14ac:dyDescent="0.35">
      <c r="A34" s="19">
        <v>3265</v>
      </c>
      <c r="B34" s="53">
        <v>45930</v>
      </c>
      <c r="C34" s="8"/>
      <c r="D34" s="61">
        <v>2</v>
      </c>
      <c r="E34" s="61">
        <v>24</v>
      </c>
      <c r="F34" s="61">
        <v>24</v>
      </c>
      <c r="G34" s="61">
        <v>0</v>
      </c>
      <c r="H34" s="61">
        <v>0</v>
      </c>
      <c r="I34" s="57"/>
      <c r="J34" s="61"/>
      <c r="K34" s="57"/>
      <c r="L34" s="61"/>
      <c r="M34" s="22" t="s">
        <v>24</v>
      </c>
      <c r="N34" s="25" t="s">
        <v>14</v>
      </c>
      <c r="O34" s="53">
        <v>45930</v>
      </c>
      <c r="P34" s="63">
        <v>3264</v>
      </c>
    </row>
    <row r="35" spans="1:16" ht="15" customHeight="1" x14ac:dyDescent="0.3">
      <c r="A35" s="3">
        <v>3266</v>
      </c>
      <c r="B35" s="53">
        <v>45882</v>
      </c>
      <c r="C35" s="8"/>
      <c r="D35" s="61">
        <v>2</v>
      </c>
      <c r="E35" s="61">
        <v>35</v>
      </c>
      <c r="F35" s="61">
        <v>35</v>
      </c>
      <c r="G35" s="61">
        <v>0</v>
      </c>
      <c r="H35" s="61">
        <v>0</v>
      </c>
      <c r="I35" s="57"/>
      <c r="J35" s="61"/>
      <c r="K35" s="57"/>
      <c r="L35" s="61"/>
      <c r="M35" s="22" t="s">
        <v>29</v>
      </c>
      <c r="N35" s="25" t="s">
        <v>14</v>
      </c>
      <c r="O35" s="53">
        <v>45882</v>
      </c>
      <c r="P35" s="63">
        <v>3266</v>
      </c>
    </row>
    <row r="36" spans="1:16" ht="15" customHeight="1" x14ac:dyDescent="0.3">
      <c r="A36" s="18">
        <v>3267</v>
      </c>
      <c r="B36" s="53"/>
      <c r="C36" s="8"/>
      <c r="D36" s="61"/>
      <c r="E36" s="61"/>
      <c r="F36" s="61"/>
      <c r="G36" s="61"/>
      <c r="H36" s="61"/>
      <c r="I36" s="57"/>
      <c r="J36" s="61"/>
      <c r="K36" s="57"/>
      <c r="L36" s="61"/>
      <c r="M36" s="22"/>
      <c r="N36" s="25"/>
      <c r="O36" s="53"/>
      <c r="P36" s="63"/>
    </row>
    <row r="37" spans="1:16" ht="15" customHeight="1" x14ac:dyDescent="0.3">
      <c r="A37" s="18">
        <v>3299</v>
      </c>
      <c r="B37" s="53">
        <v>45917</v>
      </c>
      <c r="C37" s="8"/>
      <c r="D37" s="61">
        <v>1</v>
      </c>
      <c r="E37" s="61">
        <v>9</v>
      </c>
      <c r="F37" s="61">
        <v>9</v>
      </c>
      <c r="G37" s="61">
        <v>0</v>
      </c>
      <c r="H37" s="61">
        <v>0</v>
      </c>
      <c r="I37" s="57"/>
      <c r="J37" s="61"/>
      <c r="K37" s="57"/>
      <c r="L37" s="61"/>
      <c r="M37" s="22" t="s">
        <v>24</v>
      </c>
      <c r="N37" s="25" t="s">
        <v>14</v>
      </c>
      <c r="O37" s="53">
        <v>45917</v>
      </c>
      <c r="P37" s="63">
        <v>3299</v>
      </c>
    </row>
    <row r="38" spans="1:16" ht="15" customHeight="1" x14ac:dyDescent="0.3">
      <c r="A38" s="18">
        <v>3531</v>
      </c>
      <c r="B38" s="53">
        <v>45869</v>
      </c>
      <c r="C38" s="8"/>
      <c r="D38" s="61">
        <v>1</v>
      </c>
      <c r="E38" s="61">
        <v>22</v>
      </c>
      <c r="F38" s="61">
        <v>22</v>
      </c>
      <c r="G38" s="61">
        <v>0</v>
      </c>
      <c r="H38" s="61">
        <v>0</v>
      </c>
      <c r="I38" s="57"/>
      <c r="J38" s="61"/>
      <c r="K38" s="57"/>
      <c r="L38" s="61"/>
      <c r="M38" s="22" t="s">
        <v>24</v>
      </c>
      <c r="N38" s="25" t="s">
        <v>14</v>
      </c>
      <c r="O38" s="53">
        <v>45869</v>
      </c>
      <c r="P38" s="63">
        <v>3531</v>
      </c>
    </row>
    <row r="39" spans="1:16" ht="15" customHeight="1" x14ac:dyDescent="0.3">
      <c r="A39" s="18">
        <v>3532</v>
      </c>
      <c r="B39" s="53"/>
      <c r="C39" s="8"/>
      <c r="D39" s="61"/>
      <c r="E39" s="61"/>
      <c r="F39" s="61"/>
      <c r="G39" s="61"/>
      <c r="H39" s="61"/>
      <c r="I39" s="57"/>
      <c r="J39" s="61"/>
      <c r="K39" s="57"/>
      <c r="L39" s="61"/>
      <c r="M39" s="22"/>
      <c r="N39" s="25"/>
      <c r="O39" s="53"/>
      <c r="P39" s="63"/>
    </row>
    <row r="40" spans="1:16" ht="15" customHeight="1" x14ac:dyDescent="0.3">
      <c r="A40" s="18">
        <v>3533</v>
      </c>
      <c r="B40" s="53"/>
      <c r="C40" s="8"/>
      <c r="D40" s="61"/>
      <c r="E40" s="61"/>
      <c r="F40" s="61"/>
      <c r="G40" s="61"/>
      <c r="H40" s="61"/>
      <c r="I40" s="57"/>
      <c r="J40" s="61"/>
      <c r="K40" s="57"/>
      <c r="L40" s="61"/>
      <c r="M40" s="22"/>
      <c r="N40" s="25"/>
      <c r="O40" s="53"/>
      <c r="P40" s="63"/>
    </row>
    <row r="41" spans="1:16" ht="15" customHeight="1" x14ac:dyDescent="0.3">
      <c r="A41" s="18">
        <v>3534</v>
      </c>
      <c r="B41" s="53"/>
      <c r="C41" s="8"/>
      <c r="D41" s="61"/>
      <c r="E41" s="61"/>
      <c r="F41" s="61"/>
      <c r="G41" s="61"/>
      <c r="H41" s="61"/>
      <c r="I41" s="57"/>
      <c r="J41" s="61"/>
      <c r="K41" s="57"/>
      <c r="L41" s="61"/>
      <c r="M41" s="22"/>
      <c r="N41" s="25"/>
      <c r="O41" s="53"/>
      <c r="P41" s="63"/>
    </row>
    <row r="42" spans="1:16" ht="15" customHeight="1" x14ac:dyDescent="0.3">
      <c r="A42" s="18">
        <v>3535</v>
      </c>
      <c r="B42" s="53">
        <v>45907</v>
      </c>
      <c r="C42" s="8"/>
      <c r="D42" s="61">
        <v>1</v>
      </c>
      <c r="E42" s="61">
        <v>16</v>
      </c>
      <c r="F42" s="61">
        <v>16</v>
      </c>
      <c r="G42" s="61">
        <v>0</v>
      </c>
      <c r="H42" s="61">
        <v>0</v>
      </c>
      <c r="I42" s="57"/>
      <c r="J42" s="61"/>
      <c r="K42" s="57"/>
      <c r="L42" s="61"/>
      <c r="M42" s="22" t="s">
        <v>29</v>
      </c>
      <c r="N42" s="25" t="s">
        <v>30</v>
      </c>
      <c r="O42" s="53">
        <v>45907</v>
      </c>
      <c r="P42" s="63">
        <v>3535</v>
      </c>
    </row>
    <row r="43" spans="1:16" ht="15" customHeight="1" x14ac:dyDescent="0.3">
      <c r="A43" s="18">
        <v>3536</v>
      </c>
      <c r="B43" s="53"/>
      <c r="C43" s="8"/>
      <c r="D43" s="61"/>
      <c r="E43" s="61"/>
      <c r="F43" s="61"/>
      <c r="G43" s="61"/>
      <c r="H43" s="61"/>
      <c r="I43" s="57"/>
      <c r="J43" s="61"/>
      <c r="K43" s="57"/>
      <c r="L43" s="61"/>
      <c r="M43" s="22"/>
      <c r="N43" s="25"/>
      <c r="O43" s="53"/>
      <c r="P43" s="63"/>
    </row>
    <row r="44" spans="1:16" ht="15" customHeight="1" x14ac:dyDescent="0.3">
      <c r="A44" s="18">
        <v>3537</v>
      </c>
      <c r="B44" s="53">
        <v>45880</v>
      </c>
      <c r="C44" s="8"/>
      <c r="D44" s="61">
        <v>3</v>
      </c>
      <c r="E44" s="61">
        <v>69</v>
      </c>
      <c r="F44" s="61">
        <v>69</v>
      </c>
      <c r="G44" s="61">
        <v>0</v>
      </c>
      <c r="H44" s="61">
        <v>0</v>
      </c>
      <c r="I44" s="57"/>
      <c r="J44" s="61"/>
      <c r="K44" s="57"/>
      <c r="L44" s="61"/>
      <c r="M44" s="22" t="s">
        <v>24</v>
      </c>
      <c r="N44" s="25" t="s">
        <v>14</v>
      </c>
      <c r="O44" s="53">
        <v>45880</v>
      </c>
      <c r="P44" s="63">
        <v>3537</v>
      </c>
    </row>
    <row r="45" spans="1:16" ht="15" customHeight="1" thickBot="1" x14ac:dyDescent="0.35">
      <c r="A45" s="19">
        <v>3538</v>
      </c>
      <c r="B45" s="53">
        <v>45909</v>
      </c>
      <c r="C45" s="8"/>
      <c r="D45" s="61">
        <v>2</v>
      </c>
      <c r="E45" s="61">
        <v>16</v>
      </c>
      <c r="F45" s="61">
        <v>10</v>
      </c>
      <c r="G45" s="61">
        <v>6</v>
      </c>
      <c r="H45" s="61">
        <v>1</v>
      </c>
      <c r="I45" s="57"/>
      <c r="J45" s="61"/>
      <c r="K45" s="57"/>
      <c r="L45" s="61"/>
      <c r="M45" s="22" t="s">
        <v>24</v>
      </c>
      <c r="N45" s="25"/>
      <c r="O45" s="53"/>
      <c r="P45" s="63"/>
    </row>
    <row r="46" spans="1:16" ht="15" customHeight="1" x14ac:dyDescent="0.3">
      <c r="A46" s="3">
        <v>3540</v>
      </c>
      <c r="B46" s="53"/>
      <c r="C46" s="8"/>
      <c r="D46" s="61"/>
      <c r="E46" s="61"/>
      <c r="F46" s="61"/>
      <c r="G46" s="61"/>
      <c r="H46" s="61"/>
      <c r="I46" s="57"/>
      <c r="J46" s="61"/>
      <c r="K46" s="57"/>
      <c r="L46" s="61"/>
      <c r="M46" s="22"/>
      <c r="N46" s="25"/>
      <c r="O46" s="53"/>
      <c r="P46" s="63"/>
    </row>
    <row r="47" spans="1:16" ht="15" customHeight="1" x14ac:dyDescent="0.3">
      <c r="A47" s="18">
        <v>3541</v>
      </c>
      <c r="B47" s="53">
        <v>45895</v>
      </c>
      <c r="C47" s="8"/>
      <c r="D47" s="61">
        <v>1</v>
      </c>
      <c r="E47" s="61">
        <v>40</v>
      </c>
      <c r="F47" s="61">
        <v>40</v>
      </c>
      <c r="G47" s="61">
        <v>0</v>
      </c>
      <c r="H47" s="61">
        <v>0</v>
      </c>
      <c r="I47" s="57"/>
      <c r="J47" s="61"/>
      <c r="K47" s="57"/>
      <c r="L47" s="61"/>
      <c r="M47" s="22" t="s">
        <v>24</v>
      </c>
      <c r="N47" s="25" t="s">
        <v>31</v>
      </c>
      <c r="O47" s="53">
        <v>45895</v>
      </c>
      <c r="P47" s="63">
        <v>3541</v>
      </c>
    </row>
    <row r="48" spans="1:16" ht="15" customHeight="1" x14ac:dyDescent="0.3">
      <c r="A48" s="18">
        <v>3542</v>
      </c>
      <c r="B48" s="53">
        <v>45854</v>
      </c>
      <c r="C48" s="8"/>
      <c r="D48" s="61">
        <v>3</v>
      </c>
      <c r="E48" s="61">
        <v>74</v>
      </c>
      <c r="F48" s="61">
        <v>74</v>
      </c>
      <c r="G48" s="61">
        <v>0</v>
      </c>
      <c r="H48" s="61">
        <v>0</v>
      </c>
      <c r="I48" s="57"/>
      <c r="J48" s="61"/>
      <c r="K48" s="57"/>
      <c r="L48" s="61"/>
      <c r="M48" s="22" t="s">
        <v>24</v>
      </c>
      <c r="N48" s="25" t="s">
        <v>14</v>
      </c>
      <c r="O48" s="53">
        <v>45854</v>
      </c>
      <c r="P48" s="63">
        <v>3542</v>
      </c>
    </row>
    <row r="49" spans="1:16" ht="15" customHeight="1" x14ac:dyDescent="0.3">
      <c r="A49" s="18">
        <v>3543</v>
      </c>
      <c r="B49" s="53"/>
      <c r="C49" s="8"/>
      <c r="D49" s="61"/>
      <c r="E49" s="61"/>
      <c r="F49" s="61"/>
      <c r="G49" s="61"/>
      <c r="H49" s="61"/>
      <c r="I49" s="57"/>
      <c r="J49" s="61"/>
      <c r="K49" s="57"/>
      <c r="L49" s="61"/>
      <c r="M49" s="22"/>
      <c r="N49" s="25"/>
      <c r="O49" s="53"/>
      <c r="P49" s="63"/>
    </row>
    <row r="50" spans="1:16" ht="15" customHeight="1" x14ac:dyDescent="0.3">
      <c r="A50" s="18">
        <v>3544</v>
      </c>
      <c r="B50" s="53"/>
      <c r="C50" s="8"/>
      <c r="D50" s="61"/>
      <c r="E50" s="61"/>
      <c r="F50" s="61"/>
      <c r="G50" s="61"/>
      <c r="H50" s="61"/>
      <c r="I50" s="57"/>
      <c r="J50" s="61"/>
      <c r="K50" s="57"/>
      <c r="L50" s="61"/>
      <c r="M50" s="22"/>
      <c r="N50" s="25"/>
      <c r="O50" s="53"/>
      <c r="P50" s="63"/>
    </row>
    <row r="51" spans="1:16" ht="15" customHeight="1" x14ac:dyDescent="0.3">
      <c r="A51" s="18">
        <v>3545</v>
      </c>
      <c r="B51" s="53">
        <v>45900</v>
      </c>
      <c r="C51" s="8"/>
      <c r="D51" s="61">
        <v>3</v>
      </c>
      <c r="E51" s="61">
        <v>54</v>
      </c>
      <c r="F51" s="61">
        <v>54</v>
      </c>
      <c r="G51" s="61">
        <v>0</v>
      </c>
      <c r="H51" s="61">
        <v>0</v>
      </c>
      <c r="I51" s="57"/>
      <c r="J51" s="61"/>
      <c r="K51" s="57"/>
      <c r="L51" s="61"/>
      <c r="M51" s="22" t="s">
        <v>24</v>
      </c>
      <c r="N51" s="25" t="s">
        <v>30</v>
      </c>
      <c r="O51" s="53">
        <v>45900</v>
      </c>
      <c r="P51" s="63">
        <v>3545</v>
      </c>
    </row>
    <row r="52" spans="1:16" ht="15" customHeight="1" x14ac:dyDescent="0.3">
      <c r="A52" s="18">
        <v>3546</v>
      </c>
      <c r="B52" s="53"/>
      <c r="C52" s="8"/>
      <c r="D52" s="61"/>
      <c r="E52" s="61"/>
      <c r="F52" s="61"/>
      <c r="G52" s="61"/>
      <c r="H52" s="61"/>
      <c r="I52" s="57"/>
      <c r="J52" s="61"/>
      <c r="K52" s="57"/>
      <c r="L52" s="61"/>
      <c r="M52" s="22"/>
      <c r="N52" s="25"/>
      <c r="O52" s="53"/>
      <c r="P52" s="63"/>
    </row>
    <row r="53" spans="1:16" ht="15" customHeight="1" x14ac:dyDescent="0.3">
      <c r="A53" s="18">
        <v>3547</v>
      </c>
      <c r="B53" s="53">
        <v>45873</v>
      </c>
      <c r="C53" s="8"/>
      <c r="D53" s="61">
        <v>1</v>
      </c>
      <c r="E53" s="61">
        <v>20</v>
      </c>
      <c r="F53" s="61">
        <v>20</v>
      </c>
      <c r="G53" s="61">
        <v>0</v>
      </c>
      <c r="H53" s="61">
        <v>0</v>
      </c>
      <c r="I53" s="57"/>
      <c r="J53" s="61"/>
      <c r="K53" s="57"/>
      <c r="L53" s="61"/>
      <c r="M53" s="22" t="s">
        <v>24</v>
      </c>
      <c r="N53" s="25" t="s">
        <v>14</v>
      </c>
      <c r="O53" s="53">
        <v>45873</v>
      </c>
      <c r="P53" s="63">
        <v>3547</v>
      </c>
    </row>
    <row r="54" spans="1:16" ht="15" customHeight="1" x14ac:dyDescent="0.3">
      <c r="A54" s="18">
        <v>3548</v>
      </c>
      <c r="B54" s="53">
        <v>45882</v>
      </c>
      <c r="C54" s="8"/>
      <c r="D54" s="61">
        <v>2</v>
      </c>
      <c r="E54" s="61">
        <v>18</v>
      </c>
      <c r="F54" s="61">
        <v>18</v>
      </c>
      <c r="G54" s="61">
        <v>0</v>
      </c>
      <c r="H54" s="61">
        <v>0</v>
      </c>
      <c r="I54" s="57"/>
      <c r="J54" s="61"/>
      <c r="K54" s="57"/>
      <c r="L54" s="61"/>
      <c r="M54" s="22" t="s">
        <v>24</v>
      </c>
      <c r="N54" s="25" t="s">
        <v>14</v>
      </c>
      <c r="O54" s="53">
        <v>45882</v>
      </c>
      <c r="P54" s="63">
        <v>3548</v>
      </c>
    </row>
    <row r="55" spans="1:16" ht="15" customHeight="1" x14ac:dyDescent="0.3">
      <c r="A55" s="18">
        <v>3549</v>
      </c>
      <c r="B55" s="53">
        <v>45868</v>
      </c>
      <c r="C55" s="8"/>
      <c r="D55" s="61">
        <v>1</v>
      </c>
      <c r="E55" s="61">
        <v>10</v>
      </c>
      <c r="F55" s="61">
        <v>10</v>
      </c>
      <c r="G55" s="61">
        <v>0</v>
      </c>
      <c r="H55" s="61">
        <v>0</v>
      </c>
      <c r="I55" s="57"/>
      <c r="J55" s="61"/>
      <c r="K55" s="57"/>
      <c r="L55" s="61"/>
      <c r="M55" s="22" t="s">
        <v>24</v>
      </c>
      <c r="N55" s="25" t="s">
        <v>14</v>
      </c>
      <c r="O55" s="53">
        <v>45868</v>
      </c>
      <c r="P55" s="63">
        <v>3549</v>
      </c>
    </row>
    <row r="56" spans="1:16" ht="15" customHeight="1" thickBot="1" x14ac:dyDescent="0.35">
      <c r="A56" s="19">
        <v>3550</v>
      </c>
      <c r="B56" s="53">
        <v>45902</v>
      </c>
      <c r="C56" s="8"/>
      <c r="D56" s="61">
        <v>3</v>
      </c>
      <c r="E56" s="61">
        <v>27</v>
      </c>
      <c r="F56" s="61">
        <v>27</v>
      </c>
      <c r="G56" s="61">
        <v>0</v>
      </c>
      <c r="H56" s="61">
        <v>0</v>
      </c>
      <c r="I56" s="57"/>
      <c r="J56" s="61"/>
      <c r="K56" s="57"/>
      <c r="L56" s="61"/>
      <c r="M56" s="22" t="s">
        <v>24</v>
      </c>
      <c r="N56" s="25" t="s">
        <v>30</v>
      </c>
      <c r="O56" s="53">
        <v>45902</v>
      </c>
      <c r="P56" s="63">
        <v>3550</v>
      </c>
    </row>
    <row r="57" spans="1:16" ht="15" customHeight="1" x14ac:dyDescent="0.3">
      <c r="A57" s="3">
        <v>3551</v>
      </c>
      <c r="B57" s="53">
        <v>45897</v>
      </c>
      <c r="C57" s="8"/>
      <c r="D57" s="61">
        <v>2</v>
      </c>
      <c r="E57" s="61">
        <v>9</v>
      </c>
      <c r="F57" s="61">
        <v>9</v>
      </c>
      <c r="G57" s="61">
        <v>0</v>
      </c>
      <c r="H57" s="61">
        <v>0</v>
      </c>
      <c r="I57" s="57"/>
      <c r="J57" s="61"/>
      <c r="K57" s="57"/>
      <c r="L57" s="61"/>
      <c r="M57" s="22" t="s">
        <v>24</v>
      </c>
      <c r="N57" s="25" t="s">
        <v>30</v>
      </c>
      <c r="O57" s="53">
        <v>45897</v>
      </c>
      <c r="P57" s="63">
        <v>3551</v>
      </c>
    </row>
    <row r="58" spans="1:16" ht="15" customHeight="1" x14ac:dyDescent="0.3">
      <c r="A58" s="18">
        <v>3552</v>
      </c>
      <c r="B58" s="53">
        <v>45927</v>
      </c>
      <c r="C58" s="8"/>
      <c r="D58" s="61">
        <v>2</v>
      </c>
      <c r="E58" s="61">
        <v>20</v>
      </c>
      <c r="F58" s="61">
        <v>20</v>
      </c>
      <c r="G58" s="61">
        <v>0</v>
      </c>
      <c r="H58" s="61">
        <v>0</v>
      </c>
      <c r="I58" s="57"/>
      <c r="J58" s="61"/>
      <c r="K58" s="57"/>
      <c r="L58" s="61"/>
      <c r="M58" s="22" t="s">
        <v>24</v>
      </c>
      <c r="N58" s="25" t="s">
        <v>14</v>
      </c>
      <c r="O58" s="53">
        <v>45927</v>
      </c>
      <c r="P58" s="63">
        <v>3552</v>
      </c>
    </row>
    <row r="59" spans="1:16" ht="15" customHeight="1" x14ac:dyDescent="0.3">
      <c r="A59" s="18">
        <v>3553</v>
      </c>
      <c r="B59" s="53">
        <v>45868</v>
      </c>
      <c r="C59" s="8"/>
      <c r="D59" s="61">
        <v>2</v>
      </c>
      <c r="E59" s="61">
        <v>5</v>
      </c>
      <c r="F59" s="61">
        <v>5</v>
      </c>
      <c r="G59" s="61">
        <v>0</v>
      </c>
      <c r="H59" s="61">
        <v>0</v>
      </c>
      <c r="I59" s="57"/>
      <c r="J59" s="61"/>
      <c r="K59" s="57"/>
      <c r="L59" s="61"/>
      <c r="M59" s="22" t="s">
        <v>24</v>
      </c>
      <c r="N59" s="25" t="s">
        <v>14</v>
      </c>
      <c r="O59" s="53">
        <v>45868</v>
      </c>
      <c r="P59" s="63"/>
    </row>
    <row r="60" spans="1:16" ht="15" customHeight="1" x14ac:dyDescent="0.3">
      <c r="A60" s="18">
        <v>3554</v>
      </c>
      <c r="B60" s="53"/>
      <c r="C60" s="8"/>
      <c r="D60" s="61"/>
      <c r="E60" s="61"/>
      <c r="F60" s="61"/>
      <c r="G60" s="61"/>
      <c r="H60" s="61"/>
      <c r="I60" s="57"/>
      <c r="J60" s="61"/>
      <c r="K60" s="57"/>
      <c r="L60" s="61"/>
      <c r="M60" s="22"/>
      <c r="N60" s="25"/>
      <c r="O60" s="53"/>
      <c r="P60" s="63"/>
    </row>
    <row r="61" spans="1:16" ht="15" customHeight="1" x14ac:dyDescent="0.3">
      <c r="A61" s="18">
        <v>3555</v>
      </c>
      <c r="B61" s="53">
        <v>45909</v>
      </c>
      <c r="C61" s="8"/>
      <c r="D61" s="61">
        <v>3</v>
      </c>
      <c r="E61" s="61">
        <v>40</v>
      </c>
      <c r="F61" s="61">
        <v>40</v>
      </c>
      <c r="G61" s="61">
        <v>0</v>
      </c>
      <c r="H61" s="61">
        <v>0</v>
      </c>
      <c r="I61" s="57"/>
      <c r="J61" s="61"/>
      <c r="K61" s="57"/>
      <c r="L61" s="61"/>
      <c r="M61" s="22" t="s">
        <v>24</v>
      </c>
      <c r="N61" s="25" t="s">
        <v>14</v>
      </c>
      <c r="O61" s="53">
        <v>45909</v>
      </c>
      <c r="P61" s="63">
        <v>3555</v>
      </c>
    </row>
    <row r="62" spans="1:16" ht="15" customHeight="1" x14ac:dyDescent="0.3">
      <c r="A62" s="18">
        <v>3556</v>
      </c>
      <c r="B62" s="53">
        <v>45934</v>
      </c>
      <c r="C62" s="8"/>
      <c r="D62" s="61">
        <v>3</v>
      </c>
      <c r="E62" s="61">
        <v>134</v>
      </c>
      <c r="F62" s="61">
        <v>60</v>
      </c>
      <c r="G62" s="61">
        <v>74</v>
      </c>
      <c r="H62" s="61">
        <v>2</v>
      </c>
      <c r="I62" s="57">
        <v>45946</v>
      </c>
      <c r="J62" s="61">
        <v>28</v>
      </c>
      <c r="K62" s="57"/>
      <c r="L62" s="61"/>
      <c r="M62" s="22" t="s">
        <v>24</v>
      </c>
      <c r="N62" s="25" t="s">
        <v>14</v>
      </c>
      <c r="O62" s="53"/>
      <c r="P62" s="63">
        <v>3556</v>
      </c>
    </row>
    <row r="63" spans="1:16" ht="15" customHeight="1" x14ac:dyDescent="0.3">
      <c r="A63" s="18">
        <v>3557</v>
      </c>
      <c r="B63" s="53">
        <v>45854</v>
      </c>
      <c r="C63" s="8"/>
      <c r="D63" s="61">
        <v>3</v>
      </c>
      <c r="E63" s="61">
        <v>38</v>
      </c>
      <c r="F63" s="61">
        <v>38</v>
      </c>
      <c r="G63" s="61">
        <v>0</v>
      </c>
      <c r="H63" s="61">
        <v>0</v>
      </c>
      <c r="I63" s="57"/>
      <c r="J63" s="61"/>
      <c r="K63" s="57"/>
      <c r="L63" s="61"/>
      <c r="M63" s="22" t="s">
        <v>24</v>
      </c>
      <c r="N63" s="25" t="s">
        <v>14</v>
      </c>
      <c r="O63" s="53">
        <v>45854</v>
      </c>
      <c r="P63" s="63">
        <v>3557</v>
      </c>
    </row>
    <row r="64" spans="1:16" ht="15" customHeight="1" x14ac:dyDescent="0.3">
      <c r="A64" s="18">
        <v>3558</v>
      </c>
      <c r="B64" s="53">
        <v>45884</v>
      </c>
      <c r="C64" s="8"/>
      <c r="D64" s="61">
        <v>1</v>
      </c>
      <c r="E64" s="61">
        <v>2</v>
      </c>
      <c r="F64" s="61">
        <v>2</v>
      </c>
      <c r="G64" s="61">
        <v>0</v>
      </c>
      <c r="H64" s="61">
        <v>0</v>
      </c>
      <c r="I64" s="57"/>
      <c r="J64" s="61"/>
      <c r="K64" s="57"/>
      <c r="L64" s="61"/>
      <c r="M64" s="22" t="s">
        <v>24</v>
      </c>
      <c r="N64" s="25" t="s">
        <v>14</v>
      </c>
      <c r="O64" s="53">
        <v>45884</v>
      </c>
      <c r="P64" s="63">
        <v>3458</v>
      </c>
    </row>
    <row r="65" spans="1:16" ht="15" customHeight="1" thickBot="1" x14ac:dyDescent="0.35">
      <c r="A65" s="18">
        <v>3559</v>
      </c>
      <c r="B65" s="53">
        <v>45870</v>
      </c>
      <c r="C65" s="8"/>
      <c r="D65" s="61">
        <v>1</v>
      </c>
      <c r="E65" s="61">
        <v>18</v>
      </c>
      <c r="F65" s="61">
        <v>18</v>
      </c>
      <c r="G65" s="61">
        <v>0</v>
      </c>
      <c r="H65" s="61">
        <v>0</v>
      </c>
      <c r="I65" s="57"/>
      <c r="J65" s="61"/>
      <c r="K65" s="57"/>
      <c r="L65" s="61"/>
      <c r="M65" s="22" t="s">
        <v>24</v>
      </c>
      <c r="N65" s="25" t="s">
        <v>14</v>
      </c>
      <c r="O65" s="53">
        <v>45870</v>
      </c>
      <c r="P65" s="63">
        <v>3559</v>
      </c>
    </row>
    <row r="66" spans="1:16" ht="15" customHeight="1" x14ac:dyDescent="0.3">
      <c r="A66" s="4">
        <v>3560</v>
      </c>
      <c r="B66" s="53">
        <v>45896</v>
      </c>
      <c r="C66" s="8"/>
      <c r="D66" s="61">
        <v>3</v>
      </c>
      <c r="E66" s="61">
        <v>11</v>
      </c>
      <c r="F66" s="61">
        <v>11</v>
      </c>
      <c r="G66" s="61">
        <v>0</v>
      </c>
      <c r="H66" s="61">
        <v>0</v>
      </c>
      <c r="I66" s="57"/>
      <c r="J66" s="61"/>
      <c r="K66" s="57"/>
      <c r="L66" s="61"/>
      <c r="M66" s="22" t="s">
        <v>24</v>
      </c>
      <c r="N66" s="25" t="s">
        <v>31</v>
      </c>
      <c r="O66" s="53">
        <v>45896</v>
      </c>
      <c r="P66" s="63">
        <v>3560</v>
      </c>
    </row>
    <row r="67" spans="1:16" ht="15" customHeight="1" x14ac:dyDescent="0.3">
      <c r="A67" s="7">
        <v>3561</v>
      </c>
      <c r="B67" s="53">
        <v>45855</v>
      </c>
      <c r="C67" s="8"/>
      <c r="D67" s="61">
        <v>2</v>
      </c>
      <c r="E67" s="61">
        <v>50</v>
      </c>
      <c r="F67" s="61">
        <v>50</v>
      </c>
      <c r="G67" s="61">
        <v>0</v>
      </c>
      <c r="H67" s="61">
        <v>0</v>
      </c>
      <c r="I67" s="57"/>
      <c r="J67" s="61"/>
      <c r="K67" s="57"/>
      <c r="L67" s="61"/>
      <c r="M67" s="22" t="s">
        <v>24</v>
      </c>
      <c r="N67" s="25" t="s">
        <v>14</v>
      </c>
      <c r="O67" s="53">
        <v>45855</v>
      </c>
      <c r="P67" s="63">
        <v>3561</v>
      </c>
    </row>
    <row r="68" spans="1:16" ht="18.75" x14ac:dyDescent="0.3">
      <c r="A68" s="7">
        <v>3562</v>
      </c>
      <c r="B68" s="53"/>
      <c r="C68" s="8"/>
      <c r="D68" s="61"/>
      <c r="E68" s="61"/>
      <c r="F68" s="61"/>
      <c r="G68" s="61"/>
      <c r="H68" s="61"/>
      <c r="I68" s="57"/>
      <c r="J68" s="61"/>
      <c r="K68" s="57"/>
      <c r="L68" s="61"/>
      <c r="M68" s="22"/>
      <c r="N68" s="25"/>
      <c r="O68" s="53"/>
      <c r="P68" s="63"/>
    </row>
    <row r="69" spans="1:16" ht="18.75" x14ac:dyDescent="0.3">
      <c r="A69" s="7">
        <v>3563</v>
      </c>
      <c r="B69" s="53"/>
      <c r="C69" s="8"/>
      <c r="D69" s="61"/>
      <c r="E69" s="61"/>
      <c r="F69" s="61"/>
      <c r="G69" s="61"/>
      <c r="H69" s="61"/>
      <c r="I69" s="57"/>
      <c r="J69" s="61"/>
      <c r="K69" s="57"/>
      <c r="L69" s="61"/>
      <c r="M69" s="22"/>
      <c r="N69" s="25"/>
      <c r="O69" s="53"/>
      <c r="P69" s="63"/>
    </row>
    <row r="70" spans="1:16" ht="18.75" x14ac:dyDescent="0.3">
      <c r="A70" s="7">
        <v>3564</v>
      </c>
      <c r="B70" s="53">
        <v>45863</v>
      </c>
      <c r="C70" s="8"/>
      <c r="D70" s="61">
        <v>3</v>
      </c>
      <c r="E70" s="61">
        <v>73</v>
      </c>
      <c r="F70" s="61">
        <v>73</v>
      </c>
      <c r="G70" s="61">
        <v>0</v>
      </c>
      <c r="H70" s="61">
        <v>0</v>
      </c>
      <c r="I70" s="57"/>
      <c r="J70" s="61"/>
      <c r="K70" s="57"/>
      <c r="L70" s="61"/>
      <c r="M70" s="22" t="s">
        <v>24</v>
      </c>
      <c r="N70" s="25" t="s">
        <v>14</v>
      </c>
      <c r="O70" s="53">
        <v>45863</v>
      </c>
      <c r="P70" s="63">
        <v>3564</v>
      </c>
    </row>
    <row r="71" spans="1:16" ht="18.75" x14ac:dyDescent="0.3">
      <c r="A71" s="7">
        <v>3565</v>
      </c>
      <c r="B71" s="53">
        <v>45889</v>
      </c>
      <c r="C71" s="8"/>
      <c r="D71" s="61">
        <v>1</v>
      </c>
      <c r="E71" s="61">
        <v>12</v>
      </c>
      <c r="F71" s="61">
        <v>12</v>
      </c>
      <c r="G71" s="61">
        <v>0</v>
      </c>
      <c r="H71" s="61">
        <v>0</v>
      </c>
      <c r="I71" s="57"/>
      <c r="J71" s="61"/>
      <c r="K71" s="57"/>
      <c r="L71" s="61"/>
      <c r="M71" s="22" t="s">
        <v>24</v>
      </c>
      <c r="N71" s="25" t="s">
        <v>31</v>
      </c>
      <c r="O71" s="53">
        <v>45889</v>
      </c>
      <c r="P71" s="63">
        <v>3565</v>
      </c>
    </row>
    <row r="72" spans="1:16" ht="18.75" x14ac:dyDescent="0.3">
      <c r="A72" s="7">
        <v>3566</v>
      </c>
      <c r="B72" s="53">
        <v>45877</v>
      </c>
      <c r="C72" s="8"/>
      <c r="D72" s="61">
        <v>2</v>
      </c>
      <c r="E72" s="61">
        <v>13</v>
      </c>
      <c r="F72" s="61">
        <v>13</v>
      </c>
      <c r="G72" s="61">
        <v>0</v>
      </c>
      <c r="H72" s="61">
        <v>0</v>
      </c>
      <c r="I72" s="57"/>
      <c r="J72" s="61"/>
      <c r="K72" s="57"/>
      <c r="L72" s="61"/>
      <c r="M72" s="22" t="s">
        <v>29</v>
      </c>
      <c r="N72" s="25" t="s">
        <v>14</v>
      </c>
      <c r="O72" s="53">
        <v>45877</v>
      </c>
      <c r="P72" s="63">
        <v>3566</v>
      </c>
    </row>
    <row r="73" spans="1:16" ht="18.75" x14ac:dyDescent="0.3">
      <c r="A73" s="32">
        <v>3567</v>
      </c>
      <c r="B73" s="53">
        <v>45873</v>
      </c>
      <c r="C73" s="8"/>
      <c r="D73" s="61">
        <v>2</v>
      </c>
      <c r="E73" s="61">
        <v>12</v>
      </c>
      <c r="F73" s="61">
        <v>12</v>
      </c>
      <c r="G73" s="61">
        <v>0</v>
      </c>
      <c r="H73" s="61">
        <v>0</v>
      </c>
      <c r="I73" s="57"/>
      <c r="J73" s="61"/>
      <c r="K73" s="57"/>
      <c r="L73" s="61"/>
      <c r="M73" s="22" t="s">
        <v>24</v>
      </c>
      <c r="N73" s="25" t="s">
        <v>14</v>
      </c>
      <c r="O73" s="53">
        <v>45873</v>
      </c>
      <c r="P73" s="63">
        <v>3567</v>
      </c>
    </row>
  </sheetData>
  <sheetProtection algorithmName="SHA-512" hashValue="srtjsJvYsPP80FeviCX6awoLJRgk550AE5TrdxGwak9Z1txg0aCj3Cu1JZWDy4rVCNzOnG3BAkPn2sAjVTtnjw==" saltValue="m04uqL2h8/uL1JzWbdRog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E2:H73 P2:P73 L2:L73 J2:J73 D1:D73" xr:uid="{4E6F10AD-FFBC-40D5-950A-54AB1CF61A8E}">
      <formula1>0</formula1>
    </dataValidation>
    <dataValidation type="date" operator="greaterThanOrEqual" allowBlank="1" showInputMessage="1" showErrorMessage="1" sqref="O2:O73 K2:K73 I2:I73 B1:B73" xr:uid="{EC58749D-AF7A-426A-91D5-12586568135F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0D7D8B8-D9DF-4FAD-BCDC-DB11A0F23343}">
          <x14:formula1>
            <xm:f>Inspected!$A$1:$A$2</xm:f>
          </x14:formula1>
          <xm:sqref>M2:M73</xm:sqref>
        </x14:dataValidation>
        <x14:dataValidation type="list" allowBlank="1" showInputMessage="1" showErrorMessage="1" xr:uid="{21E12A84-4237-4981-88C8-6BAEEA017EB7}">
          <x14:formula1>
            <xm:f>Inspected!$D$1</xm:f>
          </x14:formula1>
          <xm:sqref>C2:C73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C82B1-B6A7-45F9-9EFD-493EED617CBF}">
  <dimension ref="A1:U207"/>
  <sheetViews>
    <sheetView workbookViewId="0">
      <selection activeCell="D11" sqref="D11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3.140625" style="1" customWidth="1"/>
    <col min="5" max="5" width="15.42578125" style="1" customWidth="1"/>
    <col min="6" max="6" width="13.5703125" style="1" customWidth="1"/>
    <col min="7" max="7" width="17" style="1" customWidth="1"/>
    <col min="8" max="8" width="18.5703125" style="1" customWidth="1"/>
    <col min="9" max="9" width="14.42578125" style="1" customWidth="1"/>
    <col min="10" max="10" width="11.85546875" style="1" customWidth="1"/>
    <col min="11" max="11" width="16.5703125" style="1" customWidth="1"/>
    <col min="12" max="12" width="12.5703125" style="1" customWidth="1"/>
    <col min="13" max="13" width="17.140625" style="1" customWidth="1"/>
    <col min="14" max="14" width="16.140625" style="1" customWidth="1"/>
    <col min="15" max="15" width="29.85546875" style="1" customWidth="1"/>
    <col min="16" max="16" width="25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33" t="s">
        <v>0</v>
      </c>
      <c r="B1" s="34" t="s">
        <v>1</v>
      </c>
      <c r="C1" s="34" t="s">
        <v>26</v>
      </c>
      <c r="D1" s="35" t="s">
        <v>2</v>
      </c>
      <c r="E1" s="35" t="s">
        <v>3</v>
      </c>
      <c r="F1" s="35" t="s">
        <v>4</v>
      </c>
      <c r="G1" s="35" t="s">
        <v>5</v>
      </c>
      <c r="H1" s="35" t="s">
        <v>6</v>
      </c>
      <c r="I1" s="36" t="s">
        <v>7</v>
      </c>
      <c r="J1" s="36" t="s">
        <v>8</v>
      </c>
      <c r="K1" s="37" t="s">
        <v>9</v>
      </c>
      <c r="L1" s="37" t="s">
        <v>27</v>
      </c>
      <c r="M1" s="38" t="s">
        <v>10</v>
      </c>
      <c r="N1" s="39" t="s">
        <v>11</v>
      </c>
      <c r="O1" s="40" t="s">
        <v>12</v>
      </c>
      <c r="P1" s="41" t="s">
        <v>13</v>
      </c>
    </row>
    <row r="2" spans="1:21" ht="15" customHeight="1" x14ac:dyDescent="0.3">
      <c r="A2" s="71">
        <v>3231</v>
      </c>
      <c r="B2" s="53"/>
      <c r="C2" s="8"/>
      <c r="D2" s="61"/>
      <c r="E2" s="61"/>
      <c r="F2" s="61"/>
      <c r="G2" s="61"/>
      <c r="H2" s="61"/>
      <c r="I2" s="57"/>
      <c r="J2" s="61"/>
      <c r="K2" s="57"/>
      <c r="L2" s="61"/>
      <c r="M2" s="25"/>
      <c r="N2" s="25"/>
      <c r="O2" s="53"/>
      <c r="P2" s="63"/>
      <c r="R2" s="81" t="s">
        <v>15</v>
      </c>
      <c r="S2" s="82"/>
      <c r="T2" s="82"/>
      <c r="U2" s="83"/>
    </row>
    <row r="3" spans="1:21" ht="15" customHeight="1" x14ac:dyDescent="0.3">
      <c r="A3" s="72">
        <v>3232</v>
      </c>
      <c r="B3" s="53">
        <v>45921</v>
      </c>
      <c r="C3" s="8"/>
      <c r="D3" s="61">
        <v>1</v>
      </c>
      <c r="E3" s="61">
        <v>4</v>
      </c>
      <c r="F3" s="61">
        <v>4</v>
      </c>
      <c r="G3" s="61">
        <v>0</v>
      </c>
      <c r="H3" s="61">
        <v>0</v>
      </c>
      <c r="I3" s="57"/>
      <c r="J3" s="61"/>
      <c r="K3" s="57"/>
      <c r="L3" s="61"/>
      <c r="M3" s="25" t="s">
        <v>24</v>
      </c>
      <c r="N3" s="25" t="s">
        <v>30</v>
      </c>
      <c r="O3" s="53">
        <v>45921</v>
      </c>
      <c r="P3" s="63">
        <v>3232</v>
      </c>
      <c r="R3" s="10" t="s">
        <v>16</v>
      </c>
      <c r="S3" s="11" t="s">
        <v>17</v>
      </c>
      <c r="T3" s="12" t="s">
        <v>18</v>
      </c>
      <c r="U3" s="13" t="s">
        <v>19</v>
      </c>
    </row>
    <row r="4" spans="1:21" ht="15" customHeight="1" thickBot="1" x14ac:dyDescent="0.35">
      <c r="A4" s="72">
        <v>3233</v>
      </c>
      <c r="B4" s="53"/>
      <c r="C4" s="8"/>
      <c r="D4" s="61"/>
      <c r="E4" s="61"/>
      <c r="F4" s="61"/>
      <c r="G4" s="61"/>
      <c r="H4" s="61"/>
      <c r="I4" s="57"/>
      <c r="J4" s="61"/>
      <c r="K4" s="57"/>
      <c r="L4" s="61"/>
      <c r="M4" s="25"/>
      <c r="N4" s="25"/>
      <c r="O4" s="53"/>
      <c r="P4" s="63"/>
      <c r="R4" s="14">
        <v>36</v>
      </c>
      <c r="S4" s="15">
        <f>COUNTA(A:A)-1</f>
        <v>72</v>
      </c>
      <c r="T4" s="15">
        <f>COUNTA(O:O)-1</f>
        <v>36</v>
      </c>
      <c r="U4" s="21">
        <f>T4/S4</f>
        <v>0.5</v>
      </c>
    </row>
    <row r="5" spans="1:21" ht="15" customHeight="1" x14ac:dyDescent="0.3">
      <c r="A5" s="72">
        <v>3234</v>
      </c>
      <c r="B5" s="53"/>
      <c r="C5" s="8"/>
      <c r="D5" s="61"/>
      <c r="E5" s="61"/>
      <c r="F5" s="61"/>
      <c r="G5" s="61"/>
      <c r="H5" s="61"/>
      <c r="I5" s="57"/>
      <c r="J5" s="61"/>
      <c r="K5" s="57"/>
      <c r="L5" s="61"/>
      <c r="M5" s="25"/>
      <c r="N5" s="25"/>
      <c r="O5" s="53"/>
      <c r="P5" s="63"/>
    </row>
    <row r="6" spans="1:21" ht="15" customHeight="1" x14ac:dyDescent="0.3">
      <c r="A6" s="72">
        <v>3235</v>
      </c>
      <c r="B6" s="53"/>
      <c r="C6" s="8"/>
      <c r="D6" s="61"/>
      <c r="E6" s="61"/>
      <c r="F6" s="61"/>
      <c r="G6" s="61"/>
      <c r="H6" s="61"/>
      <c r="I6" s="57"/>
      <c r="J6" s="61"/>
      <c r="K6" s="57"/>
      <c r="L6" s="61"/>
      <c r="M6" s="25"/>
      <c r="N6" s="25"/>
      <c r="O6" s="53"/>
      <c r="P6" s="63"/>
    </row>
    <row r="7" spans="1:21" ht="15" customHeight="1" x14ac:dyDescent="0.3">
      <c r="A7" s="72">
        <v>3236</v>
      </c>
      <c r="B7" s="53"/>
      <c r="C7" s="8"/>
      <c r="D7" s="61"/>
      <c r="E7" s="61"/>
      <c r="F7" s="61"/>
      <c r="G7" s="61"/>
      <c r="H7" s="61"/>
      <c r="I7" s="57"/>
      <c r="J7" s="61"/>
      <c r="K7" s="57"/>
      <c r="L7" s="61"/>
      <c r="M7" s="25"/>
      <c r="N7" s="25"/>
      <c r="O7" s="53"/>
      <c r="P7" s="63"/>
    </row>
    <row r="8" spans="1:21" ht="15" customHeight="1" x14ac:dyDescent="0.3">
      <c r="A8" s="72">
        <v>3237</v>
      </c>
      <c r="B8" s="53"/>
      <c r="C8" s="8"/>
      <c r="D8" s="61"/>
      <c r="E8" s="61"/>
      <c r="F8" s="61"/>
      <c r="G8" s="61"/>
      <c r="H8" s="61"/>
      <c r="I8" s="57"/>
      <c r="J8" s="61"/>
      <c r="K8" s="57"/>
      <c r="L8" s="61"/>
      <c r="M8" s="25"/>
      <c r="N8" s="25"/>
      <c r="O8" s="53"/>
      <c r="P8" s="63"/>
    </row>
    <row r="9" spans="1:21" ht="15" customHeight="1" x14ac:dyDescent="0.3">
      <c r="A9" s="72">
        <v>3238</v>
      </c>
      <c r="B9" s="53">
        <v>45883</v>
      </c>
      <c r="C9" s="8"/>
      <c r="D9" s="61">
        <v>2</v>
      </c>
      <c r="E9" s="61">
        <v>15</v>
      </c>
      <c r="F9" s="61">
        <v>15</v>
      </c>
      <c r="G9" s="61"/>
      <c r="H9" s="61"/>
      <c r="I9" s="57"/>
      <c r="J9" s="61"/>
      <c r="K9" s="57"/>
      <c r="L9" s="61"/>
      <c r="M9" s="25" t="s">
        <v>24</v>
      </c>
      <c r="N9" s="25" t="s">
        <v>14</v>
      </c>
      <c r="O9" s="53">
        <v>45883</v>
      </c>
      <c r="P9" s="63">
        <v>3238</v>
      </c>
    </row>
    <row r="10" spans="1:21" ht="15" customHeight="1" x14ac:dyDescent="0.3">
      <c r="A10" s="72">
        <v>3239</v>
      </c>
      <c r="B10" s="53"/>
      <c r="C10" s="8"/>
      <c r="D10" s="61"/>
      <c r="E10" s="61"/>
      <c r="F10" s="61"/>
      <c r="G10" s="61"/>
      <c r="H10" s="61"/>
      <c r="I10" s="57"/>
      <c r="J10" s="61"/>
      <c r="K10" s="57"/>
      <c r="L10" s="61"/>
      <c r="M10" s="25"/>
      <c r="N10" s="25"/>
      <c r="O10" s="53"/>
      <c r="P10" s="63"/>
    </row>
    <row r="11" spans="1:21" ht="15" customHeight="1" x14ac:dyDescent="0.3">
      <c r="A11" s="72">
        <v>3240</v>
      </c>
      <c r="B11" s="53">
        <v>45942</v>
      </c>
      <c r="C11" s="8"/>
      <c r="D11" s="61">
        <v>3</v>
      </c>
      <c r="E11" s="61">
        <v>308</v>
      </c>
      <c r="F11" s="61">
        <v>308</v>
      </c>
      <c r="G11" s="61">
        <v>0</v>
      </c>
      <c r="H11" s="61">
        <v>0</v>
      </c>
      <c r="I11" s="57"/>
      <c r="J11" s="61"/>
      <c r="K11" s="57"/>
      <c r="L11" s="61"/>
      <c r="M11" s="25" t="s">
        <v>24</v>
      </c>
      <c r="N11" s="25" t="s">
        <v>14</v>
      </c>
      <c r="O11" s="53">
        <v>45942</v>
      </c>
      <c r="P11" s="63">
        <v>3240</v>
      </c>
    </row>
    <row r="12" spans="1:21" ht="15" customHeight="1" thickBot="1" x14ac:dyDescent="0.35">
      <c r="A12" s="73">
        <v>3241</v>
      </c>
      <c r="B12" s="53">
        <v>45894</v>
      </c>
      <c r="C12" s="8"/>
      <c r="D12" s="61">
        <v>1</v>
      </c>
      <c r="E12" s="61">
        <v>1</v>
      </c>
      <c r="F12" s="61">
        <v>1</v>
      </c>
      <c r="G12" s="61">
        <v>0</v>
      </c>
      <c r="H12" s="61">
        <v>0</v>
      </c>
      <c r="I12" s="57"/>
      <c r="J12" s="61"/>
      <c r="K12" s="57"/>
      <c r="L12" s="61"/>
      <c r="M12" s="25" t="s">
        <v>24</v>
      </c>
      <c r="N12" s="25" t="s">
        <v>31</v>
      </c>
      <c r="O12" s="53">
        <v>45894</v>
      </c>
      <c r="P12" s="63">
        <v>3241</v>
      </c>
    </row>
    <row r="13" spans="1:21" ht="15" customHeight="1" x14ac:dyDescent="0.3">
      <c r="A13" s="74">
        <v>3242</v>
      </c>
      <c r="B13" s="53">
        <v>45932</v>
      </c>
      <c r="C13" s="8"/>
      <c r="D13" s="61">
        <v>1</v>
      </c>
      <c r="E13" s="61">
        <v>35</v>
      </c>
      <c r="F13" s="61">
        <v>35</v>
      </c>
      <c r="G13" s="61">
        <v>0</v>
      </c>
      <c r="H13" s="61">
        <v>0</v>
      </c>
      <c r="I13" s="57"/>
      <c r="J13" s="61"/>
      <c r="K13" s="57"/>
      <c r="L13" s="61"/>
      <c r="M13" s="25" t="s">
        <v>24</v>
      </c>
      <c r="N13" s="25" t="s">
        <v>14</v>
      </c>
      <c r="O13" s="53">
        <v>45932</v>
      </c>
      <c r="P13" s="63">
        <v>3242</v>
      </c>
    </row>
    <row r="14" spans="1:21" ht="15" customHeight="1" x14ac:dyDescent="0.3">
      <c r="A14" s="75">
        <v>3243</v>
      </c>
      <c r="B14" s="53">
        <v>45944</v>
      </c>
      <c r="C14" s="8"/>
      <c r="D14" s="61">
        <v>1</v>
      </c>
      <c r="E14" s="61">
        <v>9</v>
      </c>
      <c r="F14" s="61">
        <v>9</v>
      </c>
      <c r="G14" s="61">
        <v>0</v>
      </c>
      <c r="H14" s="61">
        <v>0</v>
      </c>
      <c r="I14" s="57"/>
      <c r="J14" s="61"/>
      <c r="K14" s="57"/>
      <c r="L14" s="61"/>
      <c r="M14" s="25" t="s">
        <v>24</v>
      </c>
      <c r="N14" s="25" t="s">
        <v>14</v>
      </c>
      <c r="O14" s="53">
        <v>45944</v>
      </c>
      <c r="P14" s="63">
        <v>3243</v>
      </c>
    </row>
    <row r="15" spans="1:21" ht="15" customHeight="1" x14ac:dyDescent="0.3">
      <c r="A15" s="75">
        <v>3244</v>
      </c>
      <c r="B15" s="53">
        <v>45946</v>
      </c>
      <c r="C15" s="8"/>
      <c r="D15" s="61">
        <v>2</v>
      </c>
      <c r="E15" s="61">
        <v>10</v>
      </c>
      <c r="F15" s="61">
        <v>10</v>
      </c>
      <c r="G15" s="61">
        <v>0</v>
      </c>
      <c r="H15" s="61">
        <v>0</v>
      </c>
      <c r="I15" s="57"/>
      <c r="J15" s="61"/>
      <c r="K15" s="57"/>
      <c r="L15" s="61"/>
      <c r="M15" s="25" t="s">
        <v>24</v>
      </c>
      <c r="N15" s="25" t="s">
        <v>14</v>
      </c>
      <c r="O15" s="53">
        <v>45946</v>
      </c>
      <c r="P15" s="63">
        <v>3244</v>
      </c>
    </row>
    <row r="16" spans="1:21" ht="15" customHeight="1" x14ac:dyDescent="0.3">
      <c r="A16" s="75">
        <v>3245</v>
      </c>
      <c r="B16" s="53"/>
      <c r="C16" s="8"/>
      <c r="D16" s="61"/>
      <c r="E16" s="61"/>
      <c r="F16" s="61"/>
      <c r="G16" s="61"/>
      <c r="H16" s="61"/>
      <c r="I16" s="57"/>
      <c r="J16" s="61"/>
      <c r="K16" s="57"/>
      <c r="L16" s="61"/>
      <c r="M16" s="25"/>
      <c r="N16" s="25"/>
      <c r="O16" s="53"/>
      <c r="P16" s="63"/>
    </row>
    <row r="17" spans="1:16" ht="15" customHeight="1" x14ac:dyDescent="0.3">
      <c r="A17" s="75">
        <v>3246</v>
      </c>
      <c r="B17" s="53"/>
      <c r="C17" s="8"/>
      <c r="D17" s="61"/>
      <c r="E17" s="61"/>
      <c r="F17" s="61"/>
      <c r="G17" s="61"/>
      <c r="H17" s="61"/>
      <c r="I17" s="57"/>
      <c r="J17" s="61"/>
      <c r="K17" s="57"/>
      <c r="L17" s="61"/>
      <c r="M17" s="25"/>
      <c r="N17" s="25"/>
      <c r="O17" s="53"/>
      <c r="P17" s="63"/>
    </row>
    <row r="18" spans="1:16" ht="15" customHeight="1" x14ac:dyDescent="0.3">
      <c r="A18" s="75">
        <v>3247</v>
      </c>
      <c r="B18" s="53"/>
      <c r="C18" s="8"/>
      <c r="D18" s="61"/>
      <c r="E18" s="61"/>
      <c r="F18" s="61"/>
      <c r="G18" s="61"/>
      <c r="H18" s="61"/>
      <c r="I18" s="57"/>
      <c r="J18" s="61"/>
      <c r="K18" s="57"/>
      <c r="L18" s="61"/>
      <c r="M18" s="25"/>
      <c r="N18" s="25"/>
      <c r="O18" s="53"/>
      <c r="P18" s="63"/>
    </row>
    <row r="19" spans="1:16" ht="15" customHeight="1" x14ac:dyDescent="0.3">
      <c r="A19" s="75">
        <v>3248</v>
      </c>
      <c r="B19" s="53">
        <v>45933</v>
      </c>
      <c r="C19" s="8"/>
      <c r="D19" s="61">
        <v>1</v>
      </c>
      <c r="E19" s="61">
        <v>3</v>
      </c>
      <c r="F19" s="61">
        <v>3</v>
      </c>
      <c r="G19" s="61">
        <v>0</v>
      </c>
      <c r="H19" s="61">
        <v>0</v>
      </c>
      <c r="I19" s="57"/>
      <c r="J19" s="61"/>
      <c r="K19" s="57"/>
      <c r="L19" s="61"/>
      <c r="M19" s="25" t="s">
        <v>24</v>
      </c>
      <c r="N19" s="25" t="s">
        <v>14</v>
      </c>
      <c r="O19" s="53">
        <v>45933</v>
      </c>
      <c r="P19" s="63">
        <v>3248</v>
      </c>
    </row>
    <row r="20" spans="1:16" ht="15" customHeight="1" x14ac:dyDescent="0.3">
      <c r="A20" s="75">
        <v>3250</v>
      </c>
      <c r="B20" s="53"/>
      <c r="C20" s="8"/>
      <c r="D20" s="61"/>
      <c r="E20" s="61"/>
      <c r="F20" s="61"/>
      <c r="G20" s="61"/>
      <c r="H20" s="61"/>
      <c r="I20" s="57"/>
      <c r="J20" s="61"/>
      <c r="K20" s="57"/>
      <c r="L20" s="61"/>
      <c r="M20" s="25"/>
      <c r="N20" s="25"/>
      <c r="O20" s="53"/>
      <c r="P20" s="63"/>
    </row>
    <row r="21" spans="1:16" ht="15" customHeight="1" x14ac:dyDescent="0.3">
      <c r="A21" s="75">
        <v>3251</v>
      </c>
      <c r="B21" s="53"/>
      <c r="C21" s="8"/>
      <c r="D21" s="61"/>
      <c r="E21" s="61"/>
      <c r="F21" s="61"/>
      <c r="G21" s="61"/>
      <c r="H21" s="61"/>
      <c r="I21" s="57"/>
      <c r="J21" s="61"/>
      <c r="K21" s="57"/>
      <c r="L21" s="61"/>
      <c r="M21" s="25"/>
      <c r="N21" s="25"/>
      <c r="O21" s="53"/>
      <c r="P21" s="63"/>
    </row>
    <row r="22" spans="1:16" ht="15" customHeight="1" x14ac:dyDescent="0.3">
      <c r="A22" s="75">
        <v>3252</v>
      </c>
      <c r="B22" s="53"/>
      <c r="C22" s="8"/>
      <c r="D22" s="61"/>
      <c r="E22" s="61"/>
      <c r="F22" s="61"/>
      <c r="G22" s="61"/>
      <c r="H22" s="61"/>
      <c r="I22" s="57"/>
      <c r="J22" s="61"/>
      <c r="K22" s="57"/>
      <c r="L22" s="61"/>
      <c r="M22" s="25"/>
      <c r="N22" s="25"/>
      <c r="O22" s="53"/>
      <c r="P22" s="63"/>
    </row>
    <row r="23" spans="1:16" ht="15" customHeight="1" thickBot="1" x14ac:dyDescent="0.35">
      <c r="A23" s="76">
        <v>3253</v>
      </c>
      <c r="B23" s="53"/>
      <c r="C23" s="8"/>
      <c r="D23" s="61"/>
      <c r="E23" s="61"/>
      <c r="F23" s="61"/>
      <c r="G23" s="61"/>
      <c r="H23" s="61"/>
      <c r="I23" s="57"/>
      <c r="J23" s="61"/>
      <c r="K23" s="57"/>
      <c r="L23" s="61"/>
      <c r="M23" s="25"/>
      <c r="N23" s="25"/>
      <c r="O23" s="53"/>
      <c r="P23" s="63"/>
    </row>
    <row r="24" spans="1:16" ht="15" customHeight="1" x14ac:dyDescent="0.3">
      <c r="A24" s="74">
        <v>3254</v>
      </c>
      <c r="B24" s="53"/>
      <c r="C24" s="8"/>
      <c r="D24" s="61"/>
      <c r="E24" s="61"/>
      <c r="F24" s="61"/>
      <c r="G24" s="61"/>
      <c r="H24" s="61"/>
      <c r="I24" s="57"/>
      <c r="J24" s="61"/>
      <c r="K24" s="57"/>
      <c r="L24" s="61"/>
      <c r="M24" s="25"/>
      <c r="N24" s="25"/>
      <c r="O24" s="53"/>
      <c r="P24" s="63"/>
    </row>
    <row r="25" spans="1:16" ht="15" customHeight="1" x14ac:dyDescent="0.3">
      <c r="A25" s="75">
        <v>3255</v>
      </c>
      <c r="B25" s="53"/>
      <c r="C25" s="8"/>
      <c r="D25" s="61"/>
      <c r="E25" s="61"/>
      <c r="F25" s="61"/>
      <c r="G25" s="61"/>
      <c r="H25" s="61"/>
      <c r="I25" s="57"/>
      <c r="J25" s="61"/>
      <c r="K25" s="57"/>
      <c r="L25" s="61"/>
      <c r="M25" s="25"/>
      <c r="N25" s="25"/>
      <c r="O25" s="53"/>
      <c r="P25" s="63"/>
    </row>
    <row r="26" spans="1:16" ht="15" customHeight="1" x14ac:dyDescent="0.3">
      <c r="A26" s="75">
        <v>3256</v>
      </c>
      <c r="B26" s="53"/>
      <c r="C26" s="8"/>
      <c r="D26" s="61"/>
      <c r="E26" s="61"/>
      <c r="F26" s="61"/>
      <c r="G26" s="61"/>
      <c r="H26" s="61"/>
      <c r="I26" s="57"/>
      <c r="J26" s="61"/>
      <c r="K26" s="57"/>
      <c r="L26" s="61"/>
      <c r="M26" s="25"/>
      <c r="N26" s="25"/>
      <c r="O26" s="53"/>
      <c r="P26" s="63"/>
    </row>
    <row r="27" spans="1:16" ht="15" customHeight="1" x14ac:dyDescent="0.3">
      <c r="A27" s="75">
        <v>3258</v>
      </c>
      <c r="B27" s="53">
        <v>45929</v>
      </c>
      <c r="C27" s="8"/>
      <c r="D27" s="61">
        <v>3</v>
      </c>
      <c r="E27" s="61">
        <v>19</v>
      </c>
      <c r="F27" s="61">
        <v>19</v>
      </c>
      <c r="G27" s="61">
        <v>0</v>
      </c>
      <c r="H27" s="61">
        <v>0</v>
      </c>
      <c r="I27" s="57"/>
      <c r="J27" s="61"/>
      <c r="K27" s="57"/>
      <c r="L27" s="61"/>
      <c r="M27" s="25" t="s">
        <v>24</v>
      </c>
      <c r="N27" s="25" t="s">
        <v>14</v>
      </c>
      <c r="O27" s="53">
        <v>45929</v>
      </c>
      <c r="P27" s="63">
        <v>3258</v>
      </c>
    </row>
    <row r="28" spans="1:16" ht="15" customHeight="1" x14ac:dyDescent="0.3">
      <c r="A28" s="75">
        <v>3259</v>
      </c>
      <c r="B28" s="53"/>
      <c r="C28" s="8"/>
      <c r="D28" s="61"/>
      <c r="E28" s="61"/>
      <c r="F28" s="61"/>
      <c r="G28" s="61"/>
      <c r="H28" s="61"/>
      <c r="I28" s="57"/>
      <c r="J28" s="61"/>
      <c r="K28" s="57"/>
      <c r="L28" s="61"/>
      <c r="M28" s="25"/>
      <c r="N28" s="25"/>
      <c r="O28" s="53"/>
      <c r="P28" s="63"/>
    </row>
    <row r="29" spans="1:16" ht="15" customHeight="1" x14ac:dyDescent="0.3">
      <c r="A29" s="75">
        <v>3260</v>
      </c>
      <c r="B29" s="53"/>
      <c r="C29" s="8"/>
      <c r="D29" s="61"/>
      <c r="E29" s="61"/>
      <c r="F29" s="61"/>
      <c r="G29" s="61"/>
      <c r="H29" s="61"/>
      <c r="I29" s="57"/>
      <c r="J29" s="61"/>
      <c r="K29" s="57"/>
      <c r="L29" s="61"/>
      <c r="M29" s="25"/>
      <c r="N29" s="25"/>
      <c r="O29" s="53"/>
      <c r="P29" s="63"/>
    </row>
    <row r="30" spans="1:16" ht="15" customHeight="1" x14ac:dyDescent="0.3">
      <c r="A30" s="75">
        <v>3261</v>
      </c>
      <c r="B30" s="53">
        <v>45907</v>
      </c>
      <c r="C30" s="8"/>
      <c r="D30" s="61">
        <v>1</v>
      </c>
      <c r="E30" s="61">
        <v>10</v>
      </c>
      <c r="F30" s="61">
        <v>10</v>
      </c>
      <c r="G30" s="61">
        <v>0</v>
      </c>
      <c r="H30" s="61">
        <v>0</v>
      </c>
      <c r="I30" s="57"/>
      <c r="J30" s="61"/>
      <c r="K30" s="57"/>
      <c r="L30" s="61"/>
      <c r="M30" s="25" t="s">
        <v>29</v>
      </c>
      <c r="N30" s="25" t="s">
        <v>30</v>
      </c>
      <c r="O30" s="53">
        <v>45907</v>
      </c>
      <c r="P30" s="63">
        <v>3261</v>
      </c>
    </row>
    <row r="31" spans="1:16" ht="15" customHeight="1" x14ac:dyDescent="0.3">
      <c r="A31" s="75">
        <v>3262</v>
      </c>
      <c r="B31" s="53">
        <v>45940</v>
      </c>
      <c r="C31" s="8"/>
      <c r="D31" s="61">
        <v>1</v>
      </c>
      <c r="E31" s="61">
        <v>3</v>
      </c>
      <c r="F31" s="61">
        <v>3</v>
      </c>
      <c r="G31" s="61">
        <v>0</v>
      </c>
      <c r="H31" s="61">
        <v>0</v>
      </c>
      <c r="I31" s="57"/>
      <c r="J31" s="61"/>
      <c r="K31" s="57"/>
      <c r="L31" s="61"/>
      <c r="M31" s="25" t="s">
        <v>24</v>
      </c>
      <c r="N31" s="25" t="s">
        <v>14</v>
      </c>
      <c r="O31" s="53">
        <v>45940</v>
      </c>
      <c r="P31" s="63">
        <v>3262</v>
      </c>
    </row>
    <row r="32" spans="1:16" ht="15" customHeight="1" x14ac:dyDescent="0.3">
      <c r="A32" s="75">
        <v>3263</v>
      </c>
      <c r="B32" s="53">
        <v>45927</v>
      </c>
      <c r="C32" s="8"/>
      <c r="D32" s="61">
        <v>2</v>
      </c>
      <c r="E32" s="61">
        <v>15</v>
      </c>
      <c r="F32" s="61">
        <v>15</v>
      </c>
      <c r="G32" s="61">
        <v>0</v>
      </c>
      <c r="H32" s="61">
        <v>0</v>
      </c>
      <c r="I32" s="57"/>
      <c r="J32" s="61"/>
      <c r="K32" s="57"/>
      <c r="L32" s="61"/>
      <c r="M32" s="25" t="s">
        <v>24</v>
      </c>
      <c r="N32" s="25" t="s">
        <v>14</v>
      </c>
      <c r="O32" s="53">
        <v>45927</v>
      </c>
      <c r="P32" s="63">
        <v>3263</v>
      </c>
    </row>
    <row r="33" spans="1:16" ht="15" customHeight="1" x14ac:dyDescent="0.3">
      <c r="A33" s="75">
        <v>3264</v>
      </c>
      <c r="B33" s="53">
        <v>45900</v>
      </c>
      <c r="C33" s="8"/>
      <c r="D33" s="61">
        <v>2</v>
      </c>
      <c r="E33" s="61">
        <v>50</v>
      </c>
      <c r="F33" s="61">
        <v>50</v>
      </c>
      <c r="G33" s="61">
        <v>0</v>
      </c>
      <c r="H33" s="61">
        <v>0</v>
      </c>
      <c r="I33" s="57"/>
      <c r="J33" s="61"/>
      <c r="K33" s="57"/>
      <c r="L33" s="61"/>
      <c r="M33" s="25" t="s">
        <v>24</v>
      </c>
      <c r="N33" s="25" t="s">
        <v>30</v>
      </c>
      <c r="O33" s="53">
        <v>45900</v>
      </c>
      <c r="P33" s="63">
        <v>3264</v>
      </c>
    </row>
    <row r="34" spans="1:16" ht="15" customHeight="1" thickBot="1" x14ac:dyDescent="0.35">
      <c r="A34" s="76">
        <v>3265</v>
      </c>
      <c r="B34" s="53"/>
      <c r="C34" s="8"/>
      <c r="D34" s="61"/>
      <c r="E34" s="61"/>
      <c r="F34" s="61"/>
      <c r="G34" s="61"/>
      <c r="H34" s="61"/>
      <c r="I34" s="57"/>
      <c r="J34" s="61"/>
      <c r="K34" s="57"/>
      <c r="L34" s="61"/>
      <c r="M34" s="25"/>
      <c r="N34" s="25"/>
      <c r="O34" s="53"/>
      <c r="P34" s="63"/>
    </row>
    <row r="35" spans="1:16" ht="15" customHeight="1" x14ac:dyDescent="0.3">
      <c r="A35" s="74">
        <v>3266</v>
      </c>
      <c r="B35" s="53">
        <v>45888</v>
      </c>
      <c r="C35" s="8"/>
      <c r="D35" s="61">
        <v>1</v>
      </c>
      <c r="E35" s="61">
        <v>3</v>
      </c>
      <c r="F35" s="61">
        <v>3</v>
      </c>
      <c r="G35" s="61">
        <v>0</v>
      </c>
      <c r="H35" s="61">
        <v>0</v>
      </c>
      <c r="I35" s="57"/>
      <c r="J35" s="61"/>
      <c r="K35" s="57"/>
      <c r="L35" s="61"/>
      <c r="M35" s="25" t="s">
        <v>24</v>
      </c>
      <c r="N35" s="25" t="s">
        <v>30</v>
      </c>
      <c r="O35" s="53">
        <v>45888</v>
      </c>
      <c r="P35" s="63">
        <v>3266</v>
      </c>
    </row>
    <row r="36" spans="1:16" ht="15" customHeight="1" x14ac:dyDescent="0.3">
      <c r="A36" s="75">
        <v>3267</v>
      </c>
      <c r="B36" s="53"/>
      <c r="C36" s="8"/>
      <c r="D36" s="61"/>
      <c r="E36" s="61"/>
      <c r="F36" s="61"/>
      <c r="G36" s="61"/>
      <c r="H36" s="61"/>
      <c r="I36" s="57"/>
      <c r="J36" s="61"/>
      <c r="K36" s="57"/>
      <c r="L36" s="61"/>
      <c r="M36" s="25"/>
      <c r="N36" s="25"/>
      <c r="O36" s="53"/>
      <c r="P36" s="63"/>
    </row>
    <row r="37" spans="1:16" ht="15" customHeight="1" x14ac:dyDescent="0.3">
      <c r="A37" s="75">
        <v>3299</v>
      </c>
      <c r="B37" s="53">
        <v>45943</v>
      </c>
      <c r="C37" s="8"/>
      <c r="D37" s="61">
        <v>2</v>
      </c>
      <c r="E37" s="61">
        <v>56</v>
      </c>
      <c r="F37" s="61">
        <v>56</v>
      </c>
      <c r="G37" s="61">
        <v>0</v>
      </c>
      <c r="H37" s="61">
        <v>0</v>
      </c>
      <c r="I37" s="57"/>
      <c r="J37" s="61"/>
      <c r="K37" s="57"/>
      <c r="L37" s="61"/>
      <c r="M37" s="25" t="s">
        <v>24</v>
      </c>
      <c r="N37" s="25" t="s">
        <v>14</v>
      </c>
      <c r="O37" s="53">
        <v>45943</v>
      </c>
      <c r="P37" s="63">
        <v>3299</v>
      </c>
    </row>
    <row r="38" spans="1:16" ht="15" customHeight="1" x14ac:dyDescent="0.3">
      <c r="A38" s="75">
        <v>3531</v>
      </c>
      <c r="B38" s="53">
        <v>45896</v>
      </c>
      <c r="C38" s="8"/>
      <c r="D38" s="61">
        <v>1</v>
      </c>
      <c r="E38" s="61">
        <v>7</v>
      </c>
      <c r="F38" s="61">
        <v>7</v>
      </c>
      <c r="G38" s="61">
        <v>0</v>
      </c>
      <c r="H38" s="61">
        <v>0</v>
      </c>
      <c r="I38" s="57"/>
      <c r="J38" s="61"/>
      <c r="K38" s="57"/>
      <c r="L38" s="61"/>
      <c r="M38" s="25" t="s">
        <v>24</v>
      </c>
      <c r="N38" s="25" t="s">
        <v>31</v>
      </c>
      <c r="O38" s="53">
        <v>45896</v>
      </c>
      <c r="P38" s="63">
        <v>3531</v>
      </c>
    </row>
    <row r="39" spans="1:16" ht="15" customHeight="1" x14ac:dyDescent="0.3">
      <c r="A39" s="75">
        <v>3532</v>
      </c>
      <c r="B39" s="53"/>
      <c r="C39" s="8"/>
      <c r="D39" s="61"/>
      <c r="E39" s="61"/>
      <c r="F39" s="61"/>
      <c r="G39" s="61"/>
      <c r="H39" s="61"/>
      <c r="I39" s="57"/>
      <c r="J39" s="61"/>
      <c r="K39" s="57"/>
      <c r="L39" s="61"/>
      <c r="M39" s="25"/>
      <c r="N39" s="25"/>
      <c r="O39" s="53"/>
      <c r="P39" s="63"/>
    </row>
    <row r="40" spans="1:16" ht="15" customHeight="1" x14ac:dyDescent="0.3">
      <c r="A40" s="75">
        <v>3533</v>
      </c>
      <c r="B40" s="53"/>
      <c r="C40" s="8"/>
      <c r="D40" s="61"/>
      <c r="E40" s="61"/>
      <c r="F40" s="61"/>
      <c r="G40" s="61"/>
      <c r="H40" s="61"/>
      <c r="I40" s="57"/>
      <c r="J40" s="61"/>
      <c r="K40" s="57"/>
      <c r="L40" s="61"/>
      <c r="M40" s="25"/>
      <c r="N40" s="25"/>
      <c r="O40" s="53"/>
      <c r="P40" s="63"/>
    </row>
    <row r="41" spans="1:16" ht="15" customHeight="1" x14ac:dyDescent="0.3">
      <c r="A41" s="75">
        <v>3534</v>
      </c>
      <c r="B41" s="53"/>
      <c r="C41" s="8"/>
      <c r="D41" s="61"/>
      <c r="E41" s="61"/>
      <c r="F41" s="61"/>
      <c r="G41" s="61"/>
      <c r="H41" s="61"/>
      <c r="I41" s="57"/>
      <c r="J41" s="61"/>
      <c r="K41" s="57"/>
      <c r="L41" s="61"/>
      <c r="M41" s="25"/>
      <c r="N41" s="25"/>
      <c r="O41" s="53"/>
      <c r="P41" s="63"/>
    </row>
    <row r="42" spans="1:16" ht="15" customHeight="1" x14ac:dyDescent="0.3">
      <c r="A42" s="75">
        <v>3535</v>
      </c>
      <c r="B42" s="53"/>
      <c r="C42" s="8"/>
      <c r="D42" s="61"/>
      <c r="E42" s="61"/>
      <c r="F42" s="61"/>
      <c r="G42" s="61"/>
      <c r="H42" s="61"/>
      <c r="I42" s="57"/>
      <c r="J42" s="61"/>
      <c r="K42" s="57"/>
      <c r="L42" s="61"/>
      <c r="M42" s="25"/>
      <c r="N42" s="25"/>
      <c r="O42" s="53"/>
      <c r="P42" s="63"/>
    </row>
    <row r="43" spans="1:16" ht="15" customHeight="1" x14ac:dyDescent="0.3">
      <c r="A43" s="75">
        <v>3536</v>
      </c>
      <c r="B43" s="53"/>
      <c r="C43" s="8"/>
      <c r="D43" s="61"/>
      <c r="E43" s="61"/>
      <c r="F43" s="61"/>
      <c r="G43" s="61"/>
      <c r="H43" s="61"/>
      <c r="I43" s="57"/>
      <c r="J43" s="61"/>
      <c r="K43" s="57"/>
      <c r="L43" s="61"/>
      <c r="M43" s="25"/>
      <c r="N43" s="25"/>
      <c r="O43" s="53"/>
      <c r="P43" s="63"/>
    </row>
    <row r="44" spans="1:16" ht="15" customHeight="1" x14ac:dyDescent="0.3">
      <c r="A44" s="75">
        <v>3537</v>
      </c>
      <c r="B44" s="53">
        <v>45942</v>
      </c>
      <c r="C44" s="8"/>
      <c r="D44" s="61">
        <v>3</v>
      </c>
      <c r="E44" s="61">
        <v>68</v>
      </c>
      <c r="F44" s="61">
        <v>68</v>
      </c>
      <c r="G44" s="61">
        <v>0</v>
      </c>
      <c r="H44" s="61">
        <v>0</v>
      </c>
      <c r="I44" s="57"/>
      <c r="J44" s="61"/>
      <c r="K44" s="57"/>
      <c r="L44" s="61"/>
      <c r="M44" s="25" t="s">
        <v>24</v>
      </c>
      <c r="N44" s="25" t="s">
        <v>14</v>
      </c>
      <c r="O44" s="53">
        <v>45942</v>
      </c>
      <c r="P44" s="63"/>
    </row>
    <row r="45" spans="1:16" ht="15" customHeight="1" thickBot="1" x14ac:dyDescent="0.35">
      <c r="A45" s="76">
        <v>3538</v>
      </c>
      <c r="B45" s="53">
        <v>45918</v>
      </c>
      <c r="C45" s="8"/>
      <c r="D45" s="61">
        <v>2</v>
      </c>
      <c r="E45" s="61">
        <v>26</v>
      </c>
      <c r="F45" s="61">
        <v>26</v>
      </c>
      <c r="G45" s="61">
        <v>0</v>
      </c>
      <c r="H45" s="61">
        <v>0</v>
      </c>
      <c r="I45" s="57"/>
      <c r="J45" s="61"/>
      <c r="K45" s="57"/>
      <c r="L45" s="61"/>
      <c r="M45" s="25" t="s">
        <v>24</v>
      </c>
      <c r="N45" s="25" t="s">
        <v>14</v>
      </c>
      <c r="O45" s="53">
        <v>45918</v>
      </c>
      <c r="P45" s="63">
        <v>3538</v>
      </c>
    </row>
    <row r="46" spans="1:16" ht="15" customHeight="1" x14ac:dyDescent="0.3">
      <c r="A46" s="74">
        <v>3540</v>
      </c>
      <c r="B46" s="53"/>
      <c r="C46" s="8"/>
      <c r="D46" s="61"/>
      <c r="E46" s="61"/>
      <c r="F46" s="61"/>
      <c r="G46" s="61"/>
      <c r="H46" s="61"/>
      <c r="I46" s="57"/>
      <c r="J46" s="61"/>
      <c r="K46" s="57"/>
      <c r="L46" s="61"/>
      <c r="M46" s="25"/>
      <c r="N46" s="25"/>
      <c r="O46" s="53"/>
      <c r="P46" s="63"/>
    </row>
    <row r="47" spans="1:16" ht="15" customHeight="1" x14ac:dyDescent="0.3">
      <c r="A47" s="75">
        <v>3541</v>
      </c>
      <c r="B47" s="53">
        <v>45930</v>
      </c>
      <c r="C47" s="8"/>
      <c r="D47" s="61">
        <v>3</v>
      </c>
      <c r="E47" s="61">
        <v>26</v>
      </c>
      <c r="F47" s="61">
        <v>26</v>
      </c>
      <c r="G47" s="61">
        <v>0</v>
      </c>
      <c r="H47" s="61">
        <v>0</v>
      </c>
      <c r="I47" s="57"/>
      <c r="J47" s="61"/>
      <c r="K47" s="57"/>
      <c r="L47" s="61"/>
      <c r="M47" s="25" t="s">
        <v>24</v>
      </c>
      <c r="N47" s="25" t="s">
        <v>14</v>
      </c>
      <c r="O47" s="53">
        <v>45930</v>
      </c>
      <c r="P47" s="63">
        <v>3541</v>
      </c>
    </row>
    <row r="48" spans="1:16" ht="15" customHeight="1" x14ac:dyDescent="0.3">
      <c r="A48" s="75">
        <v>3542</v>
      </c>
      <c r="B48" s="53">
        <v>45897</v>
      </c>
      <c r="C48" s="8"/>
      <c r="D48" s="61">
        <v>1</v>
      </c>
      <c r="E48" s="61">
        <v>10</v>
      </c>
      <c r="F48" s="61">
        <v>10</v>
      </c>
      <c r="G48" s="61">
        <v>0</v>
      </c>
      <c r="H48" s="61">
        <v>0</v>
      </c>
      <c r="I48" s="57"/>
      <c r="J48" s="61"/>
      <c r="K48" s="57"/>
      <c r="L48" s="61"/>
      <c r="M48" s="25" t="s">
        <v>24</v>
      </c>
      <c r="N48" s="25" t="s">
        <v>30</v>
      </c>
      <c r="O48" s="53">
        <v>45897</v>
      </c>
      <c r="P48" s="63">
        <v>3542</v>
      </c>
    </row>
    <row r="49" spans="1:16" ht="15" customHeight="1" x14ac:dyDescent="0.3">
      <c r="A49" s="75">
        <v>3543</v>
      </c>
      <c r="B49" s="53"/>
      <c r="C49" s="8"/>
      <c r="D49" s="61"/>
      <c r="E49" s="61"/>
      <c r="F49" s="61"/>
      <c r="G49" s="61"/>
      <c r="H49" s="61"/>
      <c r="I49" s="57"/>
      <c r="J49" s="61"/>
      <c r="K49" s="57"/>
      <c r="L49" s="61"/>
      <c r="M49" s="25"/>
      <c r="N49" s="25"/>
      <c r="O49" s="53"/>
      <c r="P49" s="63"/>
    </row>
    <row r="50" spans="1:16" ht="15" customHeight="1" x14ac:dyDescent="0.3">
      <c r="A50" s="75">
        <v>3544</v>
      </c>
      <c r="B50" s="53"/>
      <c r="C50" s="8"/>
      <c r="D50" s="61"/>
      <c r="E50" s="61"/>
      <c r="F50" s="61"/>
      <c r="G50" s="61"/>
      <c r="H50" s="61"/>
      <c r="I50" s="57"/>
      <c r="J50" s="61"/>
      <c r="K50" s="57"/>
      <c r="L50" s="61"/>
      <c r="M50" s="25"/>
      <c r="N50" s="25"/>
      <c r="O50" s="53"/>
      <c r="P50" s="63"/>
    </row>
    <row r="51" spans="1:16" ht="15" customHeight="1" x14ac:dyDescent="0.3">
      <c r="A51" s="75">
        <v>3545</v>
      </c>
      <c r="B51" s="53">
        <v>45921</v>
      </c>
      <c r="C51" s="8"/>
      <c r="D51" s="61">
        <v>1</v>
      </c>
      <c r="E51" s="61">
        <v>6</v>
      </c>
      <c r="F51" s="61">
        <v>6</v>
      </c>
      <c r="G51" s="61">
        <v>0</v>
      </c>
      <c r="H51" s="61">
        <v>0</v>
      </c>
      <c r="I51" s="57"/>
      <c r="J51" s="61"/>
      <c r="K51" s="57"/>
      <c r="L51" s="61"/>
      <c r="M51" s="25" t="s">
        <v>24</v>
      </c>
      <c r="N51" s="60" t="s">
        <v>30</v>
      </c>
      <c r="O51" s="53">
        <v>45921</v>
      </c>
      <c r="P51" s="63">
        <v>3545</v>
      </c>
    </row>
    <row r="52" spans="1:16" ht="15" customHeight="1" x14ac:dyDescent="0.3">
      <c r="A52" s="75">
        <v>3546</v>
      </c>
      <c r="B52" s="53"/>
      <c r="C52" s="8"/>
      <c r="D52" s="61"/>
      <c r="E52" s="61"/>
      <c r="F52" s="61"/>
      <c r="G52" s="61"/>
      <c r="H52" s="61"/>
      <c r="I52" s="57"/>
      <c r="J52" s="61"/>
      <c r="K52" s="57"/>
      <c r="L52" s="61"/>
      <c r="M52" s="25"/>
      <c r="N52" s="25"/>
      <c r="O52" s="53"/>
      <c r="P52" s="63"/>
    </row>
    <row r="53" spans="1:16" ht="15" customHeight="1" x14ac:dyDescent="0.3">
      <c r="A53" s="75">
        <v>3547</v>
      </c>
      <c r="B53" s="53">
        <v>45894</v>
      </c>
      <c r="C53" s="8"/>
      <c r="D53" s="61">
        <v>2</v>
      </c>
      <c r="E53" s="61">
        <v>26</v>
      </c>
      <c r="F53" s="61">
        <v>26</v>
      </c>
      <c r="G53" s="61">
        <v>0</v>
      </c>
      <c r="H53" s="61">
        <v>0</v>
      </c>
      <c r="I53" s="57"/>
      <c r="J53" s="61"/>
      <c r="K53" s="57"/>
      <c r="L53" s="61"/>
      <c r="M53" s="25" t="s">
        <v>24</v>
      </c>
      <c r="N53" s="25" t="s">
        <v>31</v>
      </c>
      <c r="O53" s="53">
        <v>45894</v>
      </c>
      <c r="P53" s="63">
        <v>3547</v>
      </c>
    </row>
    <row r="54" spans="1:16" ht="15" customHeight="1" x14ac:dyDescent="0.3">
      <c r="A54" s="75">
        <v>3548</v>
      </c>
      <c r="B54" s="53">
        <v>45925</v>
      </c>
      <c r="C54" s="8"/>
      <c r="D54" s="61">
        <v>2</v>
      </c>
      <c r="E54" s="61">
        <v>5</v>
      </c>
      <c r="F54" s="61">
        <v>5</v>
      </c>
      <c r="G54" s="61">
        <v>0</v>
      </c>
      <c r="H54" s="61">
        <v>0</v>
      </c>
      <c r="I54" s="57"/>
      <c r="J54" s="61"/>
      <c r="K54" s="57"/>
      <c r="L54" s="61"/>
      <c r="M54" s="25" t="s">
        <v>24</v>
      </c>
      <c r="N54" s="25" t="s">
        <v>14</v>
      </c>
      <c r="O54" s="53">
        <v>45925</v>
      </c>
      <c r="P54" s="63">
        <v>3548</v>
      </c>
    </row>
    <row r="55" spans="1:16" ht="15" customHeight="1" x14ac:dyDescent="0.3">
      <c r="A55" s="75">
        <v>3549</v>
      </c>
      <c r="B55" s="53">
        <v>45893</v>
      </c>
      <c r="C55" s="8"/>
      <c r="D55" s="61">
        <v>2</v>
      </c>
      <c r="E55" s="61">
        <v>9</v>
      </c>
      <c r="F55" s="61">
        <v>9</v>
      </c>
      <c r="G55" s="61">
        <v>0</v>
      </c>
      <c r="H55" s="61">
        <v>0</v>
      </c>
      <c r="I55" s="57"/>
      <c r="J55" s="61"/>
      <c r="K55" s="57"/>
      <c r="L55" s="61"/>
      <c r="M55" s="25" t="s">
        <v>24</v>
      </c>
      <c r="N55" s="25" t="s">
        <v>31</v>
      </c>
      <c r="O55" s="53">
        <v>45893</v>
      </c>
      <c r="P55" s="63">
        <v>3549</v>
      </c>
    </row>
    <row r="56" spans="1:16" ht="15" customHeight="1" thickBot="1" x14ac:dyDescent="0.35">
      <c r="A56" s="76">
        <v>3550</v>
      </c>
      <c r="B56" s="53">
        <v>45926</v>
      </c>
      <c r="C56" s="8"/>
      <c r="D56" s="61">
        <v>1</v>
      </c>
      <c r="E56" s="61">
        <v>5</v>
      </c>
      <c r="F56" s="61">
        <v>5</v>
      </c>
      <c r="G56" s="61">
        <v>0</v>
      </c>
      <c r="H56" s="61">
        <v>0</v>
      </c>
      <c r="I56" s="57"/>
      <c r="J56" s="61"/>
      <c r="K56" s="57"/>
      <c r="L56" s="61"/>
      <c r="M56" s="25" t="s">
        <v>24</v>
      </c>
      <c r="N56" s="25" t="s">
        <v>14</v>
      </c>
      <c r="O56" s="53">
        <v>45926</v>
      </c>
      <c r="P56" s="63">
        <v>3550</v>
      </c>
    </row>
    <row r="57" spans="1:16" ht="15" customHeight="1" x14ac:dyDescent="0.3">
      <c r="A57" s="74">
        <v>3551</v>
      </c>
      <c r="B57" s="53">
        <v>45921</v>
      </c>
      <c r="C57" s="8"/>
      <c r="D57" s="61">
        <v>1</v>
      </c>
      <c r="E57" s="61">
        <v>4</v>
      </c>
      <c r="F57" s="61">
        <v>4</v>
      </c>
      <c r="G57" s="61">
        <v>0</v>
      </c>
      <c r="H57" s="61">
        <v>0</v>
      </c>
      <c r="I57" s="57"/>
      <c r="J57" s="61"/>
      <c r="K57" s="57"/>
      <c r="L57" s="61"/>
      <c r="M57" s="25" t="s">
        <v>24</v>
      </c>
      <c r="N57" s="25" t="s">
        <v>30</v>
      </c>
      <c r="O57" s="53">
        <v>45921</v>
      </c>
      <c r="P57" s="63">
        <v>3551</v>
      </c>
    </row>
    <row r="58" spans="1:16" ht="15" customHeight="1" x14ac:dyDescent="0.3">
      <c r="A58" s="75">
        <v>3552</v>
      </c>
      <c r="B58" s="53"/>
      <c r="C58" s="8"/>
      <c r="D58" s="61"/>
      <c r="E58" s="61"/>
      <c r="F58" s="61"/>
      <c r="G58" s="61"/>
      <c r="H58" s="61"/>
      <c r="I58" s="57"/>
      <c r="J58" s="61"/>
      <c r="K58" s="57"/>
      <c r="L58" s="61"/>
      <c r="M58" s="25"/>
      <c r="N58" s="25"/>
      <c r="O58" s="53"/>
      <c r="P58" s="63"/>
    </row>
    <row r="59" spans="1:16" ht="15" customHeight="1" x14ac:dyDescent="0.3">
      <c r="A59" s="75">
        <v>3553</v>
      </c>
      <c r="B59" s="53">
        <v>45887</v>
      </c>
      <c r="C59" s="8"/>
      <c r="D59" s="61">
        <v>2</v>
      </c>
      <c r="E59" s="61">
        <v>68</v>
      </c>
      <c r="F59" s="61">
        <v>68</v>
      </c>
      <c r="G59" s="61">
        <v>0</v>
      </c>
      <c r="H59" s="61">
        <v>0</v>
      </c>
      <c r="I59" s="57"/>
      <c r="J59" s="61"/>
      <c r="K59" s="57"/>
      <c r="L59" s="61"/>
      <c r="M59" s="25" t="s">
        <v>24</v>
      </c>
      <c r="N59" s="25" t="s">
        <v>30</v>
      </c>
      <c r="O59" s="53">
        <v>45887</v>
      </c>
      <c r="P59" s="63">
        <v>3553</v>
      </c>
    </row>
    <row r="60" spans="1:16" ht="15" customHeight="1" x14ac:dyDescent="0.3">
      <c r="A60" s="75">
        <v>3554</v>
      </c>
      <c r="B60" s="53"/>
      <c r="C60" s="8"/>
      <c r="D60" s="61"/>
      <c r="E60" s="61"/>
      <c r="F60" s="61"/>
      <c r="G60" s="61"/>
      <c r="H60" s="61"/>
      <c r="I60" s="57"/>
      <c r="J60" s="61"/>
      <c r="K60" s="57"/>
      <c r="L60" s="61"/>
      <c r="M60" s="25"/>
      <c r="N60" s="25"/>
      <c r="O60" s="53"/>
      <c r="P60" s="63"/>
    </row>
    <row r="61" spans="1:16" ht="15" customHeight="1" x14ac:dyDescent="0.3">
      <c r="A61" s="75">
        <v>3555</v>
      </c>
      <c r="B61" s="53">
        <v>45940</v>
      </c>
      <c r="C61" s="8"/>
      <c r="D61" s="61">
        <v>1</v>
      </c>
      <c r="E61" s="61">
        <v>12</v>
      </c>
      <c r="F61" s="61">
        <v>12</v>
      </c>
      <c r="G61" s="61">
        <v>0</v>
      </c>
      <c r="H61" s="61">
        <v>0</v>
      </c>
      <c r="I61" s="57"/>
      <c r="J61" s="61"/>
      <c r="K61" s="57"/>
      <c r="L61" s="61"/>
      <c r="M61" s="25" t="s">
        <v>24</v>
      </c>
      <c r="N61" s="25" t="s">
        <v>14</v>
      </c>
      <c r="O61" s="53">
        <v>45940</v>
      </c>
      <c r="P61" s="63">
        <v>3555</v>
      </c>
    </row>
    <row r="62" spans="1:16" ht="15" customHeight="1" x14ac:dyDescent="0.3">
      <c r="A62" s="75">
        <v>3556</v>
      </c>
      <c r="B62" s="53"/>
      <c r="C62" s="8"/>
      <c r="D62" s="61"/>
      <c r="E62" s="61"/>
      <c r="F62" s="61"/>
      <c r="G62" s="61"/>
      <c r="H62" s="61"/>
      <c r="I62" s="57"/>
      <c r="J62" s="61"/>
      <c r="K62" s="57"/>
      <c r="L62" s="61"/>
      <c r="M62" s="25"/>
      <c r="N62" s="25"/>
      <c r="O62" s="53"/>
      <c r="P62" s="63"/>
    </row>
    <row r="63" spans="1:16" ht="15" customHeight="1" x14ac:dyDescent="0.3">
      <c r="A63" s="75">
        <v>3557</v>
      </c>
      <c r="B63" s="53">
        <v>45867</v>
      </c>
      <c r="C63" s="8"/>
      <c r="D63" s="61">
        <v>2</v>
      </c>
      <c r="E63" s="61">
        <v>24</v>
      </c>
      <c r="F63" s="61">
        <v>24</v>
      </c>
      <c r="G63" s="61">
        <v>0</v>
      </c>
      <c r="H63" s="61">
        <v>0</v>
      </c>
      <c r="I63" s="57"/>
      <c r="J63" s="61"/>
      <c r="K63" s="57"/>
      <c r="L63" s="61"/>
      <c r="M63" s="25" t="s">
        <v>24</v>
      </c>
      <c r="N63" s="25" t="s">
        <v>14</v>
      </c>
      <c r="O63" s="53">
        <v>45867</v>
      </c>
      <c r="P63" s="63">
        <v>3557</v>
      </c>
    </row>
    <row r="64" spans="1:16" ht="15" customHeight="1" x14ac:dyDescent="0.3">
      <c r="A64" s="75">
        <v>3558</v>
      </c>
      <c r="B64" s="53">
        <v>45904</v>
      </c>
      <c r="C64" s="8"/>
      <c r="D64" s="61">
        <v>2</v>
      </c>
      <c r="E64" s="61">
        <v>9</v>
      </c>
      <c r="F64" s="61">
        <v>9</v>
      </c>
      <c r="G64" s="61">
        <v>0</v>
      </c>
      <c r="H64" s="61">
        <v>0</v>
      </c>
      <c r="I64" s="57"/>
      <c r="J64" s="61"/>
      <c r="K64" s="57"/>
      <c r="L64" s="61"/>
      <c r="M64" s="25" t="s">
        <v>24</v>
      </c>
      <c r="N64" s="25" t="s">
        <v>14</v>
      </c>
      <c r="O64" s="53">
        <v>45904</v>
      </c>
      <c r="P64" s="63">
        <v>3558</v>
      </c>
    </row>
    <row r="65" spans="1:16" ht="15" customHeight="1" thickBot="1" x14ac:dyDescent="0.35">
      <c r="A65" s="75">
        <v>3559</v>
      </c>
      <c r="B65" s="53">
        <v>45883</v>
      </c>
      <c r="C65" s="8"/>
      <c r="D65" s="61">
        <v>1</v>
      </c>
      <c r="E65" s="61">
        <v>35</v>
      </c>
      <c r="F65" s="61">
        <v>35</v>
      </c>
      <c r="G65" s="61">
        <v>0</v>
      </c>
      <c r="H65" s="61">
        <v>0</v>
      </c>
      <c r="I65" s="57"/>
      <c r="J65" s="61"/>
      <c r="K65" s="57"/>
      <c r="L65" s="61"/>
      <c r="M65" s="25" t="s">
        <v>24</v>
      </c>
      <c r="N65" s="25" t="s">
        <v>14</v>
      </c>
      <c r="O65" s="53">
        <v>45883</v>
      </c>
      <c r="P65" s="63">
        <v>3559</v>
      </c>
    </row>
    <row r="66" spans="1:16" ht="15" customHeight="1" x14ac:dyDescent="0.3">
      <c r="A66" s="77">
        <v>3560</v>
      </c>
      <c r="B66" s="53">
        <v>45923</v>
      </c>
      <c r="C66" s="8"/>
      <c r="D66" s="61">
        <v>2</v>
      </c>
      <c r="E66" s="61">
        <v>27</v>
      </c>
      <c r="F66" s="61">
        <v>27</v>
      </c>
      <c r="G66" s="61">
        <v>0</v>
      </c>
      <c r="H66" s="61">
        <v>0</v>
      </c>
      <c r="I66" s="57"/>
      <c r="J66" s="61"/>
      <c r="K66" s="57"/>
      <c r="L66" s="61"/>
      <c r="M66" s="25" t="s">
        <v>24</v>
      </c>
      <c r="N66" s="25" t="s">
        <v>14</v>
      </c>
      <c r="O66" s="53">
        <v>45923</v>
      </c>
      <c r="P66" s="63">
        <v>3560</v>
      </c>
    </row>
    <row r="67" spans="1:16" ht="15" customHeight="1" x14ac:dyDescent="0.3">
      <c r="A67" s="78">
        <v>3561</v>
      </c>
      <c r="B67" s="53">
        <v>45875</v>
      </c>
      <c r="C67" s="8"/>
      <c r="D67" s="61">
        <v>3</v>
      </c>
      <c r="E67" s="61">
        <v>102</v>
      </c>
      <c r="F67" s="61">
        <v>102</v>
      </c>
      <c r="G67" s="61">
        <v>0</v>
      </c>
      <c r="H67" s="61">
        <v>0</v>
      </c>
      <c r="I67" s="57"/>
      <c r="J67" s="61"/>
      <c r="K67" s="57"/>
      <c r="L67" s="61"/>
      <c r="M67" s="25" t="s">
        <v>24</v>
      </c>
      <c r="N67" s="25" t="s">
        <v>14</v>
      </c>
      <c r="O67" s="53">
        <v>45875</v>
      </c>
      <c r="P67" s="63">
        <v>3561</v>
      </c>
    </row>
    <row r="68" spans="1:16" ht="18.75" x14ac:dyDescent="0.3">
      <c r="A68" s="78">
        <v>3562</v>
      </c>
      <c r="B68" s="53"/>
      <c r="C68" s="8"/>
      <c r="D68" s="61"/>
      <c r="E68" s="61"/>
      <c r="F68" s="61"/>
      <c r="G68" s="61"/>
      <c r="H68" s="61"/>
      <c r="I68" s="57"/>
      <c r="J68" s="61"/>
      <c r="K68" s="57"/>
      <c r="L68" s="61"/>
      <c r="M68" s="25"/>
      <c r="N68" s="25"/>
      <c r="O68" s="53"/>
      <c r="P68" s="63"/>
    </row>
    <row r="69" spans="1:16" ht="18.75" x14ac:dyDescent="0.3">
      <c r="A69" s="78">
        <v>3563</v>
      </c>
      <c r="B69" s="53"/>
      <c r="C69" s="8"/>
      <c r="D69" s="61"/>
      <c r="E69" s="61"/>
      <c r="F69" s="61"/>
      <c r="G69" s="61"/>
      <c r="H69" s="61"/>
      <c r="I69" s="57"/>
      <c r="J69" s="61"/>
      <c r="K69" s="57"/>
      <c r="L69" s="61"/>
      <c r="M69" s="25"/>
      <c r="N69" s="25"/>
      <c r="O69" s="53"/>
      <c r="P69" s="63"/>
    </row>
    <row r="70" spans="1:16" ht="18.75" x14ac:dyDescent="0.3">
      <c r="A70" s="78">
        <v>3564</v>
      </c>
      <c r="B70" s="53">
        <v>45883</v>
      </c>
      <c r="C70" s="8"/>
      <c r="D70" s="61">
        <v>3</v>
      </c>
      <c r="E70" s="61">
        <v>65</v>
      </c>
      <c r="F70" s="61">
        <v>65</v>
      </c>
      <c r="G70" s="61">
        <v>0</v>
      </c>
      <c r="H70" s="61">
        <v>0</v>
      </c>
      <c r="I70" s="57"/>
      <c r="J70" s="61"/>
      <c r="K70" s="57"/>
      <c r="L70" s="61"/>
      <c r="M70" s="25" t="s">
        <v>24</v>
      </c>
      <c r="N70" s="25" t="s">
        <v>14</v>
      </c>
      <c r="O70" s="53">
        <v>45883</v>
      </c>
      <c r="P70" s="63">
        <v>3564</v>
      </c>
    </row>
    <row r="71" spans="1:16" ht="18.75" x14ac:dyDescent="0.3">
      <c r="A71" s="78">
        <v>3565</v>
      </c>
      <c r="B71" s="53"/>
      <c r="C71" s="8"/>
      <c r="D71" s="61"/>
      <c r="E71" s="61"/>
      <c r="F71" s="61"/>
      <c r="G71" s="61"/>
      <c r="H71" s="61"/>
      <c r="I71" s="57"/>
      <c r="J71" s="61"/>
      <c r="K71" s="57"/>
      <c r="L71" s="61"/>
      <c r="M71" s="25"/>
      <c r="N71" s="25"/>
      <c r="O71" s="53"/>
      <c r="P71" s="63"/>
    </row>
    <row r="72" spans="1:16" ht="18.75" x14ac:dyDescent="0.3">
      <c r="A72" s="78">
        <v>3566</v>
      </c>
      <c r="B72" s="53">
        <v>45884</v>
      </c>
      <c r="C72" s="8"/>
      <c r="D72" s="61">
        <v>2</v>
      </c>
      <c r="E72" s="61">
        <v>18</v>
      </c>
      <c r="F72" s="61">
        <v>18</v>
      </c>
      <c r="G72" s="61">
        <v>0</v>
      </c>
      <c r="H72" s="61">
        <v>0</v>
      </c>
      <c r="I72" s="57"/>
      <c r="J72" s="61"/>
      <c r="K72" s="57"/>
      <c r="L72" s="61"/>
      <c r="M72" s="25" t="s">
        <v>24</v>
      </c>
      <c r="N72" s="25" t="s">
        <v>14</v>
      </c>
      <c r="O72" s="53">
        <v>45884</v>
      </c>
      <c r="P72" s="63">
        <v>3566</v>
      </c>
    </row>
    <row r="73" spans="1:16" ht="18.75" x14ac:dyDescent="0.3">
      <c r="A73" s="79">
        <v>3567</v>
      </c>
      <c r="B73" s="53">
        <v>45887</v>
      </c>
      <c r="C73" s="8"/>
      <c r="D73" s="61">
        <v>2</v>
      </c>
      <c r="E73" s="61">
        <v>52</v>
      </c>
      <c r="F73" s="61">
        <v>52</v>
      </c>
      <c r="G73" s="61">
        <v>0</v>
      </c>
      <c r="H73" s="61">
        <v>0</v>
      </c>
      <c r="I73" s="57"/>
      <c r="J73" s="61"/>
      <c r="K73" s="57"/>
      <c r="L73" s="61"/>
      <c r="M73" s="25" t="s">
        <v>24</v>
      </c>
      <c r="N73" s="25" t="s">
        <v>30</v>
      </c>
      <c r="O73" s="53">
        <v>45887</v>
      </c>
      <c r="P73" s="63">
        <v>3567</v>
      </c>
    </row>
    <row r="74" spans="1:16" x14ac:dyDescent="0.25">
      <c r="P74" s="23"/>
    </row>
    <row r="75" spans="1:16" x14ac:dyDescent="0.25">
      <c r="P75" s="23"/>
    </row>
    <row r="76" spans="1:16" x14ac:dyDescent="0.25">
      <c r="P76" s="23"/>
    </row>
    <row r="77" spans="1:16" x14ac:dyDescent="0.25">
      <c r="P77" s="23"/>
    </row>
    <row r="78" spans="1:16" x14ac:dyDescent="0.25">
      <c r="P78" s="23"/>
    </row>
    <row r="79" spans="1:16" x14ac:dyDescent="0.25">
      <c r="P79" s="23"/>
    </row>
    <row r="80" spans="1:16" x14ac:dyDescent="0.25">
      <c r="P80" s="23"/>
    </row>
    <row r="81" spans="16:16" x14ac:dyDescent="0.25">
      <c r="P81" s="23"/>
    </row>
    <row r="82" spans="16:16" x14ac:dyDescent="0.25">
      <c r="P82" s="23"/>
    </row>
    <row r="83" spans="16:16" x14ac:dyDescent="0.25">
      <c r="P83" s="23"/>
    </row>
    <row r="84" spans="16:16" x14ac:dyDescent="0.25">
      <c r="P84" s="23"/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algorithmName="SHA-512" hashValue="Bf0mIibHPM8smhpfZdaJ6Zn/Ih2m2/42TGYvwu4/THuHLIMJ/hv84fKZmFlHBoBYZxlRwWJKAyQAmmCykpH1fQ==" saltValue="L7sXkWn4zkchNiOXqpEXj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1 L2:L73 P2:P73" xr:uid="{489867CE-A0DC-4332-BE14-29E949E575D7}">
      <formula1>0</formula1>
    </dataValidation>
    <dataValidation type="date" operator="greaterThanOrEqual" allowBlank="1" showInputMessage="1" showErrorMessage="1" sqref="B2:B73 I2:I73 K2:K73 O2:O73" xr:uid="{87CF6466-EE35-4C0B-B2EA-6FBCA9809BBD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4A35A69-F354-4057-A4A0-84B081446A36}">
          <x14:formula1>
            <xm:f>Inspected!$A$1:$A$2</xm:f>
          </x14:formula1>
          <xm:sqref>M2:M73</xm:sqref>
        </x14:dataValidation>
        <x14:dataValidation type="list" allowBlank="1" showInputMessage="1" showErrorMessage="1" xr:uid="{A2E17F50-C466-4EC8-ADF1-809CBD97E2F9}">
          <x14:formula1>
            <xm:f>Inspected!$D$1</xm:f>
          </x14:formula1>
          <xm:sqref>C2:C73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AA6B1-892A-435B-8623-0462CE89B2DD}">
  <dimension ref="A1:U207"/>
  <sheetViews>
    <sheetView zoomScaleNormal="100" workbookViewId="0">
      <selection activeCell="H6" sqref="H6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80" t="s">
        <v>0</v>
      </c>
      <c r="B1" s="34" t="s">
        <v>1</v>
      </c>
      <c r="C1" s="34" t="s">
        <v>26</v>
      </c>
      <c r="D1" s="35" t="s">
        <v>2</v>
      </c>
      <c r="E1" s="35" t="s">
        <v>3</v>
      </c>
      <c r="F1" s="35" t="s">
        <v>4</v>
      </c>
      <c r="G1" s="35" t="s">
        <v>5</v>
      </c>
      <c r="H1" s="35" t="s">
        <v>6</v>
      </c>
      <c r="I1" s="36" t="s">
        <v>7</v>
      </c>
      <c r="J1" s="36" t="s">
        <v>8</v>
      </c>
      <c r="K1" s="37" t="s">
        <v>9</v>
      </c>
      <c r="L1" s="37" t="s">
        <v>27</v>
      </c>
      <c r="M1" s="38" t="s">
        <v>10</v>
      </c>
      <c r="N1" s="39" t="s">
        <v>11</v>
      </c>
      <c r="O1" s="40" t="s">
        <v>12</v>
      </c>
      <c r="P1" s="41" t="s">
        <v>13</v>
      </c>
    </row>
    <row r="2" spans="1:21" ht="15" customHeight="1" x14ac:dyDescent="0.3">
      <c r="A2" s="71">
        <v>3231</v>
      </c>
      <c r="B2" s="53"/>
      <c r="C2" s="8"/>
      <c r="D2" s="61"/>
      <c r="E2" s="61"/>
      <c r="F2" s="61"/>
      <c r="G2" s="61"/>
      <c r="H2" s="61"/>
      <c r="I2" s="57"/>
      <c r="J2" s="61"/>
      <c r="K2" s="57"/>
      <c r="L2" s="61"/>
      <c r="M2" s="22"/>
      <c r="N2" s="25"/>
      <c r="O2" s="53"/>
      <c r="P2" s="63"/>
      <c r="R2" s="81" t="s">
        <v>15</v>
      </c>
      <c r="S2" s="82"/>
      <c r="T2" s="82"/>
      <c r="U2" s="83"/>
    </row>
    <row r="3" spans="1:21" ht="15" customHeight="1" x14ac:dyDescent="0.3">
      <c r="A3" s="72">
        <v>3232</v>
      </c>
      <c r="B3" s="53">
        <v>45937</v>
      </c>
      <c r="C3" s="8"/>
      <c r="D3" s="61">
        <v>2</v>
      </c>
      <c r="E3" s="61">
        <v>50</v>
      </c>
      <c r="F3" s="61">
        <v>50</v>
      </c>
      <c r="G3" s="61">
        <v>0</v>
      </c>
      <c r="H3" s="61">
        <v>0</v>
      </c>
      <c r="I3" s="57"/>
      <c r="J3" s="61"/>
      <c r="K3" s="57"/>
      <c r="L3" s="61"/>
      <c r="M3" s="22" t="s">
        <v>24</v>
      </c>
      <c r="N3" s="25" t="s">
        <v>14</v>
      </c>
      <c r="O3" s="53">
        <v>45937</v>
      </c>
      <c r="P3" s="63">
        <v>3232</v>
      </c>
      <c r="R3" s="10" t="s">
        <v>16</v>
      </c>
      <c r="S3" s="11" t="s">
        <v>17</v>
      </c>
      <c r="T3" s="12" t="s">
        <v>18</v>
      </c>
      <c r="U3" s="13" t="s">
        <v>19</v>
      </c>
    </row>
    <row r="4" spans="1:21" ht="15" customHeight="1" thickBot="1" x14ac:dyDescent="0.35">
      <c r="A4" s="72">
        <v>3233</v>
      </c>
      <c r="B4" s="53"/>
      <c r="C4" s="8"/>
      <c r="D4" s="61"/>
      <c r="E4" s="61"/>
      <c r="F4" s="61"/>
      <c r="G4" s="61"/>
      <c r="H4" s="61"/>
      <c r="I4" s="57"/>
      <c r="J4" s="61"/>
      <c r="K4" s="57"/>
      <c r="L4" s="61"/>
      <c r="M4" s="22"/>
      <c r="N4" s="25"/>
      <c r="O4" s="53"/>
      <c r="P4" s="63"/>
      <c r="R4" s="14">
        <v>36</v>
      </c>
      <c r="S4" s="15">
        <f>COUNTA(A:A)-1</f>
        <v>72</v>
      </c>
      <c r="T4" s="15">
        <f>COUNTA(O:O)-1</f>
        <v>24</v>
      </c>
      <c r="U4" s="21">
        <f>T4/S4</f>
        <v>0.33333333333333331</v>
      </c>
    </row>
    <row r="5" spans="1:21" ht="15" customHeight="1" x14ac:dyDescent="0.3">
      <c r="A5" s="72">
        <v>3234</v>
      </c>
      <c r="B5" s="53"/>
      <c r="C5" s="8"/>
      <c r="D5" s="61"/>
      <c r="E5" s="61"/>
      <c r="F5" s="61"/>
      <c r="G5" s="61"/>
      <c r="H5" s="61"/>
      <c r="I5" s="57"/>
      <c r="J5" s="61"/>
      <c r="K5" s="57"/>
      <c r="L5" s="61"/>
      <c r="M5" s="22"/>
      <c r="N5" s="25"/>
      <c r="O5" s="53"/>
      <c r="P5" s="63"/>
    </row>
    <row r="6" spans="1:21" ht="15" customHeight="1" x14ac:dyDescent="0.3">
      <c r="A6" s="72">
        <v>3235</v>
      </c>
      <c r="B6" s="53"/>
      <c r="C6" s="8"/>
      <c r="D6" s="61"/>
      <c r="E6" s="61"/>
      <c r="F6" s="61"/>
      <c r="G6" s="61"/>
      <c r="H6" s="61"/>
      <c r="I6" s="57"/>
      <c r="J6" s="61"/>
      <c r="K6" s="57"/>
      <c r="L6" s="61"/>
      <c r="M6" s="22"/>
      <c r="N6" s="25"/>
      <c r="O6" s="53"/>
      <c r="P6" s="63"/>
    </row>
    <row r="7" spans="1:21" ht="15" customHeight="1" x14ac:dyDescent="0.3">
      <c r="A7" s="72">
        <v>3236</v>
      </c>
      <c r="B7" s="53"/>
      <c r="C7" s="8"/>
      <c r="D7" s="61"/>
      <c r="E7" s="61"/>
      <c r="F7" s="61"/>
      <c r="G7" s="61"/>
      <c r="H7" s="61"/>
      <c r="I7" s="57"/>
      <c r="J7" s="61"/>
      <c r="K7" s="57"/>
      <c r="L7" s="61"/>
      <c r="M7" s="22"/>
      <c r="N7" s="25"/>
      <c r="O7" s="53"/>
      <c r="P7" s="63"/>
    </row>
    <row r="8" spans="1:21" ht="15" customHeight="1" x14ac:dyDescent="0.3">
      <c r="A8" s="72">
        <v>3237</v>
      </c>
      <c r="B8" s="53"/>
      <c r="C8" s="8"/>
      <c r="D8" s="61"/>
      <c r="E8" s="61"/>
      <c r="F8" s="61"/>
      <c r="G8" s="61"/>
      <c r="H8" s="61"/>
      <c r="I8" s="57"/>
      <c r="J8" s="61"/>
      <c r="K8" s="57"/>
      <c r="L8" s="61"/>
      <c r="M8" s="22"/>
      <c r="N8" s="25"/>
      <c r="O8" s="53"/>
      <c r="P8" s="63"/>
    </row>
    <row r="9" spans="1:21" ht="15" customHeight="1" x14ac:dyDescent="0.3">
      <c r="A9" s="72">
        <v>3238</v>
      </c>
      <c r="B9" s="53">
        <v>45890</v>
      </c>
      <c r="C9" s="8"/>
      <c r="D9" s="61">
        <v>1</v>
      </c>
      <c r="E9" s="61">
        <v>1</v>
      </c>
      <c r="F9" s="61">
        <v>1</v>
      </c>
      <c r="G9" s="61">
        <v>0</v>
      </c>
      <c r="H9" s="61">
        <v>0</v>
      </c>
      <c r="I9" s="57"/>
      <c r="J9" s="61"/>
      <c r="K9" s="57"/>
      <c r="L9" s="61"/>
      <c r="M9" s="22" t="s">
        <v>24</v>
      </c>
      <c r="N9" s="25" t="s">
        <v>31</v>
      </c>
      <c r="O9" s="53">
        <v>45890</v>
      </c>
      <c r="P9" s="63">
        <v>3238</v>
      </c>
    </row>
    <row r="10" spans="1:21" ht="15" customHeight="1" x14ac:dyDescent="0.3">
      <c r="A10" s="72">
        <v>3239</v>
      </c>
      <c r="B10" s="53"/>
      <c r="C10" s="8"/>
      <c r="D10" s="61"/>
      <c r="E10" s="61"/>
      <c r="F10" s="61"/>
      <c r="G10" s="61"/>
      <c r="H10" s="61"/>
      <c r="I10" s="57"/>
      <c r="J10" s="61"/>
      <c r="K10" s="57"/>
      <c r="L10" s="61"/>
      <c r="M10" s="22"/>
      <c r="N10" s="25"/>
      <c r="O10" s="53"/>
      <c r="P10" s="63"/>
    </row>
    <row r="11" spans="1:21" ht="15" customHeight="1" x14ac:dyDescent="0.3">
      <c r="A11" s="72">
        <v>3240</v>
      </c>
      <c r="B11" s="53"/>
      <c r="C11" s="8"/>
      <c r="D11" s="61"/>
      <c r="E11" s="61"/>
      <c r="F11" s="61"/>
      <c r="G11" s="61"/>
      <c r="H11" s="61"/>
      <c r="I11" s="57"/>
      <c r="J11" s="61"/>
      <c r="K11" s="57"/>
      <c r="L11" s="61"/>
      <c r="M11" s="22"/>
      <c r="N11" s="25"/>
      <c r="O11" s="53"/>
      <c r="P11" s="63">
        <v>3240</v>
      </c>
    </row>
    <row r="12" spans="1:21" ht="15" customHeight="1" thickBot="1" x14ac:dyDescent="0.35">
      <c r="A12" s="73">
        <v>3241</v>
      </c>
      <c r="B12" s="53"/>
      <c r="C12" s="8"/>
      <c r="D12" s="61"/>
      <c r="E12" s="61"/>
      <c r="F12" s="61"/>
      <c r="G12" s="61"/>
      <c r="H12" s="61"/>
      <c r="I12" s="57"/>
      <c r="J12" s="61"/>
      <c r="K12" s="57"/>
      <c r="L12" s="61"/>
      <c r="M12" s="22"/>
      <c r="N12" s="25"/>
      <c r="O12" s="53"/>
      <c r="P12" s="63"/>
    </row>
    <row r="13" spans="1:21" ht="15" customHeight="1" x14ac:dyDescent="0.3">
      <c r="A13" s="74">
        <v>3242</v>
      </c>
      <c r="B13" s="53">
        <v>45939</v>
      </c>
      <c r="C13" s="8"/>
      <c r="D13" s="61">
        <v>1</v>
      </c>
      <c r="E13" s="61">
        <v>1</v>
      </c>
      <c r="F13" s="61">
        <v>1</v>
      </c>
      <c r="G13" s="61">
        <v>0</v>
      </c>
      <c r="H13" s="61">
        <v>0</v>
      </c>
      <c r="I13" s="57"/>
      <c r="J13" s="61"/>
      <c r="K13" s="57"/>
      <c r="L13" s="61"/>
      <c r="M13" s="22" t="s">
        <v>24</v>
      </c>
      <c r="N13" s="25" t="s">
        <v>14</v>
      </c>
      <c r="O13" s="53">
        <v>45939</v>
      </c>
      <c r="P13" s="63">
        <v>3242</v>
      </c>
    </row>
    <row r="14" spans="1:21" ht="15" customHeight="1" x14ac:dyDescent="0.3">
      <c r="A14" s="75">
        <v>3243</v>
      </c>
      <c r="B14" s="53"/>
      <c r="C14" s="8"/>
      <c r="D14" s="61"/>
      <c r="E14" s="61"/>
      <c r="F14" s="61"/>
      <c r="G14" s="61"/>
      <c r="H14" s="61"/>
      <c r="I14" s="57"/>
      <c r="J14" s="61"/>
      <c r="K14" s="57"/>
      <c r="L14" s="61"/>
      <c r="M14" s="22"/>
      <c r="N14" s="25"/>
      <c r="O14" s="53"/>
      <c r="P14" s="63"/>
    </row>
    <row r="15" spans="1:21" ht="15" customHeight="1" x14ac:dyDescent="0.3">
      <c r="A15" s="75">
        <v>3244</v>
      </c>
      <c r="B15" s="53"/>
      <c r="C15" s="8"/>
      <c r="D15" s="61"/>
      <c r="E15" s="61"/>
      <c r="F15" s="61"/>
      <c r="G15" s="61"/>
      <c r="H15" s="61"/>
      <c r="I15" s="57"/>
      <c r="J15" s="61"/>
      <c r="K15" s="57"/>
      <c r="L15" s="61"/>
      <c r="M15" s="22"/>
      <c r="N15" s="25"/>
      <c r="O15" s="53"/>
      <c r="P15" s="63"/>
    </row>
    <row r="16" spans="1:21" ht="15" customHeight="1" x14ac:dyDescent="0.3">
      <c r="A16" s="75">
        <v>3245</v>
      </c>
      <c r="B16" s="53"/>
      <c r="C16" s="8"/>
      <c r="D16" s="61"/>
      <c r="E16" s="61"/>
      <c r="F16" s="61"/>
      <c r="G16" s="61"/>
      <c r="H16" s="61"/>
      <c r="I16" s="57"/>
      <c r="J16" s="61"/>
      <c r="K16" s="57"/>
      <c r="L16" s="61"/>
      <c r="M16" s="22"/>
      <c r="N16" s="25"/>
      <c r="O16" s="53"/>
      <c r="P16" s="63"/>
    </row>
    <row r="17" spans="1:16" ht="15" customHeight="1" x14ac:dyDescent="0.3">
      <c r="A17" s="75">
        <v>3246</v>
      </c>
      <c r="B17" s="53"/>
      <c r="C17" s="8"/>
      <c r="D17" s="61"/>
      <c r="E17" s="61"/>
      <c r="F17" s="61"/>
      <c r="G17" s="61"/>
      <c r="H17" s="61"/>
      <c r="I17" s="57"/>
      <c r="J17" s="61"/>
      <c r="K17" s="57"/>
      <c r="L17" s="61"/>
      <c r="M17" s="22"/>
      <c r="N17" s="25"/>
      <c r="O17" s="53"/>
      <c r="P17" s="63"/>
    </row>
    <row r="18" spans="1:16" ht="15" customHeight="1" x14ac:dyDescent="0.3">
      <c r="A18" s="75">
        <v>3247</v>
      </c>
      <c r="B18" s="53"/>
      <c r="C18" s="8"/>
      <c r="D18" s="61"/>
      <c r="E18" s="61"/>
      <c r="F18" s="61"/>
      <c r="G18" s="61"/>
      <c r="H18" s="61"/>
      <c r="I18" s="57"/>
      <c r="J18" s="61"/>
      <c r="K18" s="57"/>
      <c r="L18" s="61"/>
      <c r="M18" s="22"/>
      <c r="N18" s="25"/>
      <c r="O18" s="53"/>
      <c r="P18" s="63"/>
    </row>
    <row r="19" spans="1:16" ht="15" customHeight="1" x14ac:dyDescent="0.3">
      <c r="A19" s="75">
        <v>3248</v>
      </c>
      <c r="B19" s="53">
        <v>45945</v>
      </c>
      <c r="C19" s="8"/>
      <c r="D19" s="61">
        <v>1</v>
      </c>
      <c r="E19" s="61">
        <v>18</v>
      </c>
      <c r="F19" s="61">
        <v>18</v>
      </c>
      <c r="G19" s="61">
        <v>0</v>
      </c>
      <c r="H19" s="61">
        <v>0</v>
      </c>
      <c r="I19" s="57"/>
      <c r="J19" s="61"/>
      <c r="K19" s="57"/>
      <c r="L19" s="61"/>
      <c r="M19" s="22" t="s">
        <v>24</v>
      </c>
      <c r="N19" s="25" t="s">
        <v>14</v>
      </c>
      <c r="O19" s="53">
        <v>45945</v>
      </c>
      <c r="P19" s="63">
        <v>3248</v>
      </c>
    </row>
    <row r="20" spans="1:16" ht="15" customHeight="1" x14ac:dyDescent="0.3">
      <c r="A20" s="75">
        <v>3250</v>
      </c>
      <c r="B20" s="53"/>
      <c r="C20" s="8"/>
      <c r="D20" s="61"/>
      <c r="E20" s="61"/>
      <c r="F20" s="61"/>
      <c r="G20" s="61"/>
      <c r="H20" s="61"/>
      <c r="I20" s="57"/>
      <c r="J20" s="61"/>
      <c r="K20" s="57"/>
      <c r="L20" s="61"/>
      <c r="M20" s="22"/>
      <c r="N20" s="25"/>
      <c r="O20" s="53"/>
      <c r="P20" s="63"/>
    </row>
    <row r="21" spans="1:16" ht="15" customHeight="1" x14ac:dyDescent="0.3">
      <c r="A21" s="75">
        <v>3251</v>
      </c>
      <c r="B21" s="53"/>
      <c r="C21" s="8"/>
      <c r="D21" s="61"/>
      <c r="E21" s="61"/>
      <c r="F21" s="61"/>
      <c r="G21" s="61"/>
      <c r="H21" s="61"/>
      <c r="I21" s="57"/>
      <c r="J21" s="61"/>
      <c r="K21" s="57"/>
      <c r="L21" s="61"/>
      <c r="M21" s="22"/>
      <c r="N21" s="25"/>
      <c r="O21" s="53"/>
      <c r="P21" s="63"/>
    </row>
    <row r="22" spans="1:16" ht="15" customHeight="1" x14ac:dyDescent="0.3">
      <c r="A22" s="75">
        <v>3252</v>
      </c>
      <c r="B22" s="53"/>
      <c r="C22" s="8"/>
      <c r="D22" s="61"/>
      <c r="E22" s="61"/>
      <c r="F22" s="61"/>
      <c r="G22" s="61"/>
      <c r="H22" s="61"/>
      <c r="I22" s="57"/>
      <c r="J22" s="61"/>
      <c r="K22" s="57"/>
      <c r="L22" s="61"/>
      <c r="M22" s="22"/>
      <c r="N22" s="25"/>
      <c r="O22" s="53"/>
      <c r="P22" s="63"/>
    </row>
    <row r="23" spans="1:16" ht="15" customHeight="1" thickBot="1" x14ac:dyDescent="0.35">
      <c r="A23" s="76">
        <v>3253</v>
      </c>
      <c r="B23" s="53"/>
      <c r="C23" s="8"/>
      <c r="D23" s="61"/>
      <c r="E23" s="61"/>
      <c r="F23" s="61"/>
      <c r="G23" s="61"/>
      <c r="H23" s="61"/>
      <c r="I23" s="57"/>
      <c r="J23" s="61"/>
      <c r="K23" s="57"/>
      <c r="L23" s="61"/>
      <c r="M23" s="22"/>
      <c r="N23" s="25"/>
      <c r="O23" s="53"/>
      <c r="P23" s="63"/>
    </row>
    <row r="24" spans="1:16" ht="15" customHeight="1" x14ac:dyDescent="0.3">
      <c r="A24" s="74">
        <v>3254</v>
      </c>
      <c r="B24" s="53"/>
      <c r="C24" s="8"/>
      <c r="D24" s="61"/>
      <c r="E24" s="61"/>
      <c r="F24" s="61"/>
      <c r="G24" s="61"/>
      <c r="H24" s="61"/>
      <c r="I24" s="57"/>
      <c r="J24" s="61"/>
      <c r="K24" s="57"/>
      <c r="L24" s="61"/>
      <c r="M24" s="22"/>
      <c r="N24" s="25"/>
      <c r="O24" s="53"/>
      <c r="P24" s="63"/>
    </row>
    <row r="25" spans="1:16" ht="15" customHeight="1" x14ac:dyDescent="0.3">
      <c r="A25" s="75">
        <v>3255</v>
      </c>
      <c r="B25" s="53"/>
      <c r="C25" s="8"/>
      <c r="D25" s="61"/>
      <c r="E25" s="61"/>
      <c r="F25" s="61"/>
      <c r="G25" s="61"/>
      <c r="H25" s="61"/>
      <c r="I25" s="57"/>
      <c r="J25" s="61"/>
      <c r="K25" s="57"/>
      <c r="L25" s="61"/>
      <c r="M25" s="22"/>
      <c r="N25" s="25"/>
      <c r="O25" s="53"/>
      <c r="P25" s="63"/>
    </row>
    <row r="26" spans="1:16" ht="15" customHeight="1" x14ac:dyDescent="0.3">
      <c r="A26" s="75">
        <v>3256</v>
      </c>
      <c r="B26" s="53"/>
      <c r="C26" s="8"/>
      <c r="D26" s="61"/>
      <c r="E26" s="61"/>
      <c r="F26" s="61"/>
      <c r="G26" s="61"/>
      <c r="H26" s="61"/>
      <c r="I26" s="57"/>
      <c r="J26" s="61"/>
      <c r="K26" s="57"/>
      <c r="L26" s="61"/>
      <c r="M26" s="22"/>
      <c r="N26" s="25"/>
      <c r="O26" s="53"/>
      <c r="P26" s="63"/>
    </row>
    <row r="27" spans="1:16" ht="15" customHeight="1" x14ac:dyDescent="0.3">
      <c r="A27" s="75">
        <v>3258</v>
      </c>
      <c r="B27" s="53"/>
      <c r="C27" s="8"/>
      <c r="D27" s="61"/>
      <c r="E27" s="61"/>
      <c r="F27" s="61"/>
      <c r="G27" s="61"/>
      <c r="H27" s="61"/>
      <c r="I27" s="57"/>
      <c r="J27" s="61"/>
      <c r="K27" s="57"/>
      <c r="L27" s="61"/>
      <c r="M27" s="22"/>
      <c r="N27" s="25"/>
      <c r="O27" s="53"/>
      <c r="P27" s="63"/>
    </row>
    <row r="28" spans="1:16" ht="15" customHeight="1" x14ac:dyDescent="0.3">
      <c r="A28" s="75">
        <v>3259</v>
      </c>
      <c r="B28" s="53"/>
      <c r="C28" s="8"/>
      <c r="D28" s="61"/>
      <c r="E28" s="61"/>
      <c r="F28" s="61"/>
      <c r="G28" s="61"/>
      <c r="H28" s="61"/>
      <c r="I28" s="57"/>
      <c r="J28" s="61"/>
      <c r="K28" s="57"/>
      <c r="L28" s="61"/>
      <c r="M28" s="22"/>
      <c r="N28" s="25"/>
      <c r="O28" s="53"/>
      <c r="P28" s="63"/>
    </row>
    <row r="29" spans="1:16" ht="15" customHeight="1" x14ac:dyDescent="0.3">
      <c r="A29" s="75">
        <v>3260</v>
      </c>
      <c r="B29" s="53"/>
      <c r="C29" s="8"/>
      <c r="D29" s="61"/>
      <c r="E29" s="61"/>
      <c r="F29" s="61"/>
      <c r="G29" s="61"/>
      <c r="H29" s="61"/>
      <c r="I29" s="57"/>
      <c r="J29" s="61"/>
      <c r="K29" s="57"/>
      <c r="L29" s="61"/>
      <c r="M29" s="22"/>
      <c r="N29" s="25"/>
      <c r="O29" s="53"/>
      <c r="P29" s="63"/>
    </row>
    <row r="30" spans="1:16" ht="15" customHeight="1" x14ac:dyDescent="0.3">
      <c r="A30" s="75">
        <v>3261</v>
      </c>
      <c r="B30" s="53">
        <v>45919</v>
      </c>
      <c r="C30" s="8"/>
      <c r="D30" s="61">
        <v>1</v>
      </c>
      <c r="E30" s="61">
        <v>4</v>
      </c>
      <c r="F30" s="61">
        <v>4</v>
      </c>
      <c r="G30" s="61">
        <v>0</v>
      </c>
      <c r="H30" s="61">
        <v>0</v>
      </c>
      <c r="I30" s="57"/>
      <c r="J30" s="61"/>
      <c r="K30" s="57"/>
      <c r="L30" s="61"/>
      <c r="M30" s="22" t="s">
        <v>24</v>
      </c>
      <c r="N30" s="25" t="s">
        <v>14</v>
      </c>
      <c r="O30" s="53">
        <v>45919</v>
      </c>
      <c r="P30" s="63">
        <v>3261</v>
      </c>
    </row>
    <row r="31" spans="1:16" ht="15" customHeight="1" x14ac:dyDescent="0.3">
      <c r="A31" s="75">
        <v>3262</v>
      </c>
      <c r="B31" s="53"/>
      <c r="C31" s="8"/>
      <c r="D31" s="61"/>
      <c r="E31" s="61"/>
      <c r="F31" s="61"/>
      <c r="G31" s="61"/>
      <c r="H31" s="61"/>
      <c r="I31" s="57"/>
      <c r="J31" s="61"/>
      <c r="K31" s="57"/>
      <c r="L31" s="61"/>
      <c r="M31" s="22"/>
      <c r="N31" s="25"/>
      <c r="O31" s="53"/>
      <c r="P31" s="63"/>
    </row>
    <row r="32" spans="1:16" ht="15" customHeight="1" x14ac:dyDescent="0.3">
      <c r="A32" s="75">
        <v>3263</v>
      </c>
      <c r="B32" s="53"/>
      <c r="C32" s="8"/>
      <c r="D32" s="61"/>
      <c r="E32" s="61"/>
      <c r="F32" s="61"/>
      <c r="G32" s="61"/>
      <c r="H32" s="61"/>
      <c r="I32" s="57"/>
      <c r="J32" s="61"/>
      <c r="K32" s="57"/>
      <c r="L32" s="61"/>
      <c r="M32" s="22"/>
      <c r="N32" s="25"/>
      <c r="O32" s="53"/>
      <c r="P32" s="63"/>
    </row>
    <row r="33" spans="1:16" ht="15" customHeight="1" x14ac:dyDescent="0.3">
      <c r="A33" s="75">
        <v>3264</v>
      </c>
      <c r="B33" s="53"/>
      <c r="C33" s="8"/>
      <c r="D33" s="61"/>
      <c r="E33" s="61"/>
      <c r="F33" s="61"/>
      <c r="G33" s="61"/>
      <c r="H33" s="61"/>
      <c r="I33" s="57"/>
      <c r="J33" s="61"/>
      <c r="K33" s="57"/>
      <c r="L33" s="61"/>
      <c r="M33" s="22"/>
      <c r="N33" s="25"/>
      <c r="O33" s="53"/>
      <c r="P33" s="63"/>
    </row>
    <row r="34" spans="1:16" ht="15" customHeight="1" thickBot="1" x14ac:dyDescent="0.35">
      <c r="A34" s="76">
        <v>3265</v>
      </c>
      <c r="B34" s="53"/>
      <c r="C34" s="8"/>
      <c r="D34" s="61"/>
      <c r="E34" s="61"/>
      <c r="F34" s="61"/>
      <c r="G34" s="61"/>
      <c r="H34" s="61"/>
      <c r="I34" s="57"/>
      <c r="J34" s="61"/>
      <c r="K34" s="57"/>
      <c r="L34" s="61"/>
      <c r="M34" s="22"/>
      <c r="N34" s="25"/>
      <c r="O34" s="53"/>
      <c r="P34" s="63"/>
    </row>
    <row r="35" spans="1:16" ht="15" customHeight="1" x14ac:dyDescent="0.3">
      <c r="A35" s="74">
        <v>3266</v>
      </c>
      <c r="B35" s="53">
        <v>45942</v>
      </c>
      <c r="C35" s="8"/>
      <c r="D35" s="61">
        <v>2</v>
      </c>
      <c r="E35" s="61">
        <v>31</v>
      </c>
      <c r="F35" s="61">
        <v>31</v>
      </c>
      <c r="G35" s="61">
        <v>0</v>
      </c>
      <c r="H35" s="61">
        <v>0</v>
      </c>
      <c r="I35" s="57"/>
      <c r="J35" s="61"/>
      <c r="K35" s="57"/>
      <c r="L35" s="61"/>
      <c r="M35" s="22" t="s">
        <v>24</v>
      </c>
      <c r="N35" s="25" t="s">
        <v>14</v>
      </c>
      <c r="O35" s="53">
        <v>45942</v>
      </c>
      <c r="P35" s="63">
        <v>3537</v>
      </c>
    </row>
    <row r="36" spans="1:16" ht="15" customHeight="1" x14ac:dyDescent="0.3">
      <c r="A36" s="75">
        <v>3267</v>
      </c>
      <c r="B36" s="53"/>
      <c r="C36" s="8"/>
      <c r="D36" s="61"/>
      <c r="E36" s="61"/>
      <c r="F36" s="61"/>
      <c r="G36" s="61"/>
      <c r="H36" s="61"/>
      <c r="I36" s="57"/>
      <c r="J36" s="61"/>
      <c r="K36" s="57"/>
      <c r="L36" s="61"/>
      <c r="M36" s="22"/>
      <c r="N36" s="25"/>
      <c r="O36" s="53"/>
      <c r="P36" s="63"/>
    </row>
    <row r="37" spans="1:16" ht="15" customHeight="1" x14ac:dyDescent="0.3">
      <c r="A37" s="75">
        <v>3299</v>
      </c>
      <c r="B37" s="53"/>
      <c r="C37" s="8"/>
      <c r="D37" s="61"/>
      <c r="E37" s="61"/>
      <c r="F37" s="61"/>
      <c r="G37" s="61"/>
      <c r="H37" s="61"/>
      <c r="I37" s="57"/>
      <c r="J37" s="61"/>
      <c r="K37" s="57"/>
      <c r="L37" s="61"/>
      <c r="M37" s="22"/>
      <c r="N37" s="25"/>
      <c r="O37" s="53"/>
      <c r="P37" s="63"/>
    </row>
    <row r="38" spans="1:16" ht="15" customHeight="1" x14ac:dyDescent="0.3">
      <c r="A38" s="75">
        <v>3531</v>
      </c>
      <c r="B38" s="53">
        <v>45905</v>
      </c>
      <c r="C38" s="8"/>
      <c r="D38" s="61">
        <v>1</v>
      </c>
      <c r="E38" s="61">
        <v>5</v>
      </c>
      <c r="F38" s="61">
        <v>5</v>
      </c>
      <c r="G38" s="61">
        <v>0</v>
      </c>
      <c r="H38" s="61">
        <v>0</v>
      </c>
      <c r="I38" s="57"/>
      <c r="J38" s="61"/>
      <c r="K38" s="57"/>
      <c r="L38" s="61"/>
      <c r="M38" s="22" t="s">
        <v>29</v>
      </c>
      <c r="N38" s="25" t="s">
        <v>14</v>
      </c>
      <c r="O38" s="53">
        <v>45905</v>
      </c>
      <c r="P38" s="63">
        <v>3531</v>
      </c>
    </row>
    <row r="39" spans="1:16" ht="15" customHeight="1" x14ac:dyDescent="0.3">
      <c r="A39" s="75">
        <v>3532</v>
      </c>
      <c r="B39" s="53"/>
      <c r="C39" s="8"/>
      <c r="D39" s="61"/>
      <c r="E39" s="61"/>
      <c r="F39" s="61"/>
      <c r="G39" s="61"/>
      <c r="H39" s="61"/>
      <c r="I39" s="57"/>
      <c r="J39" s="61"/>
      <c r="K39" s="57"/>
      <c r="L39" s="61"/>
      <c r="M39" s="22"/>
      <c r="N39" s="25"/>
      <c r="O39" s="53"/>
      <c r="P39" s="63"/>
    </row>
    <row r="40" spans="1:16" ht="15" customHeight="1" x14ac:dyDescent="0.3">
      <c r="A40" s="75">
        <v>3533</v>
      </c>
      <c r="B40" s="53"/>
      <c r="C40" s="8"/>
      <c r="D40" s="61"/>
      <c r="E40" s="61"/>
      <c r="F40" s="61"/>
      <c r="G40" s="61"/>
      <c r="H40" s="61"/>
      <c r="I40" s="57"/>
      <c r="J40" s="61"/>
      <c r="K40" s="57"/>
      <c r="L40" s="61"/>
      <c r="M40" s="22"/>
      <c r="N40" s="25"/>
      <c r="O40" s="53"/>
      <c r="P40" s="63"/>
    </row>
    <row r="41" spans="1:16" ht="15" customHeight="1" x14ac:dyDescent="0.3">
      <c r="A41" s="75">
        <v>3534</v>
      </c>
      <c r="B41" s="53"/>
      <c r="C41" s="8"/>
      <c r="D41" s="61"/>
      <c r="E41" s="61"/>
      <c r="F41" s="61"/>
      <c r="G41" s="61"/>
      <c r="H41" s="61"/>
      <c r="I41" s="57"/>
      <c r="J41" s="61"/>
      <c r="K41" s="57"/>
      <c r="L41" s="61"/>
      <c r="M41" s="22"/>
      <c r="N41" s="25"/>
      <c r="O41" s="53"/>
      <c r="P41" s="63"/>
    </row>
    <row r="42" spans="1:16" ht="15" customHeight="1" x14ac:dyDescent="0.3">
      <c r="A42" s="75">
        <v>3535</v>
      </c>
      <c r="B42" s="53"/>
      <c r="C42" s="8"/>
      <c r="D42" s="61"/>
      <c r="E42" s="61"/>
      <c r="F42" s="61"/>
      <c r="G42" s="61"/>
      <c r="H42" s="61"/>
      <c r="I42" s="57"/>
      <c r="J42" s="61"/>
      <c r="K42" s="57"/>
      <c r="L42" s="61"/>
      <c r="M42" s="22"/>
      <c r="N42" s="25"/>
      <c r="O42" s="53"/>
      <c r="P42" s="63"/>
    </row>
    <row r="43" spans="1:16" ht="15" customHeight="1" x14ac:dyDescent="0.3">
      <c r="A43" s="75">
        <v>3536</v>
      </c>
      <c r="B43" s="53"/>
      <c r="C43" s="8"/>
      <c r="D43" s="61"/>
      <c r="E43" s="61"/>
      <c r="F43" s="61"/>
      <c r="G43" s="61"/>
      <c r="H43" s="61"/>
      <c r="I43" s="57"/>
      <c r="J43" s="61"/>
      <c r="K43" s="57"/>
      <c r="L43" s="61"/>
      <c r="M43" s="22"/>
      <c r="N43" s="25"/>
      <c r="O43" s="53"/>
      <c r="P43" s="63"/>
    </row>
    <row r="44" spans="1:16" ht="15" customHeight="1" x14ac:dyDescent="0.3">
      <c r="A44" s="75">
        <v>3537</v>
      </c>
      <c r="B44" s="53"/>
      <c r="C44" s="8"/>
      <c r="D44" s="61"/>
      <c r="E44" s="61"/>
      <c r="F44" s="61"/>
      <c r="G44" s="61"/>
      <c r="H44" s="61"/>
      <c r="I44" s="57"/>
      <c r="J44" s="61"/>
      <c r="K44" s="57"/>
      <c r="L44" s="61"/>
      <c r="M44" s="22"/>
      <c r="N44" s="25"/>
      <c r="O44" s="53"/>
      <c r="P44" s="63"/>
    </row>
    <row r="45" spans="1:16" ht="15" customHeight="1" thickBot="1" x14ac:dyDescent="0.35">
      <c r="A45" s="76">
        <v>3538</v>
      </c>
      <c r="B45" s="53">
        <v>45936</v>
      </c>
      <c r="C45" s="8"/>
      <c r="D45" s="61">
        <v>2</v>
      </c>
      <c r="E45" s="61">
        <v>39</v>
      </c>
      <c r="F45" s="61">
        <v>39</v>
      </c>
      <c r="G45" s="61">
        <v>0</v>
      </c>
      <c r="H45" s="61">
        <v>0</v>
      </c>
      <c r="I45" s="57"/>
      <c r="J45" s="61"/>
      <c r="K45" s="57"/>
      <c r="L45" s="61"/>
      <c r="M45" s="22" t="s">
        <v>24</v>
      </c>
      <c r="N45" s="25" t="s">
        <v>14</v>
      </c>
      <c r="O45" s="53">
        <v>45936</v>
      </c>
      <c r="P45" s="63">
        <v>3538</v>
      </c>
    </row>
    <row r="46" spans="1:16" ht="15" customHeight="1" x14ac:dyDescent="0.3">
      <c r="A46" s="74">
        <v>3540</v>
      </c>
      <c r="B46" s="53"/>
      <c r="C46" s="8"/>
      <c r="D46" s="61"/>
      <c r="E46" s="61"/>
      <c r="F46" s="61"/>
      <c r="G46" s="61"/>
      <c r="H46" s="61"/>
      <c r="I46" s="57"/>
      <c r="J46" s="61"/>
      <c r="K46" s="57"/>
      <c r="L46" s="61"/>
      <c r="M46" s="22"/>
      <c r="N46" s="25"/>
      <c r="O46" s="53">
        <v>45936</v>
      </c>
      <c r="P46" s="63">
        <v>3538</v>
      </c>
    </row>
    <row r="47" spans="1:16" ht="15" customHeight="1" x14ac:dyDescent="0.3">
      <c r="A47" s="75">
        <v>3541</v>
      </c>
      <c r="B47" s="53">
        <v>45946</v>
      </c>
      <c r="C47" s="8"/>
      <c r="D47" s="61">
        <v>1</v>
      </c>
      <c r="E47" s="61">
        <v>1</v>
      </c>
      <c r="F47" s="61">
        <v>1</v>
      </c>
      <c r="G47" s="61">
        <v>0</v>
      </c>
      <c r="H47" s="61">
        <v>0</v>
      </c>
      <c r="I47" s="57"/>
      <c r="J47" s="61"/>
      <c r="K47" s="57"/>
      <c r="L47" s="61"/>
      <c r="M47" s="22" t="s">
        <v>24</v>
      </c>
      <c r="N47" s="25" t="s">
        <v>14</v>
      </c>
      <c r="O47" s="53">
        <v>45946</v>
      </c>
      <c r="P47" s="63"/>
    </row>
    <row r="48" spans="1:16" ht="15" customHeight="1" x14ac:dyDescent="0.3">
      <c r="A48" s="75">
        <v>3542</v>
      </c>
      <c r="B48" s="53">
        <v>45932</v>
      </c>
      <c r="C48" s="8"/>
      <c r="D48" s="61">
        <v>1</v>
      </c>
      <c r="E48" s="61">
        <v>27</v>
      </c>
      <c r="F48" s="61">
        <v>27</v>
      </c>
      <c r="G48" s="61">
        <v>0</v>
      </c>
      <c r="H48" s="61">
        <v>0</v>
      </c>
      <c r="I48" s="57"/>
      <c r="J48" s="61"/>
      <c r="K48" s="57"/>
      <c r="L48" s="61"/>
      <c r="M48" s="22" t="s">
        <v>24</v>
      </c>
      <c r="N48" s="25" t="s">
        <v>14</v>
      </c>
      <c r="O48" s="53">
        <v>45932</v>
      </c>
      <c r="P48" s="63">
        <v>3542</v>
      </c>
    </row>
    <row r="49" spans="1:16" ht="15" customHeight="1" x14ac:dyDescent="0.3">
      <c r="A49" s="75">
        <v>3543</v>
      </c>
      <c r="B49" s="53"/>
      <c r="C49" s="8"/>
      <c r="D49" s="61"/>
      <c r="E49" s="61"/>
      <c r="F49" s="61"/>
      <c r="G49" s="61"/>
      <c r="H49" s="61"/>
      <c r="I49" s="57"/>
      <c r="J49" s="61"/>
      <c r="K49" s="57"/>
      <c r="L49" s="61"/>
      <c r="M49" s="22"/>
      <c r="N49" s="25"/>
      <c r="O49" s="53"/>
      <c r="P49" s="63"/>
    </row>
    <row r="50" spans="1:16" ht="15" customHeight="1" x14ac:dyDescent="0.3">
      <c r="A50" s="75">
        <v>3544</v>
      </c>
      <c r="B50" s="53"/>
      <c r="C50" s="8"/>
      <c r="D50" s="61"/>
      <c r="E50" s="61"/>
      <c r="F50" s="61"/>
      <c r="G50" s="61"/>
      <c r="H50" s="61"/>
      <c r="I50" s="57"/>
      <c r="J50" s="61"/>
      <c r="K50" s="57"/>
      <c r="L50" s="61"/>
      <c r="M50" s="22"/>
      <c r="N50" s="25"/>
      <c r="O50" s="53"/>
      <c r="P50" s="63"/>
    </row>
    <row r="51" spans="1:16" ht="15" customHeight="1" x14ac:dyDescent="0.3">
      <c r="A51" s="75">
        <v>3545</v>
      </c>
      <c r="B51" s="53">
        <v>45937</v>
      </c>
      <c r="C51" s="8"/>
      <c r="D51" s="61">
        <v>2</v>
      </c>
      <c r="E51" s="61">
        <v>42</v>
      </c>
      <c r="F51" s="61">
        <v>42</v>
      </c>
      <c r="G51" s="61">
        <v>0</v>
      </c>
      <c r="H51" s="61">
        <v>0</v>
      </c>
      <c r="I51" s="57"/>
      <c r="J51" s="61"/>
      <c r="K51" s="57"/>
      <c r="L51" s="61"/>
      <c r="M51" s="22" t="s">
        <v>24</v>
      </c>
      <c r="N51" s="25" t="s">
        <v>14</v>
      </c>
      <c r="O51" s="53">
        <v>45937</v>
      </c>
      <c r="P51" s="63">
        <v>3545</v>
      </c>
    </row>
    <row r="52" spans="1:16" ht="15" customHeight="1" x14ac:dyDescent="0.3">
      <c r="A52" s="75">
        <v>3546</v>
      </c>
      <c r="B52" s="53"/>
      <c r="C52" s="8"/>
      <c r="D52" s="61"/>
      <c r="E52" s="61"/>
      <c r="F52" s="61"/>
      <c r="G52" s="61"/>
      <c r="H52" s="61"/>
      <c r="I52" s="57"/>
      <c r="J52" s="61"/>
      <c r="K52" s="57"/>
      <c r="L52" s="61"/>
      <c r="M52" s="22"/>
      <c r="N52" s="25"/>
      <c r="O52" s="53"/>
      <c r="P52" s="63"/>
    </row>
    <row r="53" spans="1:16" ht="15" customHeight="1" x14ac:dyDescent="0.3">
      <c r="A53" s="75">
        <v>3547</v>
      </c>
      <c r="B53" s="53">
        <v>45932</v>
      </c>
      <c r="C53" s="8"/>
      <c r="D53" s="61">
        <v>1</v>
      </c>
      <c r="E53" s="61">
        <v>12</v>
      </c>
      <c r="F53" s="61">
        <v>12</v>
      </c>
      <c r="G53" s="61">
        <v>0</v>
      </c>
      <c r="H53" s="61">
        <v>0</v>
      </c>
      <c r="I53" s="57"/>
      <c r="J53" s="61"/>
      <c r="K53" s="57"/>
      <c r="L53" s="61"/>
      <c r="M53" s="22" t="s">
        <v>24</v>
      </c>
      <c r="N53" s="25" t="s">
        <v>14</v>
      </c>
      <c r="O53" s="53">
        <v>45932</v>
      </c>
      <c r="P53" s="63">
        <v>3547</v>
      </c>
    </row>
    <row r="54" spans="1:16" ht="15" customHeight="1" x14ac:dyDescent="0.3">
      <c r="A54" s="75">
        <v>3548</v>
      </c>
      <c r="B54" s="53">
        <v>45943</v>
      </c>
      <c r="C54" s="8"/>
      <c r="D54" s="61">
        <v>2</v>
      </c>
      <c r="E54" s="61">
        <v>67</v>
      </c>
      <c r="F54" s="61">
        <v>67</v>
      </c>
      <c r="G54" s="61">
        <v>0</v>
      </c>
      <c r="H54" s="61">
        <v>0</v>
      </c>
      <c r="I54" s="57"/>
      <c r="J54" s="61"/>
      <c r="K54" s="57"/>
      <c r="L54" s="61"/>
      <c r="M54" s="22" t="s">
        <v>24</v>
      </c>
      <c r="N54" s="25" t="s">
        <v>14</v>
      </c>
      <c r="O54" s="53">
        <v>45943</v>
      </c>
      <c r="P54" s="63">
        <v>3548</v>
      </c>
    </row>
    <row r="55" spans="1:16" ht="15" customHeight="1" x14ac:dyDescent="0.3">
      <c r="A55" s="75">
        <v>3549</v>
      </c>
      <c r="B55" s="53">
        <v>45903</v>
      </c>
      <c r="C55" s="8"/>
      <c r="D55" s="61">
        <v>1</v>
      </c>
      <c r="E55" s="61">
        <v>14</v>
      </c>
      <c r="F55" s="61">
        <v>14</v>
      </c>
      <c r="G55" s="61">
        <v>0</v>
      </c>
      <c r="H55" s="61">
        <v>0</v>
      </c>
      <c r="I55" s="57"/>
      <c r="J55" s="61"/>
      <c r="K55" s="57"/>
      <c r="L55" s="61"/>
      <c r="M55" s="22" t="s">
        <v>24</v>
      </c>
      <c r="N55" s="25" t="s">
        <v>14</v>
      </c>
      <c r="O55" s="53">
        <v>45903</v>
      </c>
      <c r="P55" s="63">
        <v>3549</v>
      </c>
    </row>
    <row r="56" spans="1:16" ht="15" customHeight="1" thickBot="1" x14ac:dyDescent="0.35">
      <c r="A56" s="76">
        <v>3550</v>
      </c>
      <c r="B56" s="53"/>
      <c r="C56" s="8"/>
      <c r="D56" s="61"/>
      <c r="E56" s="61"/>
      <c r="F56" s="61"/>
      <c r="G56" s="61"/>
      <c r="H56" s="61"/>
      <c r="I56" s="57"/>
      <c r="J56" s="61"/>
      <c r="K56" s="57"/>
      <c r="L56" s="61"/>
      <c r="M56" s="22"/>
      <c r="N56" s="25"/>
      <c r="O56" s="53"/>
      <c r="P56" s="63"/>
    </row>
    <row r="57" spans="1:16" ht="15" customHeight="1" x14ac:dyDescent="0.3">
      <c r="A57" s="74">
        <v>3551</v>
      </c>
      <c r="B57" s="53"/>
      <c r="C57" s="8"/>
      <c r="D57" s="61"/>
      <c r="E57" s="61"/>
      <c r="F57" s="61"/>
      <c r="G57" s="61"/>
      <c r="H57" s="61"/>
      <c r="I57" s="57"/>
      <c r="J57" s="61"/>
      <c r="K57" s="57"/>
      <c r="L57" s="61"/>
      <c r="M57" s="22"/>
      <c r="N57" s="25"/>
      <c r="O57" s="53"/>
      <c r="P57" s="63"/>
    </row>
    <row r="58" spans="1:16" ht="15" customHeight="1" x14ac:dyDescent="0.3">
      <c r="A58" s="75">
        <v>3552</v>
      </c>
      <c r="B58" s="53"/>
      <c r="C58" s="8"/>
      <c r="D58" s="61"/>
      <c r="E58" s="61"/>
      <c r="F58" s="61"/>
      <c r="G58" s="61"/>
      <c r="H58" s="61"/>
      <c r="I58" s="57"/>
      <c r="J58" s="61"/>
      <c r="K58" s="57"/>
      <c r="L58" s="61"/>
      <c r="M58" s="22"/>
      <c r="N58" s="25"/>
      <c r="O58" s="53"/>
      <c r="P58" s="63"/>
    </row>
    <row r="59" spans="1:16" ht="15" customHeight="1" x14ac:dyDescent="0.3">
      <c r="A59" s="75">
        <v>3553</v>
      </c>
      <c r="B59" s="53">
        <v>45933</v>
      </c>
      <c r="C59" s="8"/>
      <c r="D59" s="61">
        <v>1</v>
      </c>
      <c r="E59" s="61">
        <v>9</v>
      </c>
      <c r="F59" s="61">
        <v>9</v>
      </c>
      <c r="G59" s="61">
        <v>0</v>
      </c>
      <c r="H59" s="61">
        <v>0</v>
      </c>
      <c r="I59" s="57"/>
      <c r="J59" s="61"/>
      <c r="K59" s="57"/>
      <c r="L59" s="61"/>
      <c r="M59" s="22" t="s">
        <v>24</v>
      </c>
      <c r="N59" s="25" t="s">
        <v>14</v>
      </c>
      <c r="O59" s="53">
        <v>45933</v>
      </c>
      <c r="P59" s="63">
        <v>3553</v>
      </c>
    </row>
    <row r="60" spans="1:16" ht="15" customHeight="1" x14ac:dyDescent="0.3">
      <c r="A60" s="75">
        <v>3554</v>
      </c>
      <c r="B60" s="53"/>
      <c r="C60" s="8"/>
      <c r="D60" s="61"/>
      <c r="E60" s="61"/>
      <c r="F60" s="61"/>
      <c r="G60" s="61"/>
      <c r="H60" s="61"/>
      <c r="I60" s="57"/>
      <c r="J60" s="61"/>
      <c r="K60" s="57"/>
      <c r="L60" s="61"/>
      <c r="M60" s="22"/>
      <c r="N60" s="25"/>
      <c r="O60" s="53"/>
      <c r="P60" s="63"/>
    </row>
    <row r="61" spans="1:16" ht="15" customHeight="1" x14ac:dyDescent="0.3">
      <c r="A61" s="75">
        <v>3555</v>
      </c>
      <c r="B61" s="53">
        <v>45946</v>
      </c>
      <c r="C61" s="8"/>
      <c r="D61" s="61">
        <v>1</v>
      </c>
      <c r="E61" s="61">
        <v>7</v>
      </c>
      <c r="F61" s="61">
        <v>7</v>
      </c>
      <c r="G61" s="61">
        <v>0</v>
      </c>
      <c r="H61" s="61">
        <v>0</v>
      </c>
      <c r="I61" s="57"/>
      <c r="J61" s="61"/>
      <c r="K61" s="57"/>
      <c r="L61" s="61"/>
      <c r="M61" s="22" t="s">
        <v>24</v>
      </c>
      <c r="N61" s="25" t="s">
        <v>14</v>
      </c>
      <c r="O61" s="53">
        <v>45946</v>
      </c>
      <c r="P61" s="63">
        <v>3555</v>
      </c>
    </row>
    <row r="62" spans="1:16" ht="15" customHeight="1" x14ac:dyDescent="0.3">
      <c r="A62" s="75">
        <v>3556</v>
      </c>
      <c r="B62" s="53"/>
      <c r="C62" s="8"/>
      <c r="D62" s="61"/>
      <c r="E62" s="61"/>
      <c r="F62" s="61"/>
      <c r="G62" s="61"/>
      <c r="H62" s="61"/>
      <c r="I62" s="57"/>
      <c r="J62" s="61"/>
      <c r="K62" s="57"/>
      <c r="L62" s="61"/>
      <c r="M62" s="22"/>
      <c r="N62" s="25"/>
      <c r="O62" s="53"/>
      <c r="P62" s="63"/>
    </row>
    <row r="63" spans="1:16" ht="15" customHeight="1" x14ac:dyDescent="0.3">
      <c r="A63" s="75">
        <v>3557</v>
      </c>
      <c r="B63" s="53">
        <v>45870</v>
      </c>
      <c r="C63" s="8"/>
      <c r="D63" s="61">
        <v>1</v>
      </c>
      <c r="E63" s="61">
        <v>4</v>
      </c>
      <c r="F63" s="61">
        <v>4</v>
      </c>
      <c r="G63" s="61">
        <v>0</v>
      </c>
      <c r="H63" s="61">
        <v>0</v>
      </c>
      <c r="I63" s="57"/>
      <c r="J63" s="61"/>
      <c r="K63" s="57"/>
      <c r="L63" s="61"/>
      <c r="M63" s="22" t="s">
        <v>24</v>
      </c>
      <c r="N63" s="25" t="s">
        <v>14</v>
      </c>
      <c r="O63" s="53">
        <v>45870</v>
      </c>
      <c r="P63" s="63">
        <v>3557</v>
      </c>
    </row>
    <row r="64" spans="1:16" ht="15" customHeight="1" x14ac:dyDescent="0.3">
      <c r="A64" s="75">
        <v>3558</v>
      </c>
      <c r="B64" s="53">
        <v>45932</v>
      </c>
      <c r="C64" s="8"/>
      <c r="D64" s="61">
        <v>2</v>
      </c>
      <c r="E64" s="61">
        <v>84</v>
      </c>
      <c r="F64" s="61">
        <v>84</v>
      </c>
      <c r="G64" s="61">
        <v>0</v>
      </c>
      <c r="H64" s="61">
        <v>0</v>
      </c>
      <c r="I64" s="57"/>
      <c r="J64" s="61"/>
      <c r="K64" s="57"/>
      <c r="L64" s="61"/>
      <c r="M64" s="22" t="s">
        <v>24</v>
      </c>
      <c r="N64" s="25" t="s">
        <v>14</v>
      </c>
      <c r="O64" s="53">
        <v>45932</v>
      </c>
      <c r="P64" s="63">
        <v>3558</v>
      </c>
    </row>
    <row r="65" spans="1:16" ht="15" customHeight="1" thickBot="1" x14ac:dyDescent="0.35">
      <c r="A65" s="75">
        <v>3559</v>
      </c>
      <c r="B65" s="53">
        <v>45890</v>
      </c>
      <c r="C65" s="8"/>
      <c r="D65" s="61">
        <v>3</v>
      </c>
      <c r="E65" s="61">
        <v>27</v>
      </c>
      <c r="F65" s="61">
        <v>27</v>
      </c>
      <c r="G65" s="61">
        <v>0</v>
      </c>
      <c r="H65" s="61">
        <v>0</v>
      </c>
      <c r="I65" s="57"/>
      <c r="J65" s="61"/>
      <c r="K65" s="57"/>
      <c r="L65" s="61"/>
      <c r="M65" s="22" t="s">
        <v>29</v>
      </c>
      <c r="N65" s="25" t="s">
        <v>31</v>
      </c>
      <c r="O65" s="53">
        <v>45890</v>
      </c>
      <c r="P65" s="63">
        <v>3559</v>
      </c>
    </row>
    <row r="66" spans="1:16" ht="15" customHeight="1" x14ac:dyDescent="0.3">
      <c r="A66" s="77">
        <v>3560</v>
      </c>
      <c r="B66" s="53"/>
      <c r="C66" s="8"/>
      <c r="D66" s="61"/>
      <c r="E66" s="61"/>
      <c r="F66" s="61"/>
      <c r="G66" s="61"/>
      <c r="H66" s="61"/>
      <c r="I66" s="57"/>
      <c r="J66" s="61"/>
      <c r="K66" s="57"/>
      <c r="L66" s="61"/>
      <c r="M66" s="22"/>
      <c r="N66" s="25"/>
      <c r="O66" s="53"/>
      <c r="P66" s="63"/>
    </row>
    <row r="67" spans="1:16" ht="15" customHeight="1" x14ac:dyDescent="0.3">
      <c r="A67" s="78">
        <v>3561</v>
      </c>
      <c r="B67" s="53">
        <v>45876</v>
      </c>
      <c r="C67" s="8"/>
      <c r="D67" s="61">
        <v>3</v>
      </c>
      <c r="E67" s="61">
        <v>37</v>
      </c>
      <c r="F67" s="61">
        <v>37</v>
      </c>
      <c r="G67" s="61">
        <v>0</v>
      </c>
      <c r="H67" s="61">
        <v>0</v>
      </c>
      <c r="I67" s="57"/>
      <c r="J67" s="61"/>
      <c r="K67" s="57"/>
      <c r="L67" s="61"/>
      <c r="M67" s="22" t="s">
        <v>24</v>
      </c>
      <c r="N67" s="25" t="s">
        <v>14</v>
      </c>
      <c r="O67" s="53">
        <v>45876</v>
      </c>
      <c r="P67" s="63">
        <v>3561</v>
      </c>
    </row>
    <row r="68" spans="1:16" ht="18.75" x14ac:dyDescent="0.3">
      <c r="A68" s="78">
        <v>3562</v>
      </c>
      <c r="B68" s="53"/>
      <c r="C68" s="8"/>
      <c r="D68" s="61"/>
      <c r="E68" s="61"/>
      <c r="F68" s="61"/>
      <c r="G68" s="61"/>
      <c r="H68" s="61"/>
      <c r="I68" s="57"/>
      <c r="J68" s="61"/>
      <c r="K68" s="57"/>
      <c r="L68" s="61"/>
      <c r="M68" s="22"/>
      <c r="N68" s="25"/>
      <c r="O68" s="53"/>
      <c r="P68" s="63"/>
    </row>
    <row r="69" spans="1:16" ht="18.75" x14ac:dyDescent="0.3">
      <c r="A69" s="78">
        <v>3563</v>
      </c>
      <c r="B69" s="53"/>
      <c r="C69" s="8"/>
      <c r="D69" s="61"/>
      <c r="E69" s="61"/>
      <c r="F69" s="61"/>
      <c r="G69" s="61"/>
      <c r="H69" s="61"/>
      <c r="I69" s="57"/>
      <c r="J69" s="61"/>
      <c r="K69" s="57"/>
      <c r="L69" s="61"/>
      <c r="M69" s="22"/>
      <c r="N69" s="25"/>
      <c r="O69" s="53"/>
      <c r="P69" s="63"/>
    </row>
    <row r="70" spans="1:16" ht="18.75" x14ac:dyDescent="0.3">
      <c r="A70" s="78">
        <v>3564</v>
      </c>
      <c r="B70" s="53">
        <v>45894</v>
      </c>
      <c r="C70" s="8"/>
      <c r="D70" s="61">
        <v>1</v>
      </c>
      <c r="E70" s="61">
        <v>1</v>
      </c>
      <c r="F70" s="61">
        <v>1</v>
      </c>
      <c r="G70" s="61">
        <v>0</v>
      </c>
      <c r="H70" s="61">
        <v>0</v>
      </c>
      <c r="I70" s="57"/>
      <c r="J70" s="61"/>
      <c r="K70" s="57"/>
      <c r="L70" s="61"/>
      <c r="M70" s="22" t="s">
        <v>24</v>
      </c>
      <c r="N70" s="25" t="s">
        <v>31</v>
      </c>
      <c r="O70" s="53">
        <v>45894</v>
      </c>
      <c r="P70" s="63">
        <v>3564</v>
      </c>
    </row>
    <row r="71" spans="1:16" ht="18.75" x14ac:dyDescent="0.3">
      <c r="A71" s="78">
        <v>3565</v>
      </c>
      <c r="B71" s="53"/>
      <c r="C71" s="8"/>
      <c r="D71" s="61"/>
      <c r="E71" s="61"/>
      <c r="F71" s="61"/>
      <c r="G71" s="61"/>
      <c r="H71" s="61"/>
      <c r="I71" s="57"/>
      <c r="J71" s="61"/>
      <c r="K71" s="57"/>
      <c r="L71" s="61"/>
      <c r="M71" s="22"/>
      <c r="N71" s="25"/>
      <c r="O71" s="53"/>
      <c r="P71" s="63"/>
    </row>
    <row r="72" spans="1:16" ht="18.75" x14ac:dyDescent="0.3">
      <c r="A72" s="78">
        <v>3566</v>
      </c>
      <c r="B72" s="53">
        <v>45922</v>
      </c>
      <c r="C72" s="8"/>
      <c r="D72" s="61">
        <v>2</v>
      </c>
      <c r="E72" s="61">
        <v>62</v>
      </c>
      <c r="F72" s="61">
        <v>62</v>
      </c>
      <c r="G72" s="61">
        <v>0</v>
      </c>
      <c r="H72" s="61">
        <v>0</v>
      </c>
      <c r="I72" s="57"/>
      <c r="J72" s="61"/>
      <c r="K72" s="57"/>
      <c r="L72" s="61"/>
      <c r="M72" s="22" t="s">
        <v>24</v>
      </c>
      <c r="N72" s="25" t="s">
        <v>14</v>
      </c>
      <c r="O72" s="53">
        <v>45922</v>
      </c>
      <c r="P72" s="63">
        <v>3566</v>
      </c>
    </row>
    <row r="73" spans="1:16" ht="18.75" x14ac:dyDescent="0.3">
      <c r="A73" s="79">
        <v>3567</v>
      </c>
      <c r="B73" s="53">
        <v>45917</v>
      </c>
      <c r="C73" s="8"/>
      <c r="D73" s="61">
        <v>2</v>
      </c>
      <c r="E73" s="61">
        <v>74</v>
      </c>
      <c r="F73" s="61">
        <v>74</v>
      </c>
      <c r="G73" s="61">
        <v>0</v>
      </c>
      <c r="H73" s="61">
        <v>0</v>
      </c>
      <c r="I73" s="57"/>
      <c r="J73" s="61"/>
      <c r="K73" s="57"/>
      <c r="L73" s="61"/>
      <c r="M73" s="22" t="s">
        <v>24</v>
      </c>
      <c r="N73" s="25" t="s">
        <v>14</v>
      </c>
      <c r="O73" s="53">
        <v>45917</v>
      </c>
      <c r="P73" s="63">
        <v>3567</v>
      </c>
    </row>
    <row r="74" spans="1:16" x14ac:dyDescent="0.25">
      <c r="P74" s="23"/>
    </row>
    <row r="75" spans="1:16" x14ac:dyDescent="0.25">
      <c r="P75" s="23"/>
    </row>
    <row r="76" spans="1:16" x14ac:dyDescent="0.25">
      <c r="P76" s="23"/>
    </row>
    <row r="77" spans="1:16" x14ac:dyDescent="0.25">
      <c r="P77" s="23"/>
    </row>
    <row r="78" spans="1:16" x14ac:dyDescent="0.25">
      <c r="P78" s="23"/>
    </row>
    <row r="79" spans="1:16" x14ac:dyDescent="0.25">
      <c r="P79" s="23"/>
    </row>
    <row r="80" spans="1:16" x14ac:dyDescent="0.25">
      <c r="P80" s="23"/>
    </row>
    <row r="81" spans="16:16" x14ac:dyDescent="0.25">
      <c r="P81" s="23"/>
    </row>
    <row r="82" spans="16:16" x14ac:dyDescent="0.25">
      <c r="P82" s="23"/>
    </row>
    <row r="83" spans="16:16" x14ac:dyDescent="0.25">
      <c r="P83" s="23"/>
    </row>
    <row r="84" spans="16:16" x14ac:dyDescent="0.25">
      <c r="P84" s="23"/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algorithmName="SHA-512" hashValue="fyD0fn5juxN7cnoxtwYKtMY5UnaREXl5Q+bLSfb5xB7z8HCiGAtrLP3VUOSuxWgTH56lV5cc/IFgUA6kZTn1Pg==" saltValue="giyU0q4G58lGgo0VcH2osg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73 I2:I73 K2:K73 O2:O73" xr:uid="{A6590CEE-65B2-4B1E-BDC4-C2EC03B12EDC}">
      <formula1>45658</formula1>
    </dataValidation>
    <dataValidation type="whole" operator="greaterThanOrEqual" allowBlank="1" showInputMessage="1" showErrorMessage="1" sqref="A2:A73 D2:D73 E2:E73 F1 F2:F73 G2:G73 H2:H73 J2:J73 L2:L73 P2:P73" xr:uid="{FDAA3848-7B58-40AB-8DF1-6022D821D84D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506C976-9E61-4E20-8E1F-E937C7AADB74}">
          <x14:formula1>
            <xm:f>Inspected!$D$1</xm:f>
          </x14:formula1>
          <xm:sqref>C2:C73</xm:sqref>
        </x14:dataValidation>
        <x14:dataValidation type="list" allowBlank="1" showInputMessage="1" showErrorMessage="1" xr:uid="{BC04A5B2-6F23-4A6C-949B-53BF73845B05}">
          <x14:formula1>
            <xm:f>Inspected!$A$1:$A$2</xm:f>
          </x14:formula1>
          <xm:sqref>M2:M73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5C1D7-CB52-47D5-8BBA-976204C955E9}">
  <dimension ref="A1:U207"/>
  <sheetViews>
    <sheetView tabSelected="1" zoomScaleNormal="100" workbookViewId="0">
      <selection activeCell="H17" sqref="H17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33" t="s">
        <v>0</v>
      </c>
      <c r="B1" s="34" t="s">
        <v>1</v>
      </c>
      <c r="C1" s="34" t="s">
        <v>26</v>
      </c>
      <c r="D1" s="35" t="s">
        <v>2</v>
      </c>
      <c r="E1" s="35" t="s">
        <v>3</v>
      </c>
      <c r="F1" s="35" t="s">
        <v>4</v>
      </c>
      <c r="G1" s="35" t="s">
        <v>5</v>
      </c>
      <c r="H1" s="35" t="s">
        <v>6</v>
      </c>
      <c r="I1" s="36" t="s">
        <v>7</v>
      </c>
      <c r="J1" s="36" t="s">
        <v>8</v>
      </c>
      <c r="K1" s="37" t="s">
        <v>9</v>
      </c>
      <c r="L1" s="37" t="s">
        <v>27</v>
      </c>
      <c r="M1" s="38" t="s">
        <v>10</v>
      </c>
      <c r="N1" s="39" t="s">
        <v>11</v>
      </c>
      <c r="O1" s="40" t="s">
        <v>12</v>
      </c>
      <c r="P1" s="41" t="s">
        <v>13</v>
      </c>
    </row>
    <row r="2" spans="1:21" ht="15" customHeight="1" x14ac:dyDescent="0.3">
      <c r="A2" s="71">
        <v>3231</v>
      </c>
      <c r="B2" s="53"/>
      <c r="C2" s="8"/>
      <c r="D2" s="61"/>
      <c r="E2" s="61"/>
      <c r="F2" s="61"/>
      <c r="G2" s="61"/>
      <c r="H2" s="61"/>
      <c r="I2" s="57"/>
      <c r="J2" s="61"/>
      <c r="K2" s="57"/>
      <c r="L2" s="61"/>
      <c r="M2" s="22"/>
      <c r="N2" s="25"/>
      <c r="O2" s="53"/>
      <c r="P2" s="63"/>
      <c r="R2" s="81" t="s">
        <v>15</v>
      </c>
      <c r="S2" s="82"/>
      <c r="T2" s="82"/>
      <c r="U2" s="83"/>
    </row>
    <row r="3" spans="1:21" ht="15" customHeight="1" x14ac:dyDescent="0.3">
      <c r="A3" s="72">
        <v>3232</v>
      </c>
      <c r="B3" s="53"/>
      <c r="C3" s="8"/>
      <c r="D3" s="61"/>
      <c r="E3" s="61"/>
      <c r="F3" s="61"/>
      <c r="G3" s="61"/>
      <c r="H3" s="61"/>
      <c r="I3" s="57"/>
      <c r="J3" s="61"/>
      <c r="K3" s="57"/>
      <c r="L3" s="61"/>
      <c r="M3" s="22"/>
      <c r="N3" s="25"/>
      <c r="O3" s="53"/>
      <c r="P3" s="63"/>
      <c r="R3" s="10" t="s">
        <v>16</v>
      </c>
      <c r="S3" s="11" t="s">
        <v>17</v>
      </c>
      <c r="T3" s="12" t="s">
        <v>18</v>
      </c>
      <c r="U3" s="13" t="s">
        <v>19</v>
      </c>
    </row>
    <row r="4" spans="1:21" ht="15" customHeight="1" thickBot="1" x14ac:dyDescent="0.35">
      <c r="A4" s="72">
        <v>3233</v>
      </c>
      <c r="B4" s="53"/>
      <c r="C4" s="8"/>
      <c r="D4" s="61"/>
      <c r="E4" s="61"/>
      <c r="F4" s="61"/>
      <c r="G4" s="61"/>
      <c r="H4" s="61"/>
      <c r="I4" s="57"/>
      <c r="J4" s="61"/>
      <c r="K4" s="57"/>
      <c r="L4" s="61"/>
      <c r="M4" s="22"/>
      <c r="N4" s="25"/>
      <c r="O4" s="53"/>
      <c r="P4" s="63"/>
      <c r="R4" s="14">
        <v>36</v>
      </c>
      <c r="S4" s="15">
        <f>COUNTA(A:A)-1</f>
        <v>72</v>
      </c>
      <c r="T4" s="15">
        <f>COUNTA(O:O)-1</f>
        <v>9</v>
      </c>
      <c r="U4" s="21">
        <f>T4/S4</f>
        <v>0.125</v>
      </c>
    </row>
    <row r="5" spans="1:21" ht="15" customHeight="1" x14ac:dyDescent="0.3">
      <c r="A5" s="72">
        <v>3234</v>
      </c>
      <c r="B5" s="53"/>
      <c r="C5" s="8"/>
      <c r="D5" s="61"/>
      <c r="E5" s="61"/>
      <c r="F5" s="61"/>
      <c r="G5" s="61"/>
      <c r="H5" s="61"/>
      <c r="I5" s="57"/>
      <c r="J5" s="61"/>
      <c r="K5" s="57"/>
      <c r="L5" s="61"/>
      <c r="M5" s="22"/>
      <c r="N5" s="25"/>
      <c r="O5" s="53"/>
      <c r="P5" s="63"/>
    </row>
    <row r="6" spans="1:21" ht="15" customHeight="1" x14ac:dyDescent="0.3">
      <c r="A6" s="72">
        <v>3235</v>
      </c>
      <c r="B6" s="53"/>
      <c r="C6" s="8"/>
      <c r="D6" s="61"/>
      <c r="E6" s="61"/>
      <c r="F6" s="61"/>
      <c r="G6" s="61"/>
      <c r="H6" s="61"/>
      <c r="I6" s="57"/>
      <c r="J6" s="61"/>
      <c r="K6" s="57"/>
      <c r="L6" s="61"/>
      <c r="M6" s="22"/>
      <c r="N6" s="25"/>
      <c r="O6" s="53"/>
      <c r="P6" s="63"/>
    </row>
    <row r="7" spans="1:21" ht="15" customHeight="1" x14ac:dyDescent="0.3">
      <c r="A7" s="72">
        <v>3236</v>
      </c>
      <c r="B7" s="53"/>
      <c r="C7" s="8"/>
      <c r="D7" s="61"/>
      <c r="E7" s="61"/>
      <c r="F7" s="61"/>
      <c r="G7" s="61"/>
      <c r="H7" s="61"/>
      <c r="I7" s="57"/>
      <c r="J7" s="61"/>
      <c r="K7" s="57"/>
      <c r="L7" s="61"/>
      <c r="M7" s="22"/>
      <c r="N7" s="25"/>
      <c r="O7" s="53"/>
      <c r="P7" s="63"/>
    </row>
    <row r="8" spans="1:21" ht="15" customHeight="1" x14ac:dyDescent="0.3">
      <c r="A8" s="72">
        <v>3237</v>
      </c>
      <c r="B8" s="53"/>
      <c r="C8" s="8"/>
      <c r="D8" s="61"/>
      <c r="E8" s="61"/>
      <c r="F8" s="61"/>
      <c r="G8" s="61"/>
      <c r="H8" s="61"/>
      <c r="I8" s="57"/>
      <c r="J8" s="61"/>
      <c r="K8" s="57"/>
      <c r="L8" s="61"/>
      <c r="M8" s="22"/>
      <c r="N8" s="25"/>
      <c r="O8" s="53"/>
      <c r="P8" s="63"/>
    </row>
    <row r="9" spans="1:21" ht="15" customHeight="1" x14ac:dyDescent="0.3">
      <c r="A9" s="72">
        <v>3238</v>
      </c>
      <c r="B9" s="53">
        <v>45901</v>
      </c>
      <c r="C9" s="8"/>
      <c r="D9" s="61">
        <v>1</v>
      </c>
      <c r="E9" s="61">
        <v>11</v>
      </c>
      <c r="F9" s="61">
        <v>11</v>
      </c>
      <c r="G9" s="61">
        <v>0</v>
      </c>
      <c r="H9" s="61">
        <v>0</v>
      </c>
      <c r="I9" s="57"/>
      <c r="J9" s="61"/>
      <c r="K9" s="57"/>
      <c r="L9" s="61"/>
      <c r="M9" s="22" t="s">
        <v>24</v>
      </c>
      <c r="N9" s="25" t="s">
        <v>30</v>
      </c>
      <c r="O9" s="53">
        <v>45901</v>
      </c>
      <c r="P9" s="63">
        <v>3238</v>
      </c>
    </row>
    <row r="10" spans="1:21" ht="15" customHeight="1" x14ac:dyDescent="0.3">
      <c r="A10" s="72">
        <v>3239</v>
      </c>
      <c r="B10" s="53"/>
      <c r="C10" s="8"/>
      <c r="D10" s="61"/>
      <c r="E10" s="61"/>
      <c r="F10" s="61"/>
      <c r="G10" s="61"/>
      <c r="H10" s="61"/>
      <c r="I10" s="57"/>
      <c r="J10" s="61"/>
      <c r="K10" s="57"/>
      <c r="L10" s="61"/>
      <c r="M10" s="22"/>
      <c r="N10" s="25"/>
      <c r="O10" s="53"/>
      <c r="P10" s="63"/>
    </row>
    <row r="11" spans="1:21" ht="15" customHeight="1" x14ac:dyDescent="0.3">
      <c r="A11" s="72">
        <v>3240</v>
      </c>
      <c r="B11" s="53"/>
      <c r="C11" s="8"/>
      <c r="D11" s="61"/>
      <c r="E11" s="61"/>
      <c r="F11" s="61"/>
      <c r="G11" s="61"/>
      <c r="H11" s="61"/>
      <c r="I11" s="57"/>
      <c r="J11" s="61"/>
      <c r="K11" s="57"/>
      <c r="L11" s="61"/>
      <c r="M11" s="22"/>
      <c r="N11" s="25"/>
      <c r="O11" s="53"/>
      <c r="P11" s="63"/>
    </row>
    <row r="12" spans="1:21" ht="15" customHeight="1" thickBot="1" x14ac:dyDescent="0.35">
      <c r="A12" s="73">
        <v>3241</v>
      </c>
      <c r="B12" s="53"/>
      <c r="C12" s="8"/>
      <c r="D12" s="61"/>
      <c r="E12" s="61"/>
      <c r="F12" s="61"/>
      <c r="G12" s="61"/>
      <c r="H12" s="61"/>
      <c r="I12" s="57"/>
      <c r="J12" s="61"/>
      <c r="K12" s="57"/>
      <c r="L12" s="61"/>
      <c r="M12" s="22"/>
      <c r="N12" s="25"/>
      <c r="O12" s="53"/>
      <c r="P12" s="63"/>
    </row>
    <row r="13" spans="1:21" ht="15" customHeight="1" x14ac:dyDescent="0.3">
      <c r="A13" s="74">
        <v>3242</v>
      </c>
      <c r="B13" s="53"/>
      <c r="C13" s="8"/>
      <c r="D13" s="61"/>
      <c r="E13" s="61"/>
      <c r="F13" s="61"/>
      <c r="G13" s="61"/>
      <c r="H13" s="61"/>
      <c r="I13" s="57"/>
      <c r="J13" s="61"/>
      <c r="K13" s="57"/>
      <c r="L13" s="61"/>
      <c r="M13" s="22"/>
      <c r="N13" s="25"/>
      <c r="O13" s="53"/>
      <c r="P13" s="63"/>
    </row>
    <row r="14" spans="1:21" ht="15" customHeight="1" x14ac:dyDescent="0.3">
      <c r="A14" s="75">
        <v>3243</v>
      </c>
      <c r="B14" s="53"/>
      <c r="C14" s="8"/>
      <c r="D14" s="61"/>
      <c r="E14" s="61"/>
      <c r="F14" s="61"/>
      <c r="G14" s="61"/>
      <c r="H14" s="61"/>
      <c r="I14" s="57"/>
      <c r="J14" s="61"/>
      <c r="K14" s="57"/>
      <c r="L14" s="61"/>
      <c r="M14" s="22"/>
      <c r="N14" s="25"/>
      <c r="O14" s="53"/>
      <c r="P14" s="63"/>
    </row>
    <row r="15" spans="1:21" ht="15" customHeight="1" x14ac:dyDescent="0.3">
      <c r="A15" s="75">
        <v>3244</v>
      </c>
      <c r="B15" s="53"/>
      <c r="C15" s="8"/>
      <c r="D15" s="61"/>
      <c r="E15" s="61"/>
      <c r="F15" s="61"/>
      <c r="G15" s="61"/>
      <c r="H15" s="61"/>
      <c r="I15" s="57"/>
      <c r="J15" s="61"/>
      <c r="K15" s="57"/>
      <c r="L15" s="61"/>
      <c r="M15" s="22"/>
      <c r="N15" s="25"/>
      <c r="O15" s="53"/>
      <c r="P15" s="63"/>
    </row>
    <row r="16" spans="1:21" ht="15" customHeight="1" x14ac:dyDescent="0.3">
      <c r="A16" s="75">
        <v>3245</v>
      </c>
      <c r="B16" s="53"/>
      <c r="C16" s="8"/>
      <c r="D16" s="61"/>
      <c r="E16" s="61"/>
      <c r="F16" s="61"/>
      <c r="G16" s="61"/>
      <c r="H16" s="61"/>
      <c r="I16" s="57"/>
      <c r="J16" s="61"/>
      <c r="K16" s="57"/>
      <c r="L16" s="61"/>
      <c r="M16" s="22"/>
      <c r="N16" s="25"/>
      <c r="O16" s="53"/>
      <c r="P16" s="63"/>
    </row>
    <row r="17" spans="1:16" ht="15" customHeight="1" x14ac:dyDescent="0.3">
      <c r="A17" s="75">
        <v>3246</v>
      </c>
      <c r="B17" s="53"/>
      <c r="C17" s="8"/>
      <c r="D17" s="61"/>
      <c r="E17" s="61"/>
      <c r="F17" s="61"/>
      <c r="G17" s="61"/>
      <c r="H17" s="61"/>
      <c r="I17" s="57"/>
      <c r="J17" s="61"/>
      <c r="K17" s="57"/>
      <c r="L17" s="61"/>
      <c r="M17" s="22"/>
      <c r="N17" s="25"/>
      <c r="O17" s="53"/>
      <c r="P17" s="63"/>
    </row>
    <row r="18" spans="1:16" ht="15" customHeight="1" x14ac:dyDescent="0.3">
      <c r="A18" s="75">
        <v>3247</v>
      </c>
      <c r="B18" s="53"/>
      <c r="C18" s="8"/>
      <c r="D18" s="61"/>
      <c r="E18" s="61"/>
      <c r="F18" s="61"/>
      <c r="G18" s="61"/>
      <c r="H18" s="61"/>
      <c r="I18" s="57"/>
      <c r="J18" s="61"/>
      <c r="K18" s="57"/>
      <c r="L18" s="61"/>
      <c r="M18" s="22"/>
      <c r="N18" s="25"/>
      <c r="O18" s="53"/>
      <c r="P18" s="63"/>
    </row>
    <row r="19" spans="1:16" ht="15" customHeight="1" x14ac:dyDescent="0.3">
      <c r="A19" s="75">
        <v>3248</v>
      </c>
      <c r="B19" s="53"/>
      <c r="C19" s="8"/>
      <c r="D19" s="61"/>
      <c r="E19" s="61"/>
      <c r="F19" s="61"/>
      <c r="G19" s="61"/>
      <c r="H19" s="61"/>
      <c r="I19" s="57"/>
      <c r="J19" s="61"/>
      <c r="K19" s="57"/>
      <c r="L19" s="61"/>
      <c r="M19" s="22"/>
      <c r="N19" s="25"/>
      <c r="O19" s="53"/>
      <c r="P19" s="63"/>
    </row>
    <row r="20" spans="1:16" ht="15" customHeight="1" x14ac:dyDescent="0.3">
      <c r="A20" s="75">
        <v>3250</v>
      </c>
      <c r="B20" s="53"/>
      <c r="C20" s="8"/>
      <c r="D20" s="61"/>
      <c r="E20" s="61"/>
      <c r="F20" s="61"/>
      <c r="G20" s="61"/>
      <c r="H20" s="61"/>
      <c r="I20" s="57"/>
      <c r="J20" s="61"/>
      <c r="K20" s="57"/>
      <c r="L20" s="61"/>
      <c r="M20" s="22"/>
      <c r="N20" s="25"/>
      <c r="O20" s="53"/>
      <c r="P20" s="63"/>
    </row>
    <row r="21" spans="1:16" ht="15" customHeight="1" x14ac:dyDescent="0.3">
      <c r="A21" s="75">
        <v>3251</v>
      </c>
      <c r="B21" s="53"/>
      <c r="C21" s="8"/>
      <c r="D21" s="61"/>
      <c r="E21" s="61"/>
      <c r="F21" s="61"/>
      <c r="G21" s="61"/>
      <c r="H21" s="61"/>
      <c r="I21" s="57"/>
      <c r="J21" s="61"/>
      <c r="K21" s="57"/>
      <c r="L21" s="61"/>
      <c r="M21" s="22"/>
      <c r="N21" s="25"/>
      <c r="O21" s="53"/>
      <c r="P21" s="63"/>
    </row>
    <row r="22" spans="1:16" ht="15" customHeight="1" x14ac:dyDescent="0.3">
      <c r="A22" s="75">
        <v>3252</v>
      </c>
      <c r="B22" s="53"/>
      <c r="C22" s="8"/>
      <c r="D22" s="61"/>
      <c r="E22" s="61"/>
      <c r="F22" s="61"/>
      <c r="G22" s="61"/>
      <c r="H22" s="61"/>
      <c r="I22" s="57"/>
      <c r="J22" s="61"/>
      <c r="K22" s="57"/>
      <c r="L22" s="61"/>
      <c r="M22" s="22"/>
      <c r="N22" s="25"/>
      <c r="O22" s="53"/>
      <c r="P22" s="63"/>
    </row>
    <row r="23" spans="1:16" ht="15" customHeight="1" thickBot="1" x14ac:dyDescent="0.35">
      <c r="A23" s="76">
        <v>3253</v>
      </c>
      <c r="B23" s="53"/>
      <c r="C23" s="8"/>
      <c r="D23" s="61"/>
      <c r="E23" s="61"/>
      <c r="F23" s="61"/>
      <c r="G23" s="61"/>
      <c r="H23" s="61"/>
      <c r="I23" s="57"/>
      <c r="J23" s="61"/>
      <c r="K23" s="57"/>
      <c r="L23" s="61"/>
      <c r="M23" s="22"/>
      <c r="N23" s="25"/>
      <c r="O23" s="53"/>
      <c r="P23" s="63"/>
    </row>
    <row r="24" spans="1:16" ht="15" customHeight="1" x14ac:dyDescent="0.3">
      <c r="A24" s="74">
        <v>3254</v>
      </c>
      <c r="B24" s="53"/>
      <c r="C24" s="8"/>
      <c r="D24" s="61"/>
      <c r="E24" s="61"/>
      <c r="F24" s="61"/>
      <c r="G24" s="61"/>
      <c r="H24" s="61"/>
      <c r="I24" s="57"/>
      <c r="J24" s="61"/>
      <c r="K24" s="57"/>
      <c r="L24" s="61"/>
      <c r="M24" s="22"/>
      <c r="N24" s="25"/>
      <c r="O24" s="53"/>
      <c r="P24" s="63"/>
    </row>
    <row r="25" spans="1:16" ht="15" customHeight="1" x14ac:dyDescent="0.3">
      <c r="A25" s="75">
        <v>3255</v>
      </c>
      <c r="B25" s="53"/>
      <c r="C25" s="8"/>
      <c r="D25" s="61"/>
      <c r="E25" s="61"/>
      <c r="F25" s="61"/>
      <c r="G25" s="61"/>
      <c r="H25" s="61"/>
      <c r="I25" s="57"/>
      <c r="J25" s="61"/>
      <c r="K25" s="57"/>
      <c r="L25" s="61"/>
      <c r="M25" s="22"/>
      <c r="N25" s="25"/>
      <c r="O25" s="53"/>
      <c r="P25" s="63"/>
    </row>
    <row r="26" spans="1:16" ht="15" customHeight="1" x14ac:dyDescent="0.3">
      <c r="A26" s="75">
        <v>3256</v>
      </c>
      <c r="B26" s="53"/>
      <c r="C26" s="8"/>
      <c r="D26" s="61"/>
      <c r="E26" s="61"/>
      <c r="F26" s="61"/>
      <c r="G26" s="61"/>
      <c r="H26" s="61"/>
      <c r="I26" s="57"/>
      <c r="J26" s="61"/>
      <c r="K26" s="57"/>
      <c r="L26" s="61"/>
      <c r="M26" s="22"/>
      <c r="N26" s="25"/>
      <c r="O26" s="53"/>
      <c r="P26" s="63"/>
    </row>
    <row r="27" spans="1:16" ht="15" customHeight="1" x14ac:dyDescent="0.3">
      <c r="A27" s="75">
        <v>3258</v>
      </c>
      <c r="B27" s="53"/>
      <c r="C27" s="8"/>
      <c r="D27" s="61"/>
      <c r="E27" s="61"/>
      <c r="F27" s="61"/>
      <c r="G27" s="61"/>
      <c r="H27" s="61"/>
      <c r="I27" s="57"/>
      <c r="J27" s="61"/>
      <c r="K27" s="57"/>
      <c r="L27" s="61"/>
      <c r="M27" s="22"/>
      <c r="N27" s="25"/>
      <c r="O27" s="53"/>
      <c r="P27" s="63"/>
    </row>
    <row r="28" spans="1:16" ht="15" customHeight="1" x14ac:dyDescent="0.3">
      <c r="A28" s="75">
        <v>3259</v>
      </c>
      <c r="B28" s="53"/>
      <c r="C28" s="8"/>
      <c r="D28" s="61"/>
      <c r="E28" s="61"/>
      <c r="F28" s="61"/>
      <c r="G28" s="61"/>
      <c r="H28" s="61"/>
      <c r="I28" s="57"/>
      <c r="J28" s="61"/>
      <c r="K28" s="57"/>
      <c r="L28" s="61"/>
      <c r="M28" s="22"/>
      <c r="N28" s="25"/>
      <c r="O28" s="53"/>
      <c r="P28" s="63"/>
    </row>
    <row r="29" spans="1:16" ht="15" customHeight="1" x14ac:dyDescent="0.3">
      <c r="A29" s="75">
        <v>3260</v>
      </c>
      <c r="B29" s="53"/>
      <c r="C29" s="8"/>
      <c r="D29" s="61"/>
      <c r="E29" s="61"/>
      <c r="F29" s="61"/>
      <c r="G29" s="61"/>
      <c r="H29" s="61"/>
      <c r="I29" s="57"/>
      <c r="J29" s="61"/>
      <c r="K29" s="57"/>
      <c r="L29" s="61"/>
      <c r="M29" s="22"/>
      <c r="N29" s="25"/>
      <c r="O29" s="53"/>
      <c r="P29" s="63"/>
    </row>
    <row r="30" spans="1:16" ht="15" customHeight="1" x14ac:dyDescent="0.3">
      <c r="A30" s="75">
        <v>3261</v>
      </c>
      <c r="B30" s="53"/>
      <c r="C30" s="8"/>
      <c r="D30" s="61"/>
      <c r="E30" s="61"/>
      <c r="F30" s="61"/>
      <c r="G30" s="61"/>
      <c r="H30" s="61"/>
      <c r="I30" s="57"/>
      <c r="J30" s="61"/>
      <c r="K30" s="57"/>
      <c r="L30" s="61"/>
      <c r="M30" s="22"/>
      <c r="N30" s="25"/>
      <c r="O30" s="53"/>
      <c r="P30" s="63"/>
    </row>
    <row r="31" spans="1:16" ht="15" customHeight="1" x14ac:dyDescent="0.3">
      <c r="A31" s="75">
        <v>3262</v>
      </c>
      <c r="B31" s="53"/>
      <c r="C31" s="8"/>
      <c r="D31" s="61"/>
      <c r="E31" s="61"/>
      <c r="F31" s="61"/>
      <c r="G31" s="61"/>
      <c r="H31" s="61"/>
      <c r="I31" s="57"/>
      <c r="J31" s="61"/>
      <c r="K31" s="57"/>
      <c r="L31" s="61"/>
      <c r="M31" s="22"/>
      <c r="N31" s="25"/>
      <c r="O31" s="53"/>
      <c r="P31" s="63"/>
    </row>
    <row r="32" spans="1:16" ht="15" customHeight="1" x14ac:dyDescent="0.3">
      <c r="A32" s="75">
        <v>3263</v>
      </c>
      <c r="B32" s="53"/>
      <c r="C32" s="8"/>
      <c r="D32" s="61"/>
      <c r="E32" s="61"/>
      <c r="F32" s="61"/>
      <c r="G32" s="61"/>
      <c r="H32" s="61"/>
      <c r="I32" s="57"/>
      <c r="J32" s="61"/>
      <c r="K32" s="57"/>
      <c r="L32" s="61"/>
      <c r="M32" s="22"/>
      <c r="N32" s="25"/>
      <c r="O32" s="53"/>
      <c r="P32" s="63"/>
    </row>
    <row r="33" spans="1:16" ht="15" customHeight="1" x14ac:dyDescent="0.3">
      <c r="A33" s="75">
        <v>3264</v>
      </c>
      <c r="B33" s="53"/>
      <c r="C33" s="8"/>
      <c r="D33" s="61"/>
      <c r="E33" s="61"/>
      <c r="F33" s="61"/>
      <c r="G33" s="61"/>
      <c r="H33" s="61"/>
      <c r="I33" s="57"/>
      <c r="J33" s="61"/>
      <c r="K33" s="57"/>
      <c r="L33" s="61"/>
      <c r="M33" s="22"/>
      <c r="N33" s="25"/>
      <c r="O33" s="53"/>
      <c r="P33" s="63"/>
    </row>
    <row r="34" spans="1:16" ht="15" customHeight="1" thickBot="1" x14ac:dyDescent="0.35">
      <c r="A34" s="76">
        <v>3265</v>
      </c>
      <c r="B34" s="53"/>
      <c r="C34" s="8"/>
      <c r="D34" s="61"/>
      <c r="E34" s="61"/>
      <c r="F34" s="61"/>
      <c r="G34" s="61"/>
      <c r="H34" s="61"/>
      <c r="I34" s="57"/>
      <c r="J34" s="61"/>
      <c r="K34" s="57"/>
      <c r="L34" s="61"/>
      <c r="M34" s="22"/>
      <c r="N34" s="25"/>
      <c r="O34" s="53"/>
      <c r="P34" s="63"/>
    </row>
    <row r="35" spans="1:16" ht="15" customHeight="1" x14ac:dyDescent="0.3">
      <c r="A35" s="74">
        <v>3266</v>
      </c>
      <c r="B35" s="53"/>
      <c r="C35" s="8"/>
      <c r="D35" s="61"/>
      <c r="E35" s="61"/>
      <c r="F35" s="61"/>
      <c r="G35" s="61"/>
      <c r="H35" s="61"/>
      <c r="I35" s="57"/>
      <c r="J35" s="61"/>
      <c r="K35" s="57"/>
      <c r="L35" s="61"/>
      <c r="M35" s="22"/>
      <c r="N35" s="25"/>
      <c r="O35" s="53"/>
      <c r="P35" s="63"/>
    </row>
    <row r="36" spans="1:16" ht="15" customHeight="1" x14ac:dyDescent="0.3">
      <c r="A36" s="75">
        <v>3267</v>
      </c>
      <c r="B36" s="53"/>
      <c r="C36" s="8"/>
      <c r="D36" s="61"/>
      <c r="E36" s="61"/>
      <c r="F36" s="61"/>
      <c r="G36" s="61"/>
      <c r="H36" s="61"/>
      <c r="I36" s="57"/>
      <c r="J36" s="61"/>
      <c r="K36" s="57"/>
      <c r="L36" s="61"/>
      <c r="M36" s="22"/>
      <c r="N36" s="25"/>
      <c r="O36" s="53"/>
      <c r="P36" s="63"/>
    </row>
    <row r="37" spans="1:16" ht="15" customHeight="1" x14ac:dyDescent="0.3">
      <c r="A37" s="75">
        <v>3299</v>
      </c>
      <c r="B37" s="53"/>
      <c r="C37" s="8"/>
      <c r="D37" s="61"/>
      <c r="E37" s="61"/>
      <c r="F37" s="61"/>
      <c r="G37" s="61"/>
      <c r="H37" s="61"/>
      <c r="I37" s="57"/>
      <c r="J37" s="61"/>
      <c r="K37" s="57"/>
      <c r="L37" s="61"/>
      <c r="M37" s="22"/>
      <c r="N37" s="25"/>
      <c r="O37" s="53"/>
      <c r="P37" s="63"/>
    </row>
    <row r="38" spans="1:16" ht="15" customHeight="1" x14ac:dyDescent="0.3">
      <c r="A38" s="75">
        <v>3531</v>
      </c>
      <c r="B38" s="53">
        <v>45928</v>
      </c>
      <c r="C38" s="8"/>
      <c r="D38" s="61">
        <v>1</v>
      </c>
      <c r="E38" s="61">
        <v>4</v>
      </c>
      <c r="F38" s="61">
        <v>4</v>
      </c>
      <c r="G38" s="61">
        <v>0</v>
      </c>
      <c r="H38" s="61">
        <v>0</v>
      </c>
      <c r="I38" s="57"/>
      <c r="J38" s="61"/>
      <c r="K38" s="57"/>
      <c r="L38" s="61"/>
      <c r="M38" s="22" t="s">
        <v>24</v>
      </c>
      <c r="N38" s="25" t="s">
        <v>30</v>
      </c>
      <c r="O38" s="53">
        <v>45928</v>
      </c>
      <c r="P38" s="63">
        <v>3531</v>
      </c>
    </row>
    <row r="39" spans="1:16" ht="15" customHeight="1" x14ac:dyDescent="0.3">
      <c r="A39" s="75">
        <v>3532</v>
      </c>
      <c r="B39" s="53"/>
      <c r="C39" s="8"/>
      <c r="D39" s="61"/>
      <c r="E39" s="61"/>
      <c r="F39" s="61"/>
      <c r="G39" s="61"/>
      <c r="H39" s="61"/>
      <c r="I39" s="57"/>
      <c r="J39" s="61"/>
      <c r="K39" s="57"/>
      <c r="L39" s="61"/>
      <c r="M39" s="22"/>
      <c r="N39" s="25"/>
      <c r="O39" s="53"/>
      <c r="P39" s="63"/>
    </row>
    <row r="40" spans="1:16" ht="15" customHeight="1" x14ac:dyDescent="0.3">
      <c r="A40" s="75">
        <v>3533</v>
      </c>
      <c r="B40" s="53"/>
      <c r="C40" s="8"/>
      <c r="D40" s="61"/>
      <c r="E40" s="61"/>
      <c r="F40" s="61"/>
      <c r="G40" s="61"/>
      <c r="H40" s="61"/>
      <c r="I40" s="57"/>
      <c r="J40" s="61"/>
      <c r="K40" s="57"/>
      <c r="L40" s="61"/>
      <c r="M40" s="22"/>
      <c r="N40" s="25"/>
      <c r="O40" s="53"/>
      <c r="P40" s="63"/>
    </row>
    <row r="41" spans="1:16" ht="15" customHeight="1" x14ac:dyDescent="0.3">
      <c r="A41" s="75">
        <v>3534</v>
      </c>
      <c r="B41" s="53"/>
      <c r="C41" s="8"/>
      <c r="D41" s="61"/>
      <c r="E41" s="61"/>
      <c r="F41" s="61"/>
      <c r="G41" s="61"/>
      <c r="H41" s="61"/>
      <c r="I41" s="57"/>
      <c r="J41" s="61"/>
      <c r="K41" s="57"/>
      <c r="L41" s="61"/>
      <c r="M41" s="22"/>
      <c r="N41" s="25"/>
      <c r="O41" s="53"/>
      <c r="P41" s="63"/>
    </row>
    <row r="42" spans="1:16" ht="15" customHeight="1" x14ac:dyDescent="0.3">
      <c r="A42" s="75">
        <v>3535</v>
      </c>
      <c r="B42" s="53"/>
      <c r="C42" s="8"/>
      <c r="D42" s="61"/>
      <c r="E42" s="61"/>
      <c r="F42" s="61"/>
      <c r="G42" s="61"/>
      <c r="H42" s="61"/>
      <c r="I42" s="57"/>
      <c r="J42" s="61"/>
      <c r="K42" s="57"/>
      <c r="L42" s="61"/>
      <c r="M42" s="22"/>
      <c r="N42" s="25"/>
      <c r="O42" s="53"/>
      <c r="P42" s="63"/>
    </row>
    <row r="43" spans="1:16" ht="15" customHeight="1" x14ac:dyDescent="0.3">
      <c r="A43" s="75">
        <v>3536</v>
      </c>
      <c r="B43" s="53"/>
      <c r="C43" s="8"/>
      <c r="D43" s="61"/>
      <c r="E43" s="61"/>
      <c r="F43" s="61"/>
      <c r="G43" s="61"/>
      <c r="H43" s="61"/>
      <c r="I43" s="57"/>
      <c r="J43" s="61"/>
      <c r="K43" s="57"/>
      <c r="L43" s="61"/>
      <c r="M43" s="22"/>
      <c r="N43" s="25"/>
      <c r="O43" s="53"/>
      <c r="P43" s="63"/>
    </row>
    <row r="44" spans="1:16" ht="15" customHeight="1" x14ac:dyDescent="0.3">
      <c r="A44" s="75">
        <v>3537</v>
      </c>
      <c r="B44" s="53"/>
      <c r="C44" s="8"/>
      <c r="D44" s="61"/>
      <c r="E44" s="61"/>
      <c r="F44" s="61"/>
      <c r="G44" s="61"/>
      <c r="H44" s="61"/>
      <c r="I44" s="57"/>
      <c r="J44" s="61"/>
      <c r="K44" s="57"/>
      <c r="L44" s="61"/>
      <c r="M44" s="22"/>
      <c r="N44" s="25"/>
      <c r="O44" s="53"/>
      <c r="P44" s="63"/>
    </row>
    <row r="45" spans="1:16" ht="15" customHeight="1" thickBot="1" x14ac:dyDescent="0.35">
      <c r="A45" s="76">
        <v>3538</v>
      </c>
      <c r="B45" s="53"/>
      <c r="C45" s="8"/>
      <c r="D45" s="61"/>
      <c r="E45" s="61"/>
      <c r="F45" s="61"/>
      <c r="G45" s="61"/>
      <c r="H45" s="61"/>
      <c r="I45" s="57"/>
      <c r="J45" s="61"/>
      <c r="K45" s="57"/>
      <c r="L45" s="61"/>
      <c r="M45" s="22"/>
      <c r="N45" s="25"/>
      <c r="O45" s="53"/>
      <c r="P45" s="63"/>
    </row>
    <row r="46" spans="1:16" ht="15" customHeight="1" x14ac:dyDescent="0.3">
      <c r="A46" s="74">
        <v>3540</v>
      </c>
      <c r="B46" s="53"/>
      <c r="C46" s="8"/>
      <c r="D46" s="61"/>
      <c r="E46" s="61"/>
      <c r="F46" s="61"/>
      <c r="G46" s="61"/>
      <c r="H46" s="61"/>
      <c r="I46" s="57"/>
      <c r="J46" s="61"/>
      <c r="K46" s="57"/>
      <c r="L46" s="61"/>
      <c r="M46" s="22"/>
      <c r="N46" s="25"/>
      <c r="O46" s="53"/>
      <c r="P46" s="63"/>
    </row>
    <row r="47" spans="1:16" ht="15" customHeight="1" x14ac:dyDescent="0.3">
      <c r="A47" s="75">
        <v>3541</v>
      </c>
      <c r="B47" s="53"/>
      <c r="C47" s="8"/>
      <c r="D47" s="61"/>
      <c r="E47" s="61"/>
      <c r="F47" s="61"/>
      <c r="G47" s="61"/>
      <c r="H47" s="61"/>
      <c r="I47" s="57"/>
      <c r="J47" s="61"/>
      <c r="K47" s="57"/>
      <c r="L47" s="61"/>
      <c r="M47" s="22"/>
      <c r="N47" s="25"/>
      <c r="O47" s="53"/>
      <c r="P47" s="63"/>
    </row>
    <row r="48" spans="1:16" ht="15" customHeight="1" x14ac:dyDescent="0.3">
      <c r="A48" s="75">
        <v>3542</v>
      </c>
      <c r="B48" s="53"/>
      <c r="C48" s="8"/>
      <c r="D48" s="61"/>
      <c r="E48" s="61"/>
      <c r="F48" s="61"/>
      <c r="G48" s="61"/>
      <c r="H48" s="61"/>
      <c r="I48" s="57"/>
      <c r="J48" s="61"/>
      <c r="K48" s="57"/>
      <c r="L48" s="61"/>
      <c r="M48" s="22"/>
      <c r="N48" s="25"/>
      <c r="O48" s="53"/>
      <c r="P48" s="63"/>
    </row>
    <row r="49" spans="1:16" ht="15" customHeight="1" x14ac:dyDescent="0.3">
      <c r="A49" s="75">
        <v>3543</v>
      </c>
      <c r="B49" s="53"/>
      <c r="C49" s="8"/>
      <c r="D49" s="61"/>
      <c r="E49" s="61"/>
      <c r="F49" s="61"/>
      <c r="G49" s="61"/>
      <c r="H49" s="61"/>
      <c r="I49" s="57"/>
      <c r="J49" s="61"/>
      <c r="K49" s="57"/>
      <c r="L49" s="61"/>
      <c r="M49" s="22"/>
      <c r="N49" s="25"/>
      <c r="O49" s="53"/>
      <c r="P49" s="63"/>
    </row>
    <row r="50" spans="1:16" ht="15" customHeight="1" x14ac:dyDescent="0.3">
      <c r="A50" s="75">
        <v>3544</v>
      </c>
      <c r="B50" s="53"/>
      <c r="C50" s="8"/>
      <c r="D50" s="61"/>
      <c r="E50" s="61"/>
      <c r="F50" s="61"/>
      <c r="G50" s="61"/>
      <c r="H50" s="61"/>
      <c r="I50" s="57"/>
      <c r="J50" s="61"/>
      <c r="K50" s="57"/>
      <c r="L50" s="61"/>
      <c r="M50" s="22"/>
      <c r="N50" s="25"/>
      <c r="O50" s="53"/>
      <c r="P50" s="63"/>
    </row>
    <row r="51" spans="1:16" ht="15" customHeight="1" x14ac:dyDescent="0.3">
      <c r="A51" s="75">
        <v>3545</v>
      </c>
      <c r="B51" s="53"/>
      <c r="C51" s="8"/>
      <c r="D51" s="61"/>
      <c r="E51" s="61"/>
      <c r="F51" s="61"/>
      <c r="G51" s="61"/>
      <c r="H51" s="61"/>
      <c r="I51" s="57"/>
      <c r="J51" s="61"/>
      <c r="K51" s="57"/>
      <c r="L51" s="61"/>
      <c r="M51" s="22"/>
      <c r="N51" s="25"/>
      <c r="O51" s="53"/>
      <c r="P51" s="63"/>
    </row>
    <row r="52" spans="1:16" ht="15" customHeight="1" x14ac:dyDescent="0.3">
      <c r="A52" s="75">
        <v>3546</v>
      </c>
      <c r="B52" s="53"/>
      <c r="C52" s="8"/>
      <c r="D52" s="61"/>
      <c r="E52" s="61"/>
      <c r="F52" s="61"/>
      <c r="G52" s="61"/>
      <c r="H52" s="61"/>
      <c r="I52" s="57"/>
      <c r="J52" s="61"/>
      <c r="K52" s="57"/>
      <c r="L52" s="61"/>
      <c r="M52" s="22"/>
      <c r="N52" s="25"/>
      <c r="O52" s="53"/>
      <c r="P52" s="63"/>
    </row>
    <row r="53" spans="1:16" ht="15" customHeight="1" x14ac:dyDescent="0.3">
      <c r="A53" s="75">
        <v>3547</v>
      </c>
      <c r="B53" s="53"/>
      <c r="C53" s="8"/>
      <c r="D53" s="61"/>
      <c r="E53" s="61"/>
      <c r="F53" s="61"/>
      <c r="G53" s="61"/>
      <c r="H53" s="61"/>
      <c r="I53" s="57"/>
      <c r="J53" s="61"/>
      <c r="K53" s="57"/>
      <c r="L53" s="61"/>
      <c r="M53" s="22"/>
      <c r="N53" s="25"/>
      <c r="O53" s="53"/>
      <c r="P53" s="63"/>
    </row>
    <row r="54" spans="1:16" ht="15" customHeight="1" x14ac:dyDescent="0.3">
      <c r="A54" s="75">
        <v>3548</v>
      </c>
      <c r="B54" s="53"/>
      <c r="C54" s="8"/>
      <c r="D54" s="61"/>
      <c r="E54" s="61"/>
      <c r="F54" s="61"/>
      <c r="G54" s="61"/>
      <c r="H54" s="61"/>
      <c r="I54" s="57"/>
      <c r="J54" s="61"/>
      <c r="K54" s="57"/>
      <c r="L54" s="61"/>
      <c r="M54" s="22"/>
      <c r="N54" s="25"/>
      <c r="O54" s="53"/>
      <c r="P54" s="63"/>
    </row>
    <row r="55" spans="1:16" ht="15" customHeight="1" x14ac:dyDescent="0.3">
      <c r="A55" s="75">
        <v>3549</v>
      </c>
      <c r="B55" s="53">
        <v>45924</v>
      </c>
      <c r="C55" s="8"/>
      <c r="D55" s="61">
        <v>1</v>
      </c>
      <c r="E55" s="61">
        <v>11</v>
      </c>
      <c r="F55" s="61">
        <v>11</v>
      </c>
      <c r="G55" s="61">
        <v>0</v>
      </c>
      <c r="H55" s="61">
        <v>0</v>
      </c>
      <c r="I55" s="57"/>
      <c r="J55" s="61"/>
      <c r="K55" s="57"/>
      <c r="L55" s="61"/>
      <c r="M55" s="22" t="s">
        <v>24</v>
      </c>
      <c r="N55" s="25" t="s">
        <v>14</v>
      </c>
      <c r="O55" s="53">
        <v>45924</v>
      </c>
      <c r="P55" s="63">
        <v>3549</v>
      </c>
    </row>
    <row r="56" spans="1:16" ht="15" customHeight="1" thickBot="1" x14ac:dyDescent="0.35">
      <c r="A56" s="76">
        <v>3550</v>
      </c>
      <c r="B56" s="53"/>
      <c r="C56" s="8"/>
      <c r="D56" s="61"/>
      <c r="E56" s="61"/>
      <c r="F56" s="61"/>
      <c r="G56" s="61"/>
      <c r="H56" s="61"/>
      <c r="I56" s="57"/>
      <c r="J56" s="61"/>
      <c r="K56" s="57"/>
      <c r="L56" s="61"/>
      <c r="M56" s="22"/>
      <c r="N56" s="25"/>
      <c r="O56" s="53"/>
      <c r="P56" s="63"/>
    </row>
    <row r="57" spans="1:16" ht="15" customHeight="1" x14ac:dyDescent="0.3">
      <c r="A57" s="74">
        <v>3551</v>
      </c>
      <c r="B57" s="53"/>
      <c r="C57" s="8"/>
      <c r="D57" s="61"/>
      <c r="E57" s="61"/>
      <c r="F57" s="61"/>
      <c r="G57" s="61"/>
      <c r="H57" s="61"/>
      <c r="I57" s="57"/>
      <c r="J57" s="61"/>
      <c r="K57" s="57"/>
      <c r="L57" s="61"/>
      <c r="M57" s="22"/>
      <c r="N57" s="25"/>
      <c r="O57" s="53"/>
      <c r="P57" s="63"/>
    </row>
    <row r="58" spans="1:16" ht="15" customHeight="1" x14ac:dyDescent="0.3">
      <c r="A58" s="75">
        <v>3552</v>
      </c>
      <c r="B58" s="53"/>
      <c r="C58" s="8"/>
      <c r="D58" s="61"/>
      <c r="E58" s="61"/>
      <c r="F58" s="61"/>
      <c r="G58" s="61"/>
      <c r="H58" s="61"/>
      <c r="I58" s="57"/>
      <c r="J58" s="61"/>
      <c r="K58" s="57"/>
      <c r="L58" s="61"/>
      <c r="M58" s="22"/>
      <c r="N58" s="25"/>
      <c r="O58" s="53"/>
      <c r="P58" s="63"/>
    </row>
    <row r="59" spans="1:16" ht="15" customHeight="1" x14ac:dyDescent="0.3">
      <c r="A59" s="75">
        <v>3553</v>
      </c>
      <c r="B59" s="53"/>
      <c r="C59" s="8"/>
      <c r="D59" s="61"/>
      <c r="E59" s="61"/>
      <c r="F59" s="61"/>
      <c r="G59" s="61"/>
      <c r="H59" s="61"/>
      <c r="I59" s="57"/>
      <c r="J59" s="61"/>
      <c r="K59" s="57"/>
      <c r="L59" s="61"/>
      <c r="M59" s="22"/>
      <c r="N59" s="25"/>
      <c r="O59" s="53"/>
      <c r="P59" s="63"/>
    </row>
    <row r="60" spans="1:16" ht="15" customHeight="1" x14ac:dyDescent="0.3">
      <c r="A60" s="75">
        <v>3554</v>
      </c>
      <c r="B60" s="53"/>
      <c r="C60" s="8"/>
      <c r="D60" s="61"/>
      <c r="E60" s="61"/>
      <c r="F60" s="61"/>
      <c r="G60" s="61"/>
      <c r="H60" s="61"/>
      <c r="I60" s="57"/>
      <c r="J60" s="61"/>
      <c r="K60" s="57"/>
      <c r="L60" s="61"/>
      <c r="M60" s="22"/>
      <c r="N60" s="25"/>
      <c r="O60" s="53"/>
      <c r="P60" s="63"/>
    </row>
    <row r="61" spans="1:16" ht="15" customHeight="1" x14ac:dyDescent="0.3">
      <c r="A61" s="75">
        <v>3555</v>
      </c>
      <c r="B61" s="53"/>
      <c r="C61" s="8"/>
      <c r="D61" s="61"/>
      <c r="E61" s="61"/>
      <c r="F61" s="61"/>
      <c r="G61" s="61"/>
      <c r="H61" s="61"/>
      <c r="I61" s="57"/>
      <c r="J61" s="61"/>
      <c r="K61" s="57"/>
      <c r="L61" s="61"/>
      <c r="M61" s="22"/>
      <c r="N61" s="25"/>
      <c r="O61" s="53"/>
      <c r="P61" s="63"/>
    </row>
    <row r="62" spans="1:16" ht="15" customHeight="1" x14ac:dyDescent="0.3">
      <c r="A62" s="75">
        <v>3556</v>
      </c>
      <c r="B62" s="53"/>
      <c r="C62" s="8"/>
      <c r="D62" s="61"/>
      <c r="E62" s="61"/>
      <c r="F62" s="61"/>
      <c r="G62" s="61"/>
      <c r="H62" s="61"/>
      <c r="I62" s="57"/>
      <c r="J62" s="61"/>
      <c r="K62" s="57"/>
      <c r="L62" s="61"/>
      <c r="M62" s="22"/>
      <c r="N62" s="25"/>
      <c r="O62" s="53"/>
      <c r="P62" s="63"/>
    </row>
    <row r="63" spans="1:16" ht="15" customHeight="1" x14ac:dyDescent="0.3">
      <c r="A63" s="75">
        <v>3557</v>
      </c>
      <c r="B63" s="53">
        <v>45920</v>
      </c>
      <c r="C63" s="8"/>
      <c r="D63" s="61">
        <v>3</v>
      </c>
      <c r="E63" s="61">
        <v>96</v>
      </c>
      <c r="F63" s="61">
        <v>96</v>
      </c>
      <c r="G63" s="61">
        <v>0</v>
      </c>
      <c r="H63" s="61">
        <v>0</v>
      </c>
      <c r="I63" s="57"/>
      <c r="J63" s="61"/>
      <c r="K63" s="57"/>
      <c r="L63" s="61"/>
      <c r="M63" s="22" t="s">
        <v>24</v>
      </c>
      <c r="N63" s="25" t="s">
        <v>14</v>
      </c>
      <c r="O63" s="53">
        <v>45920</v>
      </c>
      <c r="P63" s="63">
        <v>3557</v>
      </c>
    </row>
    <row r="64" spans="1:16" ht="15" customHeight="1" x14ac:dyDescent="0.3">
      <c r="A64" s="75">
        <v>3558</v>
      </c>
      <c r="B64" s="53">
        <v>45939</v>
      </c>
      <c r="C64" s="8"/>
      <c r="D64" s="61">
        <v>2</v>
      </c>
      <c r="E64" s="61">
        <v>51</v>
      </c>
      <c r="F64" s="61">
        <v>51</v>
      </c>
      <c r="G64" s="61">
        <v>0</v>
      </c>
      <c r="H64" s="61">
        <v>0</v>
      </c>
      <c r="I64" s="57"/>
      <c r="J64" s="61"/>
      <c r="K64" s="57"/>
      <c r="L64" s="61"/>
      <c r="M64" s="22" t="s">
        <v>24</v>
      </c>
      <c r="N64" s="25" t="s">
        <v>14</v>
      </c>
      <c r="O64" s="53">
        <v>45939</v>
      </c>
      <c r="P64" s="63">
        <v>3558</v>
      </c>
    </row>
    <row r="65" spans="1:16" ht="15" customHeight="1" thickBot="1" x14ac:dyDescent="0.35">
      <c r="A65" s="75">
        <v>3559</v>
      </c>
      <c r="B65" s="53">
        <v>45901</v>
      </c>
      <c r="C65" s="8"/>
      <c r="D65" s="61">
        <v>2</v>
      </c>
      <c r="E65" s="61">
        <v>11</v>
      </c>
      <c r="F65" s="61">
        <v>11</v>
      </c>
      <c r="G65" s="61">
        <v>0</v>
      </c>
      <c r="H65" s="61">
        <v>0</v>
      </c>
      <c r="I65" s="57"/>
      <c r="J65" s="61"/>
      <c r="K65" s="57"/>
      <c r="L65" s="61"/>
      <c r="M65" s="22" t="s">
        <v>24</v>
      </c>
      <c r="N65" s="25" t="s">
        <v>30</v>
      </c>
      <c r="O65" s="53">
        <v>45901</v>
      </c>
      <c r="P65" s="63">
        <v>3559</v>
      </c>
    </row>
    <row r="66" spans="1:16" ht="15" customHeight="1" x14ac:dyDescent="0.3">
      <c r="A66" s="77">
        <v>3560</v>
      </c>
      <c r="B66" s="53"/>
      <c r="C66" s="8"/>
      <c r="D66" s="61"/>
      <c r="E66" s="61"/>
      <c r="F66" s="61"/>
      <c r="G66" s="61"/>
      <c r="H66" s="61"/>
      <c r="I66" s="57"/>
      <c r="J66" s="61"/>
      <c r="K66" s="57"/>
      <c r="L66" s="61"/>
      <c r="M66" s="22"/>
      <c r="N66" s="25"/>
      <c r="O66" s="53"/>
      <c r="P66" s="63"/>
    </row>
    <row r="67" spans="1:16" ht="15" customHeight="1" x14ac:dyDescent="0.3">
      <c r="A67" s="78">
        <v>3561</v>
      </c>
      <c r="B67" s="53">
        <v>45890</v>
      </c>
      <c r="C67" s="8"/>
      <c r="D67" s="61">
        <v>2</v>
      </c>
      <c r="E67" s="61">
        <v>25</v>
      </c>
      <c r="F67" s="61">
        <v>25</v>
      </c>
      <c r="G67" s="61">
        <v>0</v>
      </c>
      <c r="H67" s="61">
        <v>0</v>
      </c>
      <c r="I67" s="57"/>
      <c r="J67" s="61"/>
      <c r="K67" s="57"/>
      <c r="L67" s="61"/>
      <c r="M67" s="22" t="s">
        <v>24</v>
      </c>
      <c r="N67" s="25" t="s">
        <v>31</v>
      </c>
      <c r="O67" s="53">
        <v>45890.080000000002</v>
      </c>
      <c r="P67" s="63">
        <v>3561</v>
      </c>
    </row>
    <row r="68" spans="1:16" ht="18.75" x14ac:dyDescent="0.3">
      <c r="A68" s="78">
        <v>3562</v>
      </c>
      <c r="B68" s="53"/>
      <c r="C68" s="8"/>
      <c r="D68" s="61"/>
      <c r="E68" s="61"/>
      <c r="F68" s="61"/>
      <c r="G68" s="61"/>
      <c r="H68" s="61"/>
      <c r="I68" s="57"/>
      <c r="J68" s="61"/>
      <c r="K68" s="57"/>
      <c r="L68" s="61"/>
      <c r="M68" s="22"/>
      <c r="N68" s="25"/>
      <c r="O68" s="53"/>
      <c r="P68" s="63"/>
    </row>
    <row r="69" spans="1:16" ht="18.75" x14ac:dyDescent="0.3">
      <c r="A69" s="78">
        <v>3563</v>
      </c>
      <c r="B69" s="53"/>
      <c r="C69" s="8"/>
      <c r="D69" s="61"/>
      <c r="E69" s="61"/>
      <c r="F69" s="61"/>
      <c r="G69" s="61"/>
      <c r="H69" s="61"/>
      <c r="I69" s="57"/>
      <c r="J69" s="61"/>
      <c r="K69" s="57"/>
      <c r="L69" s="61"/>
      <c r="M69" s="22"/>
      <c r="N69" s="25"/>
      <c r="O69" s="53"/>
      <c r="P69" s="63"/>
    </row>
    <row r="70" spans="1:16" ht="18.75" x14ac:dyDescent="0.3">
      <c r="A70" s="78">
        <v>3564</v>
      </c>
      <c r="B70" s="53">
        <v>45898</v>
      </c>
      <c r="C70" s="8"/>
      <c r="D70" s="61">
        <v>1</v>
      </c>
      <c r="E70" s="61">
        <v>56</v>
      </c>
      <c r="F70" s="61">
        <v>56</v>
      </c>
      <c r="G70" s="61">
        <v>0</v>
      </c>
      <c r="H70" s="61">
        <v>0</v>
      </c>
      <c r="I70" s="57"/>
      <c r="J70" s="61"/>
      <c r="K70" s="57"/>
      <c r="L70" s="61"/>
      <c r="M70" s="22" t="s">
        <v>24</v>
      </c>
      <c r="N70" s="25" t="s">
        <v>30</v>
      </c>
      <c r="O70" s="53">
        <v>45898</v>
      </c>
      <c r="P70" s="63">
        <v>3564</v>
      </c>
    </row>
    <row r="71" spans="1:16" ht="18.75" x14ac:dyDescent="0.3">
      <c r="A71" s="78">
        <v>3565</v>
      </c>
      <c r="B71" s="53"/>
      <c r="C71" s="8"/>
      <c r="D71" s="61"/>
      <c r="E71" s="61"/>
      <c r="F71" s="61"/>
      <c r="G71" s="61"/>
      <c r="H71" s="61"/>
      <c r="I71" s="57"/>
      <c r="J71" s="61"/>
      <c r="K71" s="57"/>
      <c r="L71" s="61"/>
      <c r="M71" s="22"/>
      <c r="N71" s="25"/>
      <c r="O71" s="53"/>
      <c r="P71" s="63"/>
    </row>
    <row r="72" spans="1:16" ht="18.75" x14ac:dyDescent="0.3">
      <c r="A72" s="78">
        <v>3566</v>
      </c>
      <c r="B72" s="53">
        <v>45944</v>
      </c>
      <c r="C72" s="8"/>
      <c r="D72" s="61">
        <v>2</v>
      </c>
      <c r="E72" s="61">
        <v>46</v>
      </c>
      <c r="F72" s="61">
        <v>46</v>
      </c>
      <c r="G72" s="61">
        <v>0</v>
      </c>
      <c r="H72" s="61">
        <v>0</v>
      </c>
      <c r="I72" s="57"/>
      <c r="J72" s="61"/>
      <c r="K72" s="57"/>
      <c r="L72" s="61"/>
      <c r="M72" s="22" t="s">
        <v>24</v>
      </c>
      <c r="N72" s="25" t="s">
        <v>14</v>
      </c>
      <c r="O72" s="53">
        <v>45944</v>
      </c>
      <c r="P72" s="63">
        <v>3566</v>
      </c>
    </row>
    <row r="73" spans="1:16" ht="18.75" x14ac:dyDescent="0.3">
      <c r="A73" s="79">
        <v>3567</v>
      </c>
      <c r="B73" s="53"/>
      <c r="C73" s="8"/>
      <c r="D73" s="61"/>
      <c r="E73" s="61"/>
      <c r="F73" s="61"/>
      <c r="G73" s="61"/>
      <c r="H73" s="61"/>
      <c r="I73" s="57"/>
      <c r="J73" s="61"/>
      <c r="K73" s="57"/>
      <c r="L73" s="61"/>
      <c r="M73" s="22"/>
      <c r="N73" s="25"/>
      <c r="O73" s="53"/>
      <c r="P73" s="63"/>
    </row>
    <row r="74" spans="1:16" x14ac:dyDescent="0.25">
      <c r="P74" s="23"/>
    </row>
    <row r="75" spans="1:16" x14ac:dyDescent="0.25">
      <c r="P75" s="23"/>
    </row>
    <row r="76" spans="1:16" x14ac:dyDescent="0.25">
      <c r="P76" s="23"/>
    </row>
    <row r="77" spans="1:16" x14ac:dyDescent="0.25">
      <c r="P77" s="23"/>
    </row>
    <row r="78" spans="1:16" x14ac:dyDescent="0.25">
      <c r="P78" s="23"/>
    </row>
    <row r="79" spans="1:16" x14ac:dyDescent="0.25">
      <c r="P79" s="23"/>
    </row>
    <row r="80" spans="1:16" x14ac:dyDescent="0.25">
      <c r="P80" s="23"/>
    </row>
    <row r="81" spans="16:16" x14ac:dyDescent="0.25">
      <c r="P81" s="23"/>
    </row>
    <row r="82" spans="16:16" x14ac:dyDescent="0.25">
      <c r="P82" s="23"/>
    </row>
    <row r="83" spans="16:16" x14ac:dyDescent="0.25">
      <c r="P83" s="23"/>
    </row>
    <row r="84" spans="16:16" x14ac:dyDescent="0.25">
      <c r="P84" s="23"/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algorithmName="SHA-512" hashValue="0mOS5at0jFffFdLIeyyf9rXOaqAHeaaBSWQyBN3mFXTfDyWQPYXbEFdPhnOJLQZ4CIaX0XyueQkzdSA539V32A==" saltValue="400UUy3CPYWFv/XNL2wUZ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2:L73 P2:P73" xr:uid="{0A681BD2-8705-430B-8395-16A356C01E4A}">
      <formula1>0</formula1>
    </dataValidation>
    <dataValidation type="date" operator="greaterThanOrEqual" allowBlank="1" showInputMessage="1" showErrorMessage="1" sqref="B1:B73 I2:I73 K2:K73 O2:O73" xr:uid="{0404FC88-D042-41FA-AC39-032FD81F38E7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CAB7E47-10AD-4580-8459-929EAEA250A7}">
          <x14:formula1>
            <xm:f>Inspected!$A$1:$A$2</xm:f>
          </x14:formula1>
          <xm:sqref>M2:M73</xm:sqref>
        </x14:dataValidation>
        <x14:dataValidation type="list" allowBlank="1" showInputMessage="1" showErrorMessage="1" xr:uid="{7858A1DD-7985-4946-9196-B6B70C39F552}">
          <x14:formula1>
            <xm:f>Inspected!$D$1</xm:f>
          </x14:formula1>
          <xm:sqref>C2:C73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DB530-A0DA-4991-BD70-457D54DA1B40}">
  <dimension ref="A1:U207"/>
  <sheetViews>
    <sheetView zoomScaleNormal="100" workbookViewId="0">
      <selection activeCell="F13" sqref="F13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33" t="s">
        <v>0</v>
      </c>
      <c r="B1" s="34" t="s">
        <v>1</v>
      </c>
      <c r="C1" s="34" t="s">
        <v>26</v>
      </c>
      <c r="D1" s="35" t="s">
        <v>2</v>
      </c>
      <c r="E1" s="35" t="s">
        <v>3</v>
      </c>
      <c r="F1" s="35" t="s">
        <v>4</v>
      </c>
      <c r="G1" s="35" t="s">
        <v>5</v>
      </c>
      <c r="H1" s="35" t="s">
        <v>6</v>
      </c>
      <c r="I1" s="36" t="s">
        <v>7</v>
      </c>
      <c r="J1" s="36" t="s">
        <v>8</v>
      </c>
      <c r="K1" s="37" t="s">
        <v>9</v>
      </c>
      <c r="L1" s="37" t="s">
        <v>27</v>
      </c>
      <c r="M1" s="38" t="s">
        <v>10</v>
      </c>
      <c r="N1" s="39" t="s">
        <v>11</v>
      </c>
      <c r="O1" s="40" t="s">
        <v>12</v>
      </c>
      <c r="P1" s="41" t="s">
        <v>13</v>
      </c>
    </row>
    <row r="2" spans="1:21" ht="15" customHeight="1" x14ac:dyDescent="0.3">
      <c r="A2" s="71">
        <v>3231</v>
      </c>
      <c r="B2" s="53"/>
      <c r="C2" s="8"/>
      <c r="D2" s="61"/>
      <c r="E2" s="61"/>
      <c r="F2" s="61"/>
      <c r="G2" s="61"/>
      <c r="H2" s="61"/>
      <c r="I2" s="57"/>
      <c r="J2" s="61"/>
      <c r="K2" s="57"/>
      <c r="L2" s="61"/>
      <c r="M2" s="22"/>
      <c r="N2" s="25"/>
      <c r="O2" s="53"/>
      <c r="P2" s="63"/>
      <c r="R2" s="81" t="s">
        <v>15</v>
      </c>
      <c r="S2" s="82"/>
      <c r="T2" s="82"/>
      <c r="U2" s="83"/>
    </row>
    <row r="3" spans="1:21" ht="15" customHeight="1" x14ac:dyDescent="0.3">
      <c r="A3" s="72">
        <v>3232</v>
      </c>
      <c r="B3" s="53"/>
      <c r="C3" s="8"/>
      <c r="D3" s="61"/>
      <c r="E3" s="61"/>
      <c r="F3" s="61"/>
      <c r="G3" s="61"/>
      <c r="H3" s="61"/>
      <c r="I3" s="57"/>
      <c r="J3" s="61"/>
      <c r="K3" s="57"/>
      <c r="L3" s="61"/>
      <c r="M3" s="22"/>
      <c r="N3" s="25"/>
      <c r="O3" s="53"/>
      <c r="P3" s="63"/>
      <c r="R3" s="10" t="s">
        <v>16</v>
      </c>
      <c r="S3" s="11" t="s">
        <v>17</v>
      </c>
      <c r="T3" s="12" t="s">
        <v>18</v>
      </c>
      <c r="U3" s="13" t="s">
        <v>19</v>
      </c>
    </row>
    <row r="4" spans="1:21" ht="15" customHeight="1" thickBot="1" x14ac:dyDescent="0.35">
      <c r="A4" s="72">
        <v>3233</v>
      </c>
      <c r="B4" s="53"/>
      <c r="C4" s="8"/>
      <c r="D4" s="61"/>
      <c r="E4" s="61"/>
      <c r="F4" s="61"/>
      <c r="G4" s="61"/>
      <c r="H4" s="61"/>
      <c r="I4" s="57"/>
      <c r="J4" s="61"/>
      <c r="K4" s="57"/>
      <c r="L4" s="61"/>
      <c r="M4" s="22"/>
      <c r="N4" s="25"/>
      <c r="O4" s="53"/>
      <c r="P4" s="63"/>
      <c r="R4" s="14">
        <v>36</v>
      </c>
      <c r="S4" s="15">
        <f>COUNTA(A:A)-1</f>
        <v>72</v>
      </c>
      <c r="T4" s="15">
        <f>COUNTA(O:O)-1</f>
        <v>5</v>
      </c>
      <c r="U4" s="21">
        <f>T4/S4</f>
        <v>6.9444444444444448E-2</v>
      </c>
    </row>
    <row r="5" spans="1:21" ht="15" customHeight="1" x14ac:dyDescent="0.3">
      <c r="A5" s="72">
        <v>3234</v>
      </c>
      <c r="B5" s="53"/>
      <c r="C5" s="8"/>
      <c r="D5" s="61"/>
      <c r="E5" s="61"/>
      <c r="F5" s="61"/>
      <c r="G5" s="61"/>
      <c r="H5" s="61"/>
      <c r="I5" s="57"/>
      <c r="J5" s="61"/>
      <c r="K5" s="57"/>
      <c r="L5" s="61"/>
      <c r="M5" s="22"/>
      <c r="N5" s="25"/>
      <c r="O5" s="53"/>
      <c r="P5" s="63"/>
    </row>
    <row r="6" spans="1:21" ht="15" customHeight="1" x14ac:dyDescent="0.3">
      <c r="A6" s="72">
        <v>3235</v>
      </c>
      <c r="B6" s="53"/>
      <c r="C6" s="8"/>
      <c r="D6" s="61"/>
      <c r="E6" s="61"/>
      <c r="F6" s="61"/>
      <c r="G6" s="61"/>
      <c r="H6" s="61"/>
      <c r="I6" s="57"/>
      <c r="J6" s="61"/>
      <c r="K6" s="57"/>
      <c r="L6" s="61"/>
      <c r="M6" s="22"/>
      <c r="N6" s="25"/>
      <c r="O6" s="53"/>
      <c r="P6" s="63"/>
    </row>
    <row r="7" spans="1:21" ht="15" customHeight="1" x14ac:dyDescent="0.3">
      <c r="A7" s="72">
        <v>3236</v>
      </c>
      <c r="B7" s="53"/>
      <c r="C7" s="8"/>
      <c r="D7" s="61"/>
      <c r="E7" s="61"/>
      <c r="F7" s="61"/>
      <c r="G7" s="61"/>
      <c r="H7" s="61"/>
      <c r="I7" s="57"/>
      <c r="J7" s="61"/>
      <c r="K7" s="57"/>
      <c r="L7" s="61"/>
      <c r="M7" s="22"/>
      <c r="N7" s="25"/>
      <c r="O7" s="53"/>
      <c r="P7" s="63"/>
    </row>
    <row r="8" spans="1:21" ht="15" customHeight="1" x14ac:dyDescent="0.3">
      <c r="A8" s="72">
        <v>3237</v>
      </c>
      <c r="B8" s="53"/>
      <c r="C8" s="8"/>
      <c r="D8" s="61"/>
      <c r="E8" s="61"/>
      <c r="F8" s="61"/>
      <c r="G8" s="61"/>
      <c r="H8" s="61"/>
      <c r="I8" s="57"/>
      <c r="J8" s="61"/>
      <c r="K8" s="57"/>
      <c r="L8" s="61"/>
      <c r="M8" s="22"/>
      <c r="N8" s="25"/>
      <c r="O8" s="53"/>
      <c r="P8" s="63"/>
    </row>
    <row r="9" spans="1:21" ht="15" customHeight="1" x14ac:dyDescent="0.3">
      <c r="A9" s="72">
        <v>3238</v>
      </c>
      <c r="B9" s="53"/>
      <c r="C9" s="8"/>
      <c r="D9" s="61"/>
      <c r="E9" s="61"/>
      <c r="F9" s="61"/>
      <c r="G9" s="61"/>
      <c r="H9" s="61"/>
      <c r="I9" s="57"/>
      <c r="J9" s="61"/>
      <c r="K9" s="57"/>
      <c r="L9" s="61"/>
      <c r="M9" s="22"/>
      <c r="N9" s="25"/>
      <c r="O9" s="53"/>
      <c r="P9" s="63"/>
    </row>
    <row r="10" spans="1:21" ht="15" customHeight="1" x14ac:dyDescent="0.3">
      <c r="A10" s="72">
        <v>3239</v>
      </c>
      <c r="B10" s="53"/>
      <c r="C10" s="8"/>
      <c r="D10" s="61"/>
      <c r="E10" s="61"/>
      <c r="F10" s="61"/>
      <c r="G10" s="61"/>
      <c r="H10" s="61"/>
      <c r="I10" s="57"/>
      <c r="J10" s="61"/>
      <c r="K10" s="57"/>
      <c r="L10" s="61"/>
      <c r="M10" s="22"/>
      <c r="N10" s="25"/>
      <c r="O10" s="53"/>
      <c r="P10" s="63"/>
    </row>
    <row r="11" spans="1:21" ht="15" customHeight="1" x14ac:dyDescent="0.3">
      <c r="A11" s="72">
        <v>3240</v>
      </c>
      <c r="B11" s="53"/>
      <c r="C11" s="8"/>
      <c r="D11" s="61"/>
      <c r="E11" s="61"/>
      <c r="F11" s="61"/>
      <c r="G11" s="61"/>
      <c r="H11" s="61"/>
      <c r="I11" s="57"/>
      <c r="J11" s="61"/>
      <c r="K11" s="57"/>
      <c r="L11" s="61"/>
      <c r="M11" s="22"/>
      <c r="N11" s="25"/>
      <c r="O11" s="53"/>
      <c r="P11" s="63"/>
    </row>
    <row r="12" spans="1:21" ht="15" customHeight="1" thickBot="1" x14ac:dyDescent="0.35">
      <c r="A12" s="73">
        <v>3241</v>
      </c>
      <c r="B12" s="53"/>
      <c r="C12" s="8"/>
      <c r="D12" s="61"/>
      <c r="E12" s="61"/>
      <c r="F12" s="61"/>
      <c r="G12" s="61"/>
      <c r="H12" s="61"/>
      <c r="I12" s="57"/>
      <c r="J12" s="61"/>
      <c r="K12" s="57"/>
      <c r="L12" s="61"/>
      <c r="M12" s="22"/>
      <c r="N12" s="25"/>
      <c r="O12" s="53"/>
      <c r="P12" s="63"/>
    </row>
    <row r="13" spans="1:21" ht="15" customHeight="1" x14ac:dyDescent="0.3">
      <c r="A13" s="74">
        <v>3242</v>
      </c>
      <c r="B13" s="53"/>
      <c r="C13" s="8"/>
      <c r="D13" s="61"/>
      <c r="E13" s="61"/>
      <c r="F13" s="61"/>
      <c r="G13" s="61"/>
      <c r="H13" s="61"/>
      <c r="I13" s="57"/>
      <c r="J13" s="61"/>
      <c r="K13" s="57"/>
      <c r="L13" s="61"/>
      <c r="M13" s="22"/>
      <c r="N13" s="25"/>
      <c r="O13" s="53"/>
      <c r="P13" s="63"/>
    </row>
    <row r="14" spans="1:21" ht="15" customHeight="1" x14ac:dyDescent="0.3">
      <c r="A14" s="75">
        <v>3243</v>
      </c>
      <c r="B14" s="53"/>
      <c r="C14" s="8"/>
      <c r="D14" s="61"/>
      <c r="E14" s="61"/>
      <c r="F14" s="61"/>
      <c r="G14" s="61"/>
      <c r="H14" s="61"/>
      <c r="I14" s="57"/>
      <c r="J14" s="61"/>
      <c r="K14" s="57"/>
      <c r="L14" s="61"/>
      <c r="M14" s="22"/>
      <c r="N14" s="25"/>
      <c r="O14" s="53"/>
      <c r="P14" s="63"/>
    </row>
    <row r="15" spans="1:21" ht="15" customHeight="1" x14ac:dyDescent="0.3">
      <c r="A15" s="75">
        <v>3244</v>
      </c>
      <c r="B15" s="53"/>
      <c r="C15" s="8"/>
      <c r="D15" s="61"/>
      <c r="E15" s="61"/>
      <c r="F15" s="61"/>
      <c r="G15" s="61"/>
      <c r="H15" s="61"/>
      <c r="I15" s="57"/>
      <c r="J15" s="61"/>
      <c r="K15" s="57"/>
      <c r="L15" s="61"/>
      <c r="M15" s="22"/>
      <c r="N15" s="25"/>
      <c r="O15" s="53"/>
      <c r="P15" s="63"/>
    </row>
    <row r="16" spans="1:21" ht="15" customHeight="1" x14ac:dyDescent="0.3">
      <c r="A16" s="75">
        <v>3245</v>
      </c>
      <c r="B16" s="53"/>
      <c r="C16" s="8"/>
      <c r="D16" s="61"/>
      <c r="E16" s="61"/>
      <c r="F16" s="61"/>
      <c r="G16" s="61"/>
      <c r="H16" s="61"/>
      <c r="I16" s="57"/>
      <c r="J16" s="61"/>
      <c r="K16" s="57"/>
      <c r="L16" s="61"/>
      <c r="M16" s="22"/>
      <c r="N16" s="25"/>
      <c r="O16" s="53"/>
      <c r="P16" s="63"/>
    </row>
    <row r="17" spans="1:16" ht="15" customHeight="1" x14ac:dyDescent="0.3">
      <c r="A17" s="75">
        <v>3246</v>
      </c>
      <c r="B17" s="53"/>
      <c r="C17" s="8"/>
      <c r="D17" s="61"/>
      <c r="E17" s="61"/>
      <c r="F17" s="61"/>
      <c r="G17" s="61"/>
      <c r="H17" s="61"/>
      <c r="I17" s="57"/>
      <c r="J17" s="61"/>
      <c r="K17" s="57"/>
      <c r="L17" s="61"/>
      <c r="M17" s="22"/>
      <c r="N17" s="25"/>
      <c r="O17" s="53"/>
      <c r="P17" s="63"/>
    </row>
    <row r="18" spans="1:16" ht="15" customHeight="1" x14ac:dyDescent="0.3">
      <c r="A18" s="75">
        <v>3247</v>
      </c>
      <c r="B18" s="53"/>
      <c r="C18" s="8"/>
      <c r="D18" s="61"/>
      <c r="E18" s="61"/>
      <c r="F18" s="61"/>
      <c r="G18" s="61"/>
      <c r="H18" s="61"/>
      <c r="I18" s="57"/>
      <c r="J18" s="61"/>
      <c r="K18" s="57"/>
      <c r="L18" s="61"/>
      <c r="M18" s="22"/>
      <c r="N18" s="25"/>
      <c r="O18" s="53"/>
      <c r="P18" s="63"/>
    </row>
    <row r="19" spans="1:16" ht="15" customHeight="1" x14ac:dyDescent="0.3">
      <c r="A19" s="75">
        <v>3248</v>
      </c>
      <c r="B19" s="53"/>
      <c r="C19" s="8"/>
      <c r="D19" s="61"/>
      <c r="E19" s="61"/>
      <c r="F19" s="61"/>
      <c r="G19" s="61"/>
      <c r="H19" s="61"/>
      <c r="I19" s="57"/>
      <c r="J19" s="61"/>
      <c r="K19" s="57"/>
      <c r="L19" s="61"/>
      <c r="M19" s="22"/>
      <c r="N19" s="25"/>
      <c r="O19" s="53"/>
      <c r="P19" s="63"/>
    </row>
    <row r="20" spans="1:16" ht="15" customHeight="1" x14ac:dyDescent="0.3">
      <c r="A20" s="75">
        <v>3250</v>
      </c>
      <c r="B20" s="53"/>
      <c r="C20" s="8"/>
      <c r="D20" s="61"/>
      <c r="E20" s="61"/>
      <c r="F20" s="61"/>
      <c r="G20" s="61"/>
      <c r="H20" s="61"/>
      <c r="I20" s="57"/>
      <c r="J20" s="61"/>
      <c r="K20" s="57"/>
      <c r="L20" s="61"/>
      <c r="M20" s="22"/>
      <c r="N20" s="25"/>
      <c r="O20" s="53"/>
      <c r="P20" s="63"/>
    </row>
    <row r="21" spans="1:16" ht="15" customHeight="1" x14ac:dyDescent="0.3">
      <c r="A21" s="75">
        <v>3251</v>
      </c>
      <c r="B21" s="53"/>
      <c r="C21" s="8"/>
      <c r="D21" s="61"/>
      <c r="E21" s="61"/>
      <c r="F21" s="61"/>
      <c r="G21" s="61"/>
      <c r="H21" s="61"/>
      <c r="I21" s="57"/>
      <c r="J21" s="61"/>
      <c r="K21" s="57"/>
      <c r="L21" s="61"/>
      <c r="M21" s="22"/>
      <c r="N21" s="25"/>
      <c r="O21" s="53"/>
      <c r="P21" s="63"/>
    </row>
    <row r="22" spans="1:16" ht="15" customHeight="1" x14ac:dyDescent="0.3">
      <c r="A22" s="75">
        <v>3252</v>
      </c>
      <c r="B22" s="53"/>
      <c r="C22" s="8"/>
      <c r="D22" s="61"/>
      <c r="E22" s="61"/>
      <c r="F22" s="61"/>
      <c r="G22" s="61"/>
      <c r="H22" s="61"/>
      <c r="I22" s="57"/>
      <c r="J22" s="61"/>
      <c r="K22" s="57"/>
      <c r="L22" s="61"/>
      <c r="M22" s="22"/>
      <c r="N22" s="25"/>
      <c r="O22" s="53"/>
      <c r="P22" s="63"/>
    </row>
    <row r="23" spans="1:16" ht="15" customHeight="1" thickBot="1" x14ac:dyDescent="0.35">
      <c r="A23" s="76">
        <v>3253</v>
      </c>
      <c r="B23" s="53"/>
      <c r="C23" s="8"/>
      <c r="D23" s="61"/>
      <c r="E23" s="61"/>
      <c r="F23" s="61"/>
      <c r="G23" s="61"/>
      <c r="H23" s="61"/>
      <c r="I23" s="57"/>
      <c r="J23" s="61"/>
      <c r="K23" s="57"/>
      <c r="L23" s="61"/>
      <c r="M23" s="22"/>
      <c r="N23" s="25"/>
      <c r="O23" s="53"/>
      <c r="P23" s="63"/>
    </row>
    <row r="24" spans="1:16" ht="15" customHeight="1" x14ac:dyDescent="0.3">
      <c r="A24" s="74">
        <v>3254</v>
      </c>
      <c r="B24" s="53"/>
      <c r="C24" s="8"/>
      <c r="D24" s="61"/>
      <c r="E24" s="61"/>
      <c r="F24" s="61"/>
      <c r="G24" s="61"/>
      <c r="H24" s="61"/>
      <c r="I24" s="57"/>
      <c r="J24" s="61"/>
      <c r="K24" s="57"/>
      <c r="L24" s="61"/>
      <c r="M24" s="22"/>
      <c r="N24" s="25"/>
      <c r="O24" s="53"/>
      <c r="P24" s="63"/>
    </row>
    <row r="25" spans="1:16" ht="15" customHeight="1" x14ac:dyDescent="0.3">
      <c r="A25" s="75">
        <v>3255</v>
      </c>
      <c r="B25" s="53"/>
      <c r="C25" s="8"/>
      <c r="D25" s="61"/>
      <c r="E25" s="61"/>
      <c r="F25" s="61"/>
      <c r="G25" s="61"/>
      <c r="H25" s="61"/>
      <c r="I25" s="57"/>
      <c r="J25" s="61"/>
      <c r="K25" s="57"/>
      <c r="L25" s="61"/>
      <c r="M25" s="22"/>
      <c r="N25" s="25"/>
      <c r="O25" s="53"/>
      <c r="P25" s="63"/>
    </row>
    <row r="26" spans="1:16" ht="15" customHeight="1" x14ac:dyDescent="0.3">
      <c r="A26" s="75">
        <v>3256</v>
      </c>
      <c r="B26" s="53"/>
      <c r="C26" s="8"/>
      <c r="D26" s="61"/>
      <c r="E26" s="61"/>
      <c r="F26" s="61"/>
      <c r="G26" s="61"/>
      <c r="H26" s="61"/>
      <c r="I26" s="57"/>
      <c r="J26" s="61"/>
      <c r="K26" s="57"/>
      <c r="L26" s="61"/>
      <c r="M26" s="22"/>
      <c r="N26" s="25"/>
      <c r="O26" s="53"/>
      <c r="P26" s="63"/>
    </row>
    <row r="27" spans="1:16" ht="15" customHeight="1" x14ac:dyDescent="0.3">
      <c r="A27" s="75">
        <v>3258</v>
      </c>
      <c r="B27" s="53"/>
      <c r="C27" s="8"/>
      <c r="D27" s="61"/>
      <c r="E27" s="61"/>
      <c r="F27" s="61"/>
      <c r="G27" s="61"/>
      <c r="H27" s="61"/>
      <c r="I27" s="57"/>
      <c r="J27" s="61"/>
      <c r="K27" s="57"/>
      <c r="L27" s="61"/>
      <c r="M27" s="22"/>
      <c r="N27" s="25"/>
      <c r="O27" s="53"/>
      <c r="P27" s="63"/>
    </row>
    <row r="28" spans="1:16" ht="15" customHeight="1" x14ac:dyDescent="0.3">
      <c r="A28" s="75">
        <v>3259</v>
      </c>
      <c r="B28" s="53"/>
      <c r="C28" s="8"/>
      <c r="D28" s="61"/>
      <c r="E28" s="61"/>
      <c r="F28" s="61"/>
      <c r="G28" s="61"/>
      <c r="H28" s="61"/>
      <c r="I28" s="57"/>
      <c r="J28" s="61"/>
      <c r="K28" s="57"/>
      <c r="L28" s="61"/>
      <c r="M28" s="22"/>
      <c r="N28" s="25"/>
      <c r="O28" s="53"/>
      <c r="P28" s="63"/>
    </row>
    <row r="29" spans="1:16" ht="15" customHeight="1" x14ac:dyDescent="0.3">
      <c r="A29" s="75">
        <v>3260</v>
      </c>
      <c r="B29" s="53"/>
      <c r="C29" s="8"/>
      <c r="D29" s="61"/>
      <c r="E29" s="61"/>
      <c r="F29" s="61"/>
      <c r="G29" s="61"/>
      <c r="H29" s="61"/>
      <c r="I29" s="57"/>
      <c r="J29" s="61"/>
      <c r="K29" s="57"/>
      <c r="L29" s="61"/>
      <c r="M29" s="22"/>
      <c r="N29" s="25"/>
      <c r="O29" s="53"/>
      <c r="P29" s="63"/>
    </row>
    <row r="30" spans="1:16" ht="15" customHeight="1" x14ac:dyDescent="0.3">
      <c r="A30" s="75">
        <v>3261</v>
      </c>
      <c r="B30" s="53"/>
      <c r="C30" s="8"/>
      <c r="D30" s="61"/>
      <c r="E30" s="61"/>
      <c r="F30" s="61"/>
      <c r="G30" s="61"/>
      <c r="H30" s="61"/>
      <c r="I30" s="57"/>
      <c r="J30" s="61"/>
      <c r="K30" s="57"/>
      <c r="L30" s="61"/>
      <c r="M30" s="22"/>
      <c r="N30" s="25"/>
      <c r="O30" s="53"/>
      <c r="P30" s="63"/>
    </row>
    <row r="31" spans="1:16" ht="15" customHeight="1" x14ac:dyDescent="0.3">
      <c r="A31" s="75">
        <v>3262</v>
      </c>
      <c r="B31" s="53"/>
      <c r="C31" s="8"/>
      <c r="D31" s="61"/>
      <c r="E31" s="61"/>
      <c r="F31" s="61"/>
      <c r="G31" s="61"/>
      <c r="H31" s="61"/>
      <c r="I31" s="57"/>
      <c r="J31" s="61"/>
      <c r="K31" s="57"/>
      <c r="L31" s="61"/>
      <c r="M31" s="22"/>
      <c r="N31" s="25"/>
      <c r="O31" s="53"/>
      <c r="P31" s="63"/>
    </row>
    <row r="32" spans="1:16" ht="15" customHeight="1" x14ac:dyDescent="0.3">
      <c r="A32" s="75">
        <v>3263</v>
      </c>
      <c r="B32" s="53"/>
      <c r="C32" s="8"/>
      <c r="D32" s="61"/>
      <c r="E32" s="61"/>
      <c r="F32" s="61"/>
      <c r="G32" s="61"/>
      <c r="H32" s="61"/>
      <c r="I32" s="57"/>
      <c r="J32" s="61"/>
      <c r="K32" s="57"/>
      <c r="L32" s="61"/>
      <c r="M32" s="22"/>
      <c r="N32" s="25"/>
      <c r="O32" s="53"/>
      <c r="P32" s="63"/>
    </row>
    <row r="33" spans="1:16" ht="15" customHeight="1" x14ac:dyDescent="0.3">
      <c r="A33" s="75">
        <v>3264</v>
      </c>
      <c r="B33" s="53"/>
      <c r="C33" s="8"/>
      <c r="D33" s="61"/>
      <c r="E33" s="61"/>
      <c r="F33" s="61"/>
      <c r="G33" s="61"/>
      <c r="H33" s="61"/>
      <c r="I33" s="57"/>
      <c r="J33" s="61"/>
      <c r="K33" s="57"/>
      <c r="L33" s="61"/>
      <c r="M33" s="22"/>
      <c r="N33" s="25"/>
      <c r="O33" s="53"/>
      <c r="P33" s="63"/>
    </row>
    <row r="34" spans="1:16" ht="15" customHeight="1" thickBot="1" x14ac:dyDescent="0.35">
      <c r="A34" s="76">
        <v>3265</v>
      </c>
      <c r="B34" s="53"/>
      <c r="C34" s="8"/>
      <c r="D34" s="61"/>
      <c r="E34" s="61"/>
      <c r="F34" s="61"/>
      <c r="G34" s="61"/>
      <c r="H34" s="61"/>
      <c r="I34" s="57"/>
      <c r="J34" s="61"/>
      <c r="K34" s="57"/>
      <c r="L34" s="61"/>
      <c r="M34" s="22"/>
      <c r="N34" s="25"/>
      <c r="O34" s="53"/>
      <c r="P34" s="63"/>
    </row>
    <row r="35" spans="1:16" ht="15" customHeight="1" x14ac:dyDescent="0.3">
      <c r="A35" s="74">
        <v>3266</v>
      </c>
      <c r="B35" s="53"/>
      <c r="C35" s="8"/>
      <c r="D35" s="61"/>
      <c r="E35" s="61"/>
      <c r="F35" s="61"/>
      <c r="G35" s="61"/>
      <c r="H35" s="61"/>
      <c r="I35" s="57"/>
      <c r="J35" s="61"/>
      <c r="K35" s="57"/>
      <c r="L35" s="61"/>
      <c r="M35" s="22"/>
      <c r="N35" s="25"/>
      <c r="O35" s="53"/>
      <c r="P35" s="63"/>
    </row>
    <row r="36" spans="1:16" ht="15" customHeight="1" x14ac:dyDescent="0.3">
      <c r="A36" s="75">
        <v>3267</v>
      </c>
      <c r="B36" s="53"/>
      <c r="C36" s="8"/>
      <c r="D36" s="61"/>
      <c r="E36" s="61"/>
      <c r="F36" s="61"/>
      <c r="G36" s="61"/>
      <c r="H36" s="61"/>
      <c r="I36" s="57"/>
      <c r="J36" s="61"/>
      <c r="K36" s="57"/>
      <c r="L36" s="61"/>
      <c r="M36" s="22"/>
      <c r="N36" s="25"/>
      <c r="O36" s="53"/>
      <c r="P36" s="63"/>
    </row>
    <row r="37" spans="1:16" ht="15" customHeight="1" x14ac:dyDescent="0.3">
      <c r="A37" s="75">
        <v>3299</v>
      </c>
      <c r="B37" s="53"/>
      <c r="C37" s="8"/>
      <c r="D37" s="61"/>
      <c r="E37" s="61"/>
      <c r="F37" s="61"/>
      <c r="G37" s="61"/>
      <c r="H37" s="61"/>
      <c r="I37" s="57"/>
      <c r="J37" s="61"/>
      <c r="K37" s="57"/>
      <c r="L37" s="61"/>
      <c r="M37" s="22"/>
      <c r="N37" s="25"/>
      <c r="O37" s="53"/>
      <c r="P37" s="63"/>
    </row>
    <row r="38" spans="1:16" ht="15" customHeight="1" x14ac:dyDescent="0.3">
      <c r="A38" s="75">
        <v>3531</v>
      </c>
      <c r="B38" s="53">
        <v>45944</v>
      </c>
      <c r="C38" s="8"/>
      <c r="D38" s="61">
        <v>3</v>
      </c>
      <c r="E38" s="61">
        <v>207</v>
      </c>
      <c r="F38" s="61">
        <v>207</v>
      </c>
      <c r="G38" s="61">
        <v>0</v>
      </c>
      <c r="H38" s="61">
        <v>0</v>
      </c>
      <c r="I38" s="57"/>
      <c r="J38" s="61"/>
      <c r="K38" s="57"/>
      <c r="L38" s="61"/>
      <c r="M38" s="22" t="s">
        <v>24</v>
      </c>
      <c r="N38" s="25" t="s">
        <v>14</v>
      </c>
      <c r="O38" s="53">
        <v>45944</v>
      </c>
      <c r="P38" s="63">
        <v>3531</v>
      </c>
    </row>
    <row r="39" spans="1:16" ht="15" customHeight="1" x14ac:dyDescent="0.3">
      <c r="A39" s="75">
        <v>3532</v>
      </c>
      <c r="B39" s="53"/>
      <c r="C39" s="8"/>
      <c r="D39" s="61"/>
      <c r="E39" s="61"/>
      <c r="F39" s="61"/>
      <c r="G39" s="61"/>
      <c r="H39" s="61"/>
      <c r="I39" s="57"/>
      <c r="J39" s="61"/>
      <c r="K39" s="57"/>
      <c r="L39" s="61"/>
      <c r="M39" s="22"/>
      <c r="N39" s="25"/>
      <c r="O39" s="53"/>
      <c r="P39" s="63"/>
    </row>
    <row r="40" spans="1:16" ht="15" customHeight="1" x14ac:dyDescent="0.3">
      <c r="A40" s="75">
        <v>3533</v>
      </c>
      <c r="B40" s="53"/>
      <c r="C40" s="8"/>
      <c r="D40" s="61"/>
      <c r="E40" s="61"/>
      <c r="F40" s="61"/>
      <c r="G40" s="61"/>
      <c r="H40" s="61"/>
      <c r="I40" s="57"/>
      <c r="J40" s="61"/>
      <c r="K40" s="57"/>
      <c r="L40" s="61"/>
      <c r="M40" s="22"/>
      <c r="N40" s="25"/>
      <c r="O40" s="53"/>
      <c r="P40" s="63"/>
    </row>
    <row r="41" spans="1:16" ht="15" customHeight="1" x14ac:dyDescent="0.3">
      <c r="A41" s="75">
        <v>3534</v>
      </c>
      <c r="B41" s="53"/>
      <c r="C41" s="8"/>
      <c r="D41" s="61"/>
      <c r="E41" s="61"/>
      <c r="F41" s="61"/>
      <c r="G41" s="61"/>
      <c r="H41" s="61"/>
      <c r="I41" s="57"/>
      <c r="J41" s="61"/>
      <c r="K41" s="57"/>
      <c r="L41" s="61"/>
      <c r="M41" s="22"/>
      <c r="N41" s="25"/>
      <c r="O41" s="53"/>
      <c r="P41" s="63"/>
    </row>
    <row r="42" spans="1:16" ht="15" customHeight="1" x14ac:dyDescent="0.3">
      <c r="A42" s="75">
        <v>3535</v>
      </c>
      <c r="B42" s="53"/>
      <c r="C42" s="8"/>
      <c r="D42" s="61"/>
      <c r="E42" s="61"/>
      <c r="F42" s="61"/>
      <c r="G42" s="61"/>
      <c r="H42" s="61"/>
      <c r="I42" s="57"/>
      <c r="J42" s="61"/>
      <c r="K42" s="57"/>
      <c r="L42" s="61"/>
      <c r="M42" s="22"/>
      <c r="N42" s="25"/>
      <c r="O42" s="53"/>
      <c r="P42" s="63"/>
    </row>
    <row r="43" spans="1:16" ht="15" customHeight="1" x14ac:dyDescent="0.3">
      <c r="A43" s="75">
        <v>3536</v>
      </c>
      <c r="B43" s="53"/>
      <c r="C43" s="8"/>
      <c r="D43" s="61"/>
      <c r="E43" s="61"/>
      <c r="F43" s="61"/>
      <c r="G43" s="61"/>
      <c r="H43" s="61"/>
      <c r="I43" s="57"/>
      <c r="J43" s="61"/>
      <c r="K43" s="57"/>
      <c r="L43" s="61"/>
      <c r="M43" s="22"/>
      <c r="N43" s="25"/>
      <c r="O43" s="53"/>
      <c r="P43" s="63"/>
    </row>
    <row r="44" spans="1:16" ht="15" customHeight="1" x14ac:dyDescent="0.3">
      <c r="A44" s="75">
        <v>3537</v>
      </c>
      <c r="B44" s="53"/>
      <c r="C44" s="8"/>
      <c r="D44" s="61"/>
      <c r="E44" s="61"/>
      <c r="F44" s="61"/>
      <c r="G44" s="61"/>
      <c r="H44" s="61"/>
      <c r="I44" s="57"/>
      <c r="J44" s="61"/>
      <c r="K44" s="57"/>
      <c r="L44" s="61"/>
      <c r="M44" s="22"/>
      <c r="N44" s="25"/>
      <c r="O44" s="53"/>
      <c r="P44" s="63"/>
    </row>
    <row r="45" spans="1:16" ht="15" customHeight="1" thickBot="1" x14ac:dyDescent="0.35">
      <c r="A45" s="76">
        <v>3538</v>
      </c>
      <c r="B45" s="53"/>
      <c r="C45" s="8"/>
      <c r="D45" s="61"/>
      <c r="E45" s="61"/>
      <c r="F45" s="61"/>
      <c r="G45" s="61"/>
      <c r="H45" s="61"/>
      <c r="I45" s="57"/>
      <c r="J45" s="61"/>
      <c r="K45" s="57"/>
      <c r="L45" s="61"/>
      <c r="M45" s="22"/>
      <c r="N45" s="25"/>
      <c r="O45" s="53"/>
      <c r="P45" s="63"/>
    </row>
    <row r="46" spans="1:16" ht="15" customHeight="1" x14ac:dyDescent="0.3">
      <c r="A46" s="74">
        <v>3540</v>
      </c>
      <c r="B46" s="53"/>
      <c r="C46" s="8"/>
      <c r="D46" s="61"/>
      <c r="E46" s="61"/>
      <c r="F46" s="61"/>
      <c r="G46" s="61"/>
      <c r="H46" s="61"/>
      <c r="I46" s="57"/>
      <c r="J46" s="61"/>
      <c r="K46" s="57"/>
      <c r="L46" s="61"/>
      <c r="M46" s="22"/>
      <c r="N46" s="25"/>
      <c r="O46" s="53"/>
      <c r="P46" s="63"/>
    </row>
    <row r="47" spans="1:16" ht="15" customHeight="1" x14ac:dyDescent="0.3">
      <c r="A47" s="75">
        <v>3541</v>
      </c>
      <c r="B47" s="53"/>
      <c r="C47" s="8"/>
      <c r="D47" s="61"/>
      <c r="E47" s="61"/>
      <c r="F47" s="61"/>
      <c r="G47" s="61"/>
      <c r="H47" s="61"/>
      <c r="I47" s="57"/>
      <c r="J47" s="61"/>
      <c r="K47" s="57"/>
      <c r="L47" s="61"/>
      <c r="M47" s="22"/>
      <c r="N47" s="25"/>
      <c r="O47" s="53"/>
      <c r="P47" s="63"/>
    </row>
    <row r="48" spans="1:16" ht="15" customHeight="1" x14ac:dyDescent="0.3">
      <c r="A48" s="75">
        <v>3542</v>
      </c>
      <c r="B48" s="53"/>
      <c r="C48" s="8"/>
      <c r="D48" s="61"/>
      <c r="E48" s="61"/>
      <c r="F48" s="61"/>
      <c r="G48" s="61"/>
      <c r="H48" s="61"/>
      <c r="I48" s="57"/>
      <c r="J48" s="61"/>
      <c r="K48" s="57"/>
      <c r="L48" s="61"/>
      <c r="M48" s="22"/>
      <c r="N48" s="25"/>
      <c r="O48" s="53"/>
      <c r="P48" s="63"/>
    </row>
    <row r="49" spans="1:16" ht="15" customHeight="1" x14ac:dyDescent="0.3">
      <c r="A49" s="75">
        <v>3543</v>
      </c>
      <c r="B49" s="53"/>
      <c r="C49" s="8"/>
      <c r="D49" s="61"/>
      <c r="E49" s="61"/>
      <c r="F49" s="61"/>
      <c r="G49" s="61"/>
      <c r="H49" s="61"/>
      <c r="I49" s="57"/>
      <c r="J49" s="61"/>
      <c r="K49" s="57"/>
      <c r="L49" s="61"/>
      <c r="M49" s="22"/>
      <c r="N49" s="25"/>
      <c r="O49" s="53"/>
      <c r="P49" s="63"/>
    </row>
    <row r="50" spans="1:16" ht="15" customHeight="1" x14ac:dyDescent="0.3">
      <c r="A50" s="75">
        <v>3544</v>
      </c>
      <c r="B50" s="53"/>
      <c r="C50" s="8"/>
      <c r="D50" s="61"/>
      <c r="E50" s="61"/>
      <c r="F50" s="61"/>
      <c r="G50" s="61"/>
      <c r="H50" s="61"/>
      <c r="I50" s="57"/>
      <c r="J50" s="61"/>
      <c r="K50" s="57"/>
      <c r="L50" s="61"/>
      <c r="M50" s="22"/>
      <c r="N50" s="25"/>
      <c r="O50" s="53"/>
      <c r="P50" s="63"/>
    </row>
    <row r="51" spans="1:16" ht="15" customHeight="1" x14ac:dyDescent="0.3">
      <c r="A51" s="75">
        <v>3545</v>
      </c>
      <c r="B51" s="53"/>
      <c r="C51" s="8"/>
      <c r="D51" s="61"/>
      <c r="E51" s="61"/>
      <c r="F51" s="61"/>
      <c r="G51" s="61"/>
      <c r="H51" s="61"/>
      <c r="I51" s="57"/>
      <c r="J51" s="61"/>
      <c r="K51" s="57"/>
      <c r="L51" s="61"/>
      <c r="M51" s="22"/>
      <c r="N51" s="25"/>
      <c r="O51" s="53"/>
      <c r="P51" s="63"/>
    </row>
    <row r="52" spans="1:16" ht="15" customHeight="1" x14ac:dyDescent="0.3">
      <c r="A52" s="75">
        <v>3546</v>
      </c>
      <c r="B52" s="53"/>
      <c r="C52" s="8"/>
      <c r="D52" s="61"/>
      <c r="E52" s="61"/>
      <c r="F52" s="61"/>
      <c r="G52" s="61"/>
      <c r="H52" s="61"/>
      <c r="I52" s="57"/>
      <c r="J52" s="61"/>
      <c r="K52" s="57"/>
      <c r="L52" s="61"/>
      <c r="M52" s="22"/>
      <c r="N52" s="25"/>
      <c r="O52" s="53"/>
      <c r="P52" s="63"/>
    </row>
    <row r="53" spans="1:16" ht="15" customHeight="1" x14ac:dyDescent="0.3">
      <c r="A53" s="75">
        <v>3547</v>
      </c>
      <c r="B53" s="53"/>
      <c r="C53" s="8"/>
      <c r="D53" s="61"/>
      <c r="E53" s="61"/>
      <c r="F53" s="61"/>
      <c r="G53" s="61"/>
      <c r="H53" s="61"/>
      <c r="I53" s="57"/>
      <c r="J53" s="61"/>
      <c r="K53" s="57"/>
      <c r="L53" s="61"/>
      <c r="M53" s="22"/>
      <c r="N53" s="25"/>
      <c r="O53" s="53"/>
      <c r="P53" s="63"/>
    </row>
    <row r="54" spans="1:16" ht="15" customHeight="1" x14ac:dyDescent="0.3">
      <c r="A54" s="75">
        <v>3548</v>
      </c>
      <c r="B54" s="53"/>
      <c r="C54" s="8"/>
      <c r="D54" s="61"/>
      <c r="E54" s="61"/>
      <c r="F54" s="61"/>
      <c r="G54" s="61"/>
      <c r="H54" s="61"/>
      <c r="I54" s="57"/>
      <c r="J54" s="61"/>
      <c r="K54" s="57"/>
      <c r="L54" s="61"/>
      <c r="M54" s="22"/>
      <c r="N54" s="25"/>
      <c r="O54" s="53"/>
      <c r="P54" s="63"/>
    </row>
    <row r="55" spans="1:16" ht="15" customHeight="1" x14ac:dyDescent="0.3">
      <c r="A55" s="75">
        <v>3549</v>
      </c>
      <c r="B55" s="53">
        <v>45943</v>
      </c>
      <c r="C55" s="8"/>
      <c r="D55" s="61">
        <v>1</v>
      </c>
      <c r="E55" s="61">
        <v>8</v>
      </c>
      <c r="F55" s="61">
        <v>8</v>
      </c>
      <c r="G55" s="61">
        <v>0</v>
      </c>
      <c r="H55" s="61">
        <v>0</v>
      </c>
      <c r="I55" s="57"/>
      <c r="J55" s="61"/>
      <c r="K55" s="57"/>
      <c r="L55" s="61"/>
      <c r="M55" s="22" t="s">
        <v>24</v>
      </c>
      <c r="N55" s="25" t="s">
        <v>14</v>
      </c>
      <c r="O55" s="53">
        <v>45943</v>
      </c>
      <c r="P55" s="63">
        <v>3549</v>
      </c>
    </row>
    <row r="56" spans="1:16" ht="15" customHeight="1" thickBot="1" x14ac:dyDescent="0.35">
      <c r="A56" s="76">
        <v>3550</v>
      </c>
      <c r="B56" s="53"/>
      <c r="C56" s="8"/>
      <c r="D56" s="61"/>
      <c r="E56" s="61"/>
      <c r="F56" s="61"/>
      <c r="G56" s="61"/>
      <c r="H56" s="61"/>
      <c r="I56" s="57"/>
      <c r="J56" s="61"/>
      <c r="K56" s="57"/>
      <c r="L56" s="61"/>
      <c r="M56" s="22"/>
      <c r="N56" s="25"/>
      <c r="O56" s="53"/>
      <c r="P56" s="63"/>
    </row>
    <row r="57" spans="1:16" ht="15" customHeight="1" x14ac:dyDescent="0.3">
      <c r="A57" s="74">
        <v>3551</v>
      </c>
      <c r="B57" s="53"/>
      <c r="C57" s="8"/>
      <c r="D57" s="61"/>
      <c r="E57" s="61"/>
      <c r="F57" s="61"/>
      <c r="G57" s="61"/>
      <c r="H57" s="61"/>
      <c r="I57" s="57"/>
      <c r="J57" s="61"/>
      <c r="K57" s="57"/>
      <c r="L57" s="61"/>
      <c r="M57" s="22"/>
      <c r="N57" s="25"/>
      <c r="O57" s="53"/>
      <c r="P57" s="63"/>
    </row>
    <row r="58" spans="1:16" ht="15" customHeight="1" x14ac:dyDescent="0.3">
      <c r="A58" s="75">
        <v>3552</v>
      </c>
      <c r="B58" s="53"/>
      <c r="C58" s="8"/>
      <c r="D58" s="61"/>
      <c r="E58" s="61"/>
      <c r="F58" s="61"/>
      <c r="G58" s="61"/>
      <c r="H58" s="61"/>
      <c r="I58" s="57"/>
      <c r="J58" s="61"/>
      <c r="K58" s="57"/>
      <c r="L58" s="61"/>
      <c r="M58" s="22"/>
      <c r="N58" s="25"/>
      <c r="O58" s="53"/>
      <c r="P58" s="63"/>
    </row>
    <row r="59" spans="1:16" ht="15" customHeight="1" x14ac:dyDescent="0.3">
      <c r="A59" s="75">
        <v>3553</v>
      </c>
      <c r="B59" s="53"/>
      <c r="C59" s="8"/>
      <c r="D59" s="61"/>
      <c r="E59" s="61"/>
      <c r="F59" s="61"/>
      <c r="G59" s="61"/>
      <c r="H59" s="61"/>
      <c r="I59" s="57"/>
      <c r="J59" s="61"/>
      <c r="K59" s="57"/>
      <c r="L59" s="61"/>
      <c r="M59" s="22"/>
      <c r="N59" s="25"/>
      <c r="O59" s="53"/>
      <c r="P59" s="63"/>
    </row>
    <row r="60" spans="1:16" ht="15" customHeight="1" x14ac:dyDescent="0.3">
      <c r="A60" s="75">
        <v>3554</v>
      </c>
      <c r="B60" s="53"/>
      <c r="C60" s="8"/>
      <c r="D60" s="61"/>
      <c r="E60" s="61"/>
      <c r="F60" s="61"/>
      <c r="G60" s="61"/>
      <c r="H60" s="61"/>
      <c r="I60" s="57"/>
      <c r="J60" s="61"/>
      <c r="K60" s="57"/>
      <c r="L60" s="61"/>
      <c r="M60" s="22"/>
      <c r="N60" s="25"/>
      <c r="O60" s="53"/>
      <c r="P60" s="63"/>
    </row>
    <row r="61" spans="1:16" ht="15" customHeight="1" x14ac:dyDescent="0.3">
      <c r="A61" s="75">
        <v>3555</v>
      </c>
      <c r="B61" s="53"/>
      <c r="C61" s="8"/>
      <c r="D61" s="61"/>
      <c r="E61" s="61"/>
      <c r="F61" s="61"/>
      <c r="G61" s="61"/>
      <c r="H61" s="61"/>
      <c r="I61" s="57"/>
      <c r="J61" s="61"/>
      <c r="K61" s="57"/>
      <c r="L61" s="61"/>
      <c r="M61" s="22"/>
      <c r="N61" s="25"/>
      <c r="O61" s="53"/>
      <c r="P61" s="63"/>
    </row>
    <row r="62" spans="1:16" ht="15" customHeight="1" x14ac:dyDescent="0.3">
      <c r="A62" s="75">
        <v>3556</v>
      </c>
      <c r="B62" s="53"/>
      <c r="C62" s="8"/>
      <c r="D62" s="61"/>
      <c r="E62" s="61"/>
      <c r="F62" s="61"/>
      <c r="G62" s="61"/>
      <c r="H62" s="61"/>
      <c r="I62" s="57"/>
      <c r="J62" s="61"/>
      <c r="K62" s="57"/>
      <c r="L62" s="61"/>
      <c r="M62" s="22"/>
      <c r="N62" s="25"/>
      <c r="O62" s="53"/>
      <c r="P62" s="63"/>
    </row>
    <row r="63" spans="1:16" ht="15" customHeight="1" x14ac:dyDescent="0.3">
      <c r="A63" s="75">
        <v>3557</v>
      </c>
      <c r="B63" s="53">
        <v>45945</v>
      </c>
      <c r="C63" s="8"/>
      <c r="D63" s="61">
        <v>3</v>
      </c>
      <c r="E63" s="61">
        <v>40</v>
      </c>
      <c r="F63" s="61">
        <v>40</v>
      </c>
      <c r="G63" s="61">
        <v>0</v>
      </c>
      <c r="H63" s="61">
        <v>0</v>
      </c>
      <c r="I63" s="57"/>
      <c r="J63" s="61"/>
      <c r="K63" s="57"/>
      <c r="L63" s="61"/>
      <c r="M63" s="22" t="s">
        <v>24</v>
      </c>
      <c r="N63" s="25"/>
      <c r="O63" s="53">
        <v>45945</v>
      </c>
      <c r="P63" s="63">
        <v>3557</v>
      </c>
    </row>
    <row r="64" spans="1:16" ht="15" customHeight="1" x14ac:dyDescent="0.3">
      <c r="A64" s="75">
        <v>3558</v>
      </c>
      <c r="B64" s="53"/>
      <c r="C64" s="8"/>
      <c r="D64" s="61"/>
      <c r="E64" s="61"/>
      <c r="F64" s="61"/>
      <c r="G64" s="61"/>
      <c r="H64" s="61"/>
      <c r="I64" s="57"/>
      <c r="J64" s="61"/>
      <c r="K64" s="57"/>
      <c r="L64" s="61"/>
      <c r="M64" s="22"/>
      <c r="N64" s="25"/>
      <c r="O64" s="53"/>
      <c r="P64" s="63"/>
    </row>
    <row r="65" spans="1:16" ht="15" customHeight="1" thickBot="1" x14ac:dyDescent="0.35">
      <c r="A65" s="75">
        <v>3559</v>
      </c>
      <c r="B65" s="53"/>
      <c r="C65" s="8"/>
      <c r="D65" s="61"/>
      <c r="E65" s="61"/>
      <c r="F65" s="61"/>
      <c r="G65" s="61"/>
      <c r="H65" s="61"/>
      <c r="I65" s="57"/>
      <c r="J65" s="61"/>
      <c r="K65" s="57"/>
      <c r="L65" s="61"/>
      <c r="M65" s="22"/>
      <c r="N65" s="25"/>
      <c r="O65" s="53"/>
      <c r="P65" s="63"/>
    </row>
    <row r="66" spans="1:16" ht="15" customHeight="1" x14ac:dyDescent="0.3">
      <c r="A66" s="77">
        <v>3560</v>
      </c>
      <c r="B66" s="53"/>
      <c r="C66" s="8"/>
      <c r="D66" s="61"/>
      <c r="E66" s="61"/>
      <c r="F66" s="61"/>
      <c r="G66" s="61"/>
      <c r="H66" s="61"/>
      <c r="I66" s="57"/>
      <c r="J66" s="61"/>
      <c r="K66" s="57"/>
      <c r="L66" s="61"/>
      <c r="M66" s="22"/>
      <c r="N66" s="25"/>
      <c r="O66" s="53"/>
      <c r="P66" s="63"/>
    </row>
    <row r="67" spans="1:16" ht="15" customHeight="1" x14ac:dyDescent="0.3">
      <c r="A67" s="78">
        <v>3561</v>
      </c>
      <c r="B67" s="53">
        <v>45900</v>
      </c>
      <c r="C67" s="8"/>
      <c r="D67" s="61">
        <v>1</v>
      </c>
      <c r="E67" s="61">
        <v>5</v>
      </c>
      <c r="F67" s="61">
        <v>5</v>
      </c>
      <c r="G67" s="61">
        <v>0</v>
      </c>
      <c r="H67" s="61">
        <v>0</v>
      </c>
      <c r="I67" s="57"/>
      <c r="J67" s="61"/>
      <c r="K67" s="57"/>
      <c r="L67" s="61"/>
      <c r="M67" s="22" t="s">
        <v>24</v>
      </c>
      <c r="N67" s="25" t="s">
        <v>30</v>
      </c>
      <c r="O67" s="53">
        <v>45900</v>
      </c>
      <c r="P67" s="63">
        <v>3561</v>
      </c>
    </row>
    <row r="68" spans="1:16" ht="18.75" x14ac:dyDescent="0.3">
      <c r="A68" s="78">
        <v>3562</v>
      </c>
      <c r="B68" s="53"/>
      <c r="C68" s="8"/>
      <c r="D68" s="61"/>
      <c r="E68" s="61"/>
      <c r="F68" s="61"/>
      <c r="G68" s="61"/>
      <c r="H68" s="61"/>
      <c r="I68" s="57"/>
      <c r="J68" s="61"/>
      <c r="K68" s="57"/>
      <c r="L68" s="61"/>
      <c r="M68" s="22"/>
      <c r="N68" s="25"/>
      <c r="O68" s="53"/>
      <c r="P68" s="63"/>
    </row>
    <row r="69" spans="1:16" ht="18.75" x14ac:dyDescent="0.3">
      <c r="A69" s="78">
        <v>3563</v>
      </c>
      <c r="B69" s="53"/>
      <c r="C69" s="8"/>
      <c r="D69" s="61"/>
      <c r="E69" s="61"/>
      <c r="F69" s="61"/>
      <c r="G69" s="61"/>
      <c r="H69" s="61"/>
      <c r="I69" s="57"/>
      <c r="J69" s="61"/>
      <c r="K69" s="57"/>
      <c r="L69" s="61"/>
      <c r="M69" s="22"/>
      <c r="N69" s="25"/>
      <c r="O69" s="53"/>
      <c r="P69" s="63"/>
    </row>
    <row r="70" spans="1:16" ht="18.75" x14ac:dyDescent="0.3">
      <c r="A70" s="78">
        <v>3564</v>
      </c>
      <c r="B70" s="53">
        <v>45904</v>
      </c>
      <c r="C70" s="8"/>
      <c r="D70" s="61">
        <v>1</v>
      </c>
      <c r="E70" s="61">
        <v>4</v>
      </c>
      <c r="F70" s="61">
        <v>4</v>
      </c>
      <c r="G70" s="61">
        <v>0</v>
      </c>
      <c r="H70" s="61">
        <v>0</v>
      </c>
      <c r="I70" s="57"/>
      <c r="J70" s="61"/>
      <c r="K70" s="57"/>
      <c r="L70" s="61"/>
      <c r="M70" s="22" t="s">
        <v>24</v>
      </c>
      <c r="N70" s="25" t="s">
        <v>14</v>
      </c>
      <c r="O70" s="53">
        <v>45904</v>
      </c>
      <c r="P70" s="63">
        <v>3564</v>
      </c>
    </row>
    <row r="71" spans="1:16" ht="18.75" x14ac:dyDescent="0.3">
      <c r="A71" s="78">
        <v>3565</v>
      </c>
      <c r="B71" s="53"/>
      <c r="C71" s="8"/>
      <c r="D71" s="61"/>
      <c r="E71" s="61"/>
      <c r="F71" s="61"/>
      <c r="G71" s="61"/>
      <c r="H71" s="61"/>
      <c r="I71" s="57"/>
      <c r="J71" s="61"/>
      <c r="K71" s="57"/>
      <c r="L71" s="61"/>
      <c r="M71" s="22"/>
      <c r="N71" s="25"/>
      <c r="O71" s="53"/>
      <c r="P71" s="63"/>
    </row>
    <row r="72" spans="1:16" ht="18.75" x14ac:dyDescent="0.3">
      <c r="A72" s="78">
        <v>3566</v>
      </c>
      <c r="B72" s="53"/>
      <c r="C72" s="8"/>
      <c r="D72" s="61"/>
      <c r="E72" s="61"/>
      <c r="F72" s="61"/>
      <c r="G72" s="61"/>
      <c r="H72" s="61"/>
      <c r="I72" s="57"/>
      <c r="J72" s="61"/>
      <c r="K72" s="57"/>
      <c r="L72" s="61"/>
      <c r="M72" s="22"/>
      <c r="N72" s="25"/>
      <c r="O72" s="53"/>
      <c r="P72" s="63"/>
    </row>
    <row r="73" spans="1:16" ht="18.75" x14ac:dyDescent="0.3">
      <c r="A73" s="79">
        <v>3567</v>
      </c>
      <c r="B73" s="53"/>
      <c r="C73" s="8"/>
      <c r="D73" s="61"/>
      <c r="E73" s="61"/>
      <c r="F73" s="61"/>
      <c r="G73" s="61"/>
      <c r="H73" s="61"/>
      <c r="I73" s="57"/>
      <c r="J73" s="61"/>
      <c r="K73" s="57"/>
      <c r="L73" s="61"/>
      <c r="M73" s="22"/>
      <c r="N73" s="25"/>
      <c r="O73" s="53"/>
      <c r="P73" s="63"/>
    </row>
    <row r="74" spans="1:16" x14ac:dyDescent="0.25">
      <c r="P74" s="23"/>
    </row>
    <row r="75" spans="1:16" x14ac:dyDescent="0.25">
      <c r="P75" s="23"/>
    </row>
    <row r="76" spans="1:16" x14ac:dyDescent="0.25">
      <c r="P76" s="23"/>
    </row>
    <row r="77" spans="1:16" x14ac:dyDescent="0.25">
      <c r="P77" s="23"/>
    </row>
    <row r="78" spans="1:16" x14ac:dyDescent="0.25">
      <c r="P78" s="23"/>
    </row>
    <row r="79" spans="1:16" x14ac:dyDescent="0.25">
      <c r="P79" s="23"/>
    </row>
    <row r="80" spans="1:16" x14ac:dyDescent="0.25">
      <c r="P80" s="23"/>
    </row>
    <row r="81" spans="16:16" x14ac:dyDescent="0.25">
      <c r="P81" s="23"/>
    </row>
    <row r="82" spans="16:16" x14ac:dyDescent="0.25">
      <c r="P82" s="23"/>
    </row>
    <row r="83" spans="16:16" x14ac:dyDescent="0.25">
      <c r="P83" s="23"/>
    </row>
    <row r="84" spans="16:16" x14ac:dyDescent="0.25">
      <c r="P84" s="23"/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algorithmName="SHA-512" hashValue="ameksXy6ucTXBpvXpJnpOKFlwQkcIUBefjbfH3wACqiryBSEfDruAXIQYfzPr3z9dPtZacNY2lsDRQ/Y+B3YqA==" saltValue="yHOVtzmDLRj6JG9TC3Lh7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2:L73 P2:P73" xr:uid="{8757EC6F-07B7-4C4E-8532-14BD11B36697}">
      <formula1>0</formula1>
    </dataValidation>
    <dataValidation type="date" operator="greaterThanOrEqual" allowBlank="1" showInputMessage="1" showErrorMessage="1" sqref="B2:B73 I2:I73 K2:K73 O2:O73" xr:uid="{663A5960-8108-4CF0-B0F8-CCD1955B6810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CDD2083-80C3-44CF-9E93-FC0952FFF73E}">
          <x14:formula1>
            <xm:f>Inspected!$D$1</xm:f>
          </x14:formula1>
          <xm:sqref>C2:C73</xm:sqref>
        </x14:dataValidation>
        <x14:dataValidation type="list" allowBlank="1" showInputMessage="1" showErrorMessage="1" xr:uid="{1022B628-D932-47C2-B7C3-77234EAEC1CF}">
          <x14:formula1>
            <xm:f>Inspected!$A$1:$A$2</xm:f>
          </x14:formula1>
          <xm:sqref>M2:M73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5C0F0-5B0B-4890-B368-3372849E2A49}">
  <dimension ref="A1:U207"/>
  <sheetViews>
    <sheetView topLeftCell="A49" zoomScaleNormal="100" workbookViewId="0">
      <selection activeCell="G16" sqref="G16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80" t="s">
        <v>0</v>
      </c>
      <c r="B1" s="34" t="s">
        <v>1</v>
      </c>
      <c r="C1" s="34" t="s">
        <v>26</v>
      </c>
      <c r="D1" s="35" t="s">
        <v>2</v>
      </c>
      <c r="E1" s="35" t="s">
        <v>3</v>
      </c>
      <c r="F1" s="35" t="s">
        <v>4</v>
      </c>
      <c r="G1" s="35" t="s">
        <v>5</v>
      </c>
      <c r="H1" s="35" t="s">
        <v>6</v>
      </c>
      <c r="I1" s="36" t="s">
        <v>7</v>
      </c>
      <c r="J1" s="36" t="s">
        <v>8</v>
      </c>
      <c r="K1" s="37" t="s">
        <v>9</v>
      </c>
      <c r="L1" s="37" t="s">
        <v>27</v>
      </c>
      <c r="M1" s="38" t="s">
        <v>10</v>
      </c>
      <c r="N1" s="39" t="s">
        <v>11</v>
      </c>
      <c r="O1" s="40" t="s">
        <v>12</v>
      </c>
      <c r="P1" s="41" t="s">
        <v>13</v>
      </c>
    </row>
    <row r="2" spans="1:21" ht="15" customHeight="1" x14ac:dyDescent="0.3">
      <c r="A2" s="71">
        <v>3231</v>
      </c>
      <c r="B2" s="53"/>
      <c r="C2" s="8"/>
      <c r="D2" s="61"/>
      <c r="E2" s="61"/>
      <c r="F2" s="61"/>
      <c r="G2" s="61"/>
      <c r="H2" s="61"/>
      <c r="I2" s="57"/>
      <c r="J2" s="61"/>
      <c r="K2" s="57"/>
      <c r="L2" s="61"/>
      <c r="M2" s="22"/>
      <c r="N2" s="25"/>
      <c r="O2" s="53"/>
      <c r="P2" s="63"/>
      <c r="R2" s="81" t="s">
        <v>15</v>
      </c>
      <c r="S2" s="82"/>
      <c r="T2" s="82"/>
      <c r="U2" s="83"/>
    </row>
    <row r="3" spans="1:21" ht="15" customHeight="1" x14ac:dyDescent="0.3">
      <c r="A3" s="72">
        <v>3232</v>
      </c>
      <c r="B3" s="53"/>
      <c r="C3" s="8"/>
      <c r="D3" s="61"/>
      <c r="E3" s="61"/>
      <c r="F3" s="61"/>
      <c r="G3" s="61"/>
      <c r="H3" s="61"/>
      <c r="I3" s="57"/>
      <c r="J3" s="61"/>
      <c r="K3" s="57"/>
      <c r="L3" s="61"/>
      <c r="M3" s="22"/>
      <c r="N3" s="25"/>
      <c r="O3" s="53"/>
      <c r="P3" s="63"/>
      <c r="R3" s="10" t="s">
        <v>16</v>
      </c>
      <c r="S3" s="11" t="s">
        <v>17</v>
      </c>
      <c r="T3" s="12" t="s">
        <v>18</v>
      </c>
      <c r="U3" s="13" t="s">
        <v>19</v>
      </c>
    </row>
    <row r="4" spans="1:21" ht="15" customHeight="1" thickBot="1" x14ac:dyDescent="0.35">
      <c r="A4" s="72">
        <v>3233</v>
      </c>
      <c r="B4" s="53"/>
      <c r="C4" s="8"/>
      <c r="D4" s="61"/>
      <c r="E4" s="61"/>
      <c r="F4" s="61"/>
      <c r="G4" s="61"/>
      <c r="H4" s="61"/>
      <c r="I4" s="57"/>
      <c r="J4" s="61"/>
      <c r="K4" s="57"/>
      <c r="L4" s="61"/>
      <c r="M4" s="22"/>
      <c r="N4" s="25"/>
      <c r="O4" s="53"/>
      <c r="P4" s="63"/>
      <c r="R4" s="14">
        <v>36</v>
      </c>
      <c r="S4" s="15">
        <f>COUNTA(A:A)-1</f>
        <v>72</v>
      </c>
      <c r="T4" s="15">
        <f>COUNTA(O:O)-1</f>
        <v>1</v>
      </c>
      <c r="U4" s="21">
        <f>T4/S4</f>
        <v>1.3888888888888888E-2</v>
      </c>
    </row>
    <row r="5" spans="1:21" ht="15" customHeight="1" x14ac:dyDescent="0.3">
      <c r="A5" s="72">
        <v>3234</v>
      </c>
      <c r="B5" s="53"/>
      <c r="C5" s="8"/>
      <c r="D5" s="61"/>
      <c r="E5" s="61"/>
      <c r="F5" s="61"/>
      <c r="G5" s="61"/>
      <c r="H5" s="61"/>
      <c r="I5" s="57"/>
      <c r="J5" s="61"/>
      <c r="K5" s="57"/>
      <c r="L5" s="61"/>
      <c r="M5" s="22"/>
      <c r="N5" s="25"/>
      <c r="O5" s="53"/>
      <c r="P5" s="63"/>
    </row>
    <row r="6" spans="1:21" ht="15" customHeight="1" x14ac:dyDescent="0.3">
      <c r="A6" s="72">
        <v>3235</v>
      </c>
      <c r="B6" s="53"/>
      <c r="C6" s="8"/>
      <c r="D6" s="61"/>
      <c r="E6" s="61"/>
      <c r="F6" s="61"/>
      <c r="G6" s="61"/>
      <c r="H6" s="61"/>
      <c r="I6" s="57"/>
      <c r="J6" s="61"/>
      <c r="K6" s="57"/>
      <c r="L6" s="61"/>
      <c r="M6" s="22"/>
      <c r="N6" s="25"/>
      <c r="O6" s="53"/>
      <c r="P6" s="63"/>
    </row>
    <row r="7" spans="1:21" ht="15" customHeight="1" x14ac:dyDescent="0.3">
      <c r="A7" s="72">
        <v>3236</v>
      </c>
      <c r="B7" s="53"/>
      <c r="C7" s="8"/>
      <c r="D7" s="61"/>
      <c r="E7" s="61"/>
      <c r="F7" s="61"/>
      <c r="G7" s="61"/>
      <c r="H7" s="61"/>
      <c r="I7" s="57"/>
      <c r="J7" s="61"/>
      <c r="K7" s="57"/>
      <c r="L7" s="61"/>
      <c r="M7" s="22"/>
      <c r="N7" s="25"/>
      <c r="O7" s="53"/>
      <c r="P7" s="63"/>
    </row>
    <row r="8" spans="1:21" ht="15" customHeight="1" x14ac:dyDescent="0.3">
      <c r="A8" s="72">
        <v>3237</v>
      </c>
      <c r="B8" s="53"/>
      <c r="C8" s="8"/>
      <c r="D8" s="61"/>
      <c r="E8" s="61"/>
      <c r="F8" s="61"/>
      <c r="G8" s="61"/>
      <c r="H8" s="61"/>
      <c r="I8" s="57"/>
      <c r="J8" s="61"/>
      <c r="K8" s="57"/>
      <c r="L8" s="61"/>
      <c r="M8" s="22"/>
      <c r="N8" s="25"/>
      <c r="O8" s="53"/>
      <c r="P8" s="63"/>
    </row>
    <row r="9" spans="1:21" ht="15" customHeight="1" x14ac:dyDescent="0.3">
      <c r="A9" s="72">
        <v>3238</v>
      </c>
      <c r="B9" s="53"/>
      <c r="C9" s="8"/>
      <c r="D9" s="61"/>
      <c r="E9" s="61"/>
      <c r="F9" s="61"/>
      <c r="G9" s="61"/>
      <c r="H9" s="61"/>
      <c r="I9" s="57"/>
      <c r="J9" s="61"/>
      <c r="K9" s="57"/>
      <c r="L9" s="61"/>
      <c r="M9" s="22"/>
      <c r="N9" s="25"/>
      <c r="O9" s="53"/>
      <c r="P9" s="63"/>
    </row>
    <row r="10" spans="1:21" ht="15" customHeight="1" x14ac:dyDescent="0.3">
      <c r="A10" s="72">
        <v>3239</v>
      </c>
      <c r="B10" s="53"/>
      <c r="C10" s="8"/>
      <c r="D10" s="61"/>
      <c r="E10" s="61"/>
      <c r="F10" s="61"/>
      <c r="G10" s="61"/>
      <c r="H10" s="61"/>
      <c r="I10" s="57"/>
      <c r="J10" s="61"/>
      <c r="K10" s="57"/>
      <c r="L10" s="61"/>
      <c r="M10" s="22"/>
      <c r="N10" s="25"/>
      <c r="O10" s="53"/>
      <c r="P10" s="63"/>
    </row>
    <row r="11" spans="1:21" ht="15" customHeight="1" x14ac:dyDescent="0.3">
      <c r="A11" s="72">
        <v>3240</v>
      </c>
      <c r="B11" s="53"/>
      <c r="C11" s="8"/>
      <c r="D11" s="61"/>
      <c r="E11" s="61"/>
      <c r="F11" s="61"/>
      <c r="G11" s="61"/>
      <c r="H11" s="61"/>
      <c r="I11" s="57"/>
      <c r="J11" s="61"/>
      <c r="K11" s="57"/>
      <c r="L11" s="61"/>
      <c r="M11" s="22"/>
      <c r="N11" s="25"/>
      <c r="O11" s="53"/>
      <c r="P11" s="63"/>
    </row>
    <row r="12" spans="1:21" ht="15" customHeight="1" thickBot="1" x14ac:dyDescent="0.35">
      <c r="A12" s="73">
        <v>3241</v>
      </c>
      <c r="B12" s="53"/>
      <c r="C12" s="8"/>
      <c r="D12" s="61"/>
      <c r="E12" s="61"/>
      <c r="F12" s="61"/>
      <c r="G12" s="61"/>
      <c r="H12" s="61"/>
      <c r="I12" s="57"/>
      <c r="J12" s="61"/>
      <c r="K12" s="57"/>
      <c r="L12" s="61"/>
      <c r="M12" s="22"/>
      <c r="N12" s="25"/>
      <c r="O12" s="53"/>
      <c r="P12" s="63"/>
    </row>
    <row r="13" spans="1:21" ht="15" customHeight="1" x14ac:dyDescent="0.3">
      <c r="A13" s="74">
        <v>3242</v>
      </c>
      <c r="B13" s="53"/>
      <c r="C13" s="8"/>
      <c r="D13" s="61"/>
      <c r="E13" s="61"/>
      <c r="F13" s="61"/>
      <c r="G13" s="61"/>
      <c r="H13" s="61"/>
      <c r="I13" s="57"/>
      <c r="J13" s="61"/>
      <c r="K13" s="57"/>
      <c r="L13" s="61"/>
      <c r="M13" s="22"/>
      <c r="N13" s="25"/>
      <c r="O13" s="53"/>
      <c r="P13" s="63"/>
    </row>
    <row r="14" spans="1:21" ht="15" customHeight="1" x14ac:dyDescent="0.3">
      <c r="A14" s="75">
        <v>3243</v>
      </c>
      <c r="B14" s="53"/>
      <c r="C14" s="8"/>
      <c r="D14" s="61"/>
      <c r="E14" s="61"/>
      <c r="F14" s="61"/>
      <c r="G14" s="61"/>
      <c r="H14" s="61"/>
      <c r="I14" s="57"/>
      <c r="J14" s="61"/>
      <c r="K14" s="57"/>
      <c r="L14" s="61"/>
      <c r="M14" s="22"/>
      <c r="N14" s="25"/>
      <c r="O14" s="53"/>
      <c r="P14" s="63"/>
    </row>
    <row r="15" spans="1:21" ht="15" customHeight="1" x14ac:dyDescent="0.3">
      <c r="A15" s="75">
        <v>3244</v>
      </c>
      <c r="B15" s="53"/>
      <c r="C15" s="8"/>
      <c r="D15" s="61"/>
      <c r="E15" s="61"/>
      <c r="F15" s="61"/>
      <c r="G15" s="61"/>
      <c r="H15" s="61"/>
      <c r="I15" s="57"/>
      <c r="J15" s="61"/>
      <c r="K15" s="57"/>
      <c r="L15" s="61"/>
      <c r="M15" s="22"/>
      <c r="N15" s="25"/>
      <c r="O15" s="53"/>
      <c r="P15" s="63"/>
    </row>
    <row r="16" spans="1:21" ht="15" customHeight="1" x14ac:dyDescent="0.3">
      <c r="A16" s="75">
        <v>3245</v>
      </c>
      <c r="B16" s="53"/>
      <c r="C16" s="8"/>
      <c r="D16" s="61"/>
      <c r="E16" s="61"/>
      <c r="F16" s="61"/>
      <c r="G16" s="61"/>
      <c r="H16" s="61"/>
      <c r="I16" s="57"/>
      <c r="J16" s="61"/>
      <c r="K16" s="57"/>
      <c r="L16" s="61"/>
      <c r="M16" s="22"/>
      <c r="N16" s="25"/>
      <c r="O16" s="53"/>
      <c r="P16" s="63"/>
    </row>
    <row r="17" spans="1:16" ht="15" customHeight="1" x14ac:dyDescent="0.3">
      <c r="A17" s="75">
        <v>3246</v>
      </c>
      <c r="B17" s="53"/>
      <c r="C17" s="8"/>
      <c r="D17" s="61"/>
      <c r="E17" s="61"/>
      <c r="F17" s="61"/>
      <c r="G17" s="61"/>
      <c r="H17" s="61"/>
      <c r="I17" s="57"/>
      <c r="J17" s="61"/>
      <c r="K17" s="57"/>
      <c r="L17" s="61"/>
      <c r="M17" s="22"/>
      <c r="N17" s="25"/>
      <c r="O17" s="53"/>
      <c r="P17" s="63"/>
    </row>
    <row r="18" spans="1:16" ht="15" customHeight="1" x14ac:dyDescent="0.3">
      <c r="A18" s="75">
        <v>3247</v>
      </c>
      <c r="B18" s="53"/>
      <c r="C18" s="8"/>
      <c r="D18" s="61"/>
      <c r="E18" s="61"/>
      <c r="F18" s="61"/>
      <c r="G18" s="61"/>
      <c r="H18" s="61"/>
      <c r="I18" s="57"/>
      <c r="J18" s="61"/>
      <c r="K18" s="57"/>
      <c r="L18" s="61"/>
      <c r="M18" s="22"/>
      <c r="N18" s="25"/>
      <c r="O18" s="53"/>
      <c r="P18" s="63"/>
    </row>
    <row r="19" spans="1:16" ht="15" customHeight="1" x14ac:dyDescent="0.3">
      <c r="A19" s="75">
        <v>3248</v>
      </c>
      <c r="B19" s="53"/>
      <c r="C19" s="8"/>
      <c r="D19" s="61"/>
      <c r="E19" s="61"/>
      <c r="F19" s="61"/>
      <c r="G19" s="61"/>
      <c r="H19" s="61"/>
      <c r="I19" s="57"/>
      <c r="J19" s="61"/>
      <c r="K19" s="57"/>
      <c r="L19" s="61"/>
      <c r="M19" s="22"/>
      <c r="N19" s="25"/>
      <c r="O19" s="53"/>
      <c r="P19" s="63"/>
    </row>
    <row r="20" spans="1:16" ht="15" customHeight="1" x14ac:dyDescent="0.3">
      <c r="A20" s="75">
        <v>3250</v>
      </c>
      <c r="B20" s="53"/>
      <c r="C20" s="8"/>
      <c r="D20" s="61"/>
      <c r="E20" s="61"/>
      <c r="F20" s="61"/>
      <c r="G20" s="61"/>
      <c r="H20" s="61"/>
      <c r="I20" s="57"/>
      <c r="J20" s="61"/>
      <c r="K20" s="57"/>
      <c r="L20" s="61"/>
      <c r="M20" s="22"/>
      <c r="N20" s="25"/>
      <c r="O20" s="53"/>
      <c r="P20" s="63"/>
    </row>
    <row r="21" spans="1:16" ht="15" customHeight="1" x14ac:dyDescent="0.3">
      <c r="A21" s="75">
        <v>3251</v>
      </c>
      <c r="B21" s="53"/>
      <c r="C21" s="8"/>
      <c r="D21" s="61"/>
      <c r="E21" s="61"/>
      <c r="F21" s="61"/>
      <c r="G21" s="61"/>
      <c r="H21" s="61"/>
      <c r="I21" s="57"/>
      <c r="J21" s="61"/>
      <c r="K21" s="57"/>
      <c r="L21" s="61"/>
      <c r="M21" s="22"/>
      <c r="N21" s="25"/>
      <c r="O21" s="53"/>
      <c r="P21" s="63"/>
    </row>
    <row r="22" spans="1:16" ht="15" customHeight="1" x14ac:dyDescent="0.3">
      <c r="A22" s="75">
        <v>3252</v>
      </c>
      <c r="B22" s="53"/>
      <c r="C22" s="8"/>
      <c r="D22" s="61"/>
      <c r="E22" s="61"/>
      <c r="F22" s="61"/>
      <c r="G22" s="61"/>
      <c r="H22" s="61"/>
      <c r="I22" s="57"/>
      <c r="J22" s="61"/>
      <c r="K22" s="57"/>
      <c r="L22" s="61"/>
      <c r="M22" s="22"/>
      <c r="N22" s="25"/>
      <c r="O22" s="53"/>
      <c r="P22" s="63"/>
    </row>
    <row r="23" spans="1:16" ht="15" customHeight="1" thickBot="1" x14ac:dyDescent="0.35">
      <c r="A23" s="76">
        <v>3253</v>
      </c>
      <c r="B23" s="53"/>
      <c r="C23" s="8"/>
      <c r="D23" s="61"/>
      <c r="E23" s="61"/>
      <c r="F23" s="61"/>
      <c r="G23" s="61"/>
      <c r="H23" s="61"/>
      <c r="I23" s="57"/>
      <c r="J23" s="61"/>
      <c r="K23" s="57"/>
      <c r="L23" s="61"/>
      <c r="M23" s="22"/>
      <c r="N23" s="25"/>
      <c r="O23" s="53"/>
      <c r="P23" s="63"/>
    </row>
    <row r="24" spans="1:16" ht="15" customHeight="1" x14ac:dyDescent="0.3">
      <c r="A24" s="74">
        <v>3254</v>
      </c>
      <c r="B24" s="53"/>
      <c r="C24" s="8"/>
      <c r="D24" s="61"/>
      <c r="E24" s="61"/>
      <c r="F24" s="61"/>
      <c r="G24" s="61"/>
      <c r="H24" s="61"/>
      <c r="I24" s="57"/>
      <c r="J24" s="61"/>
      <c r="K24" s="57"/>
      <c r="L24" s="61"/>
      <c r="M24" s="22"/>
      <c r="N24" s="25"/>
      <c r="O24" s="53"/>
      <c r="P24" s="63"/>
    </row>
    <row r="25" spans="1:16" ht="15" customHeight="1" x14ac:dyDescent="0.3">
      <c r="A25" s="75">
        <v>3255</v>
      </c>
      <c r="B25" s="53"/>
      <c r="C25" s="8"/>
      <c r="D25" s="61"/>
      <c r="E25" s="61"/>
      <c r="F25" s="61"/>
      <c r="G25" s="61"/>
      <c r="H25" s="61"/>
      <c r="I25" s="57"/>
      <c r="J25" s="61"/>
      <c r="K25" s="57"/>
      <c r="L25" s="61"/>
      <c r="M25" s="22"/>
      <c r="N25" s="25"/>
      <c r="O25" s="53"/>
      <c r="P25" s="63"/>
    </row>
    <row r="26" spans="1:16" ht="15" customHeight="1" x14ac:dyDescent="0.3">
      <c r="A26" s="75">
        <v>3256</v>
      </c>
      <c r="B26" s="53"/>
      <c r="C26" s="8"/>
      <c r="D26" s="61"/>
      <c r="E26" s="61"/>
      <c r="F26" s="61"/>
      <c r="G26" s="61"/>
      <c r="H26" s="61"/>
      <c r="I26" s="57"/>
      <c r="J26" s="61"/>
      <c r="K26" s="57"/>
      <c r="L26" s="61"/>
      <c r="M26" s="22"/>
      <c r="N26" s="25"/>
      <c r="O26" s="53"/>
      <c r="P26" s="63"/>
    </row>
    <row r="27" spans="1:16" ht="15" customHeight="1" x14ac:dyDescent="0.3">
      <c r="A27" s="75">
        <v>3258</v>
      </c>
      <c r="B27" s="53"/>
      <c r="C27" s="8"/>
      <c r="D27" s="61"/>
      <c r="E27" s="61"/>
      <c r="F27" s="61"/>
      <c r="G27" s="61"/>
      <c r="H27" s="61"/>
      <c r="I27" s="57"/>
      <c r="J27" s="61"/>
      <c r="K27" s="57"/>
      <c r="L27" s="61"/>
      <c r="M27" s="22"/>
      <c r="N27" s="25"/>
      <c r="O27" s="53"/>
      <c r="P27" s="63"/>
    </row>
    <row r="28" spans="1:16" ht="15" customHeight="1" x14ac:dyDescent="0.3">
      <c r="A28" s="75">
        <v>3259</v>
      </c>
      <c r="B28" s="53"/>
      <c r="C28" s="8"/>
      <c r="D28" s="61"/>
      <c r="E28" s="61"/>
      <c r="F28" s="61"/>
      <c r="G28" s="61"/>
      <c r="H28" s="61"/>
      <c r="I28" s="57"/>
      <c r="J28" s="61"/>
      <c r="K28" s="57"/>
      <c r="L28" s="61"/>
      <c r="M28" s="22"/>
      <c r="N28" s="25"/>
      <c r="O28" s="53"/>
      <c r="P28" s="63"/>
    </row>
    <row r="29" spans="1:16" ht="15" customHeight="1" x14ac:dyDescent="0.3">
      <c r="A29" s="75">
        <v>3260</v>
      </c>
      <c r="B29" s="53"/>
      <c r="C29" s="8"/>
      <c r="D29" s="61"/>
      <c r="E29" s="61"/>
      <c r="F29" s="61"/>
      <c r="G29" s="61"/>
      <c r="H29" s="61"/>
      <c r="I29" s="57"/>
      <c r="J29" s="61"/>
      <c r="K29" s="57"/>
      <c r="L29" s="61"/>
      <c r="M29" s="22"/>
      <c r="N29" s="25"/>
      <c r="O29" s="53"/>
      <c r="P29" s="63"/>
    </row>
    <row r="30" spans="1:16" ht="15" customHeight="1" x14ac:dyDescent="0.3">
      <c r="A30" s="75">
        <v>3261</v>
      </c>
      <c r="B30" s="53"/>
      <c r="C30" s="8"/>
      <c r="D30" s="61"/>
      <c r="E30" s="61"/>
      <c r="F30" s="61"/>
      <c r="G30" s="61"/>
      <c r="H30" s="61"/>
      <c r="I30" s="57"/>
      <c r="J30" s="61"/>
      <c r="K30" s="57"/>
      <c r="L30" s="61"/>
      <c r="M30" s="22"/>
      <c r="N30" s="25"/>
      <c r="O30" s="53"/>
      <c r="P30" s="63"/>
    </row>
    <row r="31" spans="1:16" ht="15" customHeight="1" x14ac:dyDescent="0.3">
      <c r="A31" s="75">
        <v>3262</v>
      </c>
      <c r="B31" s="53"/>
      <c r="C31" s="8"/>
      <c r="D31" s="61"/>
      <c r="E31" s="61"/>
      <c r="F31" s="61"/>
      <c r="G31" s="61"/>
      <c r="H31" s="61"/>
      <c r="I31" s="57"/>
      <c r="J31" s="61"/>
      <c r="K31" s="57"/>
      <c r="L31" s="61"/>
      <c r="M31" s="22"/>
      <c r="N31" s="25"/>
      <c r="O31" s="53"/>
      <c r="P31" s="63"/>
    </row>
    <row r="32" spans="1:16" ht="15" customHeight="1" x14ac:dyDescent="0.3">
      <c r="A32" s="75">
        <v>3263</v>
      </c>
      <c r="B32" s="53"/>
      <c r="C32" s="8"/>
      <c r="D32" s="61"/>
      <c r="E32" s="61"/>
      <c r="F32" s="61"/>
      <c r="G32" s="61"/>
      <c r="H32" s="61"/>
      <c r="I32" s="57"/>
      <c r="J32" s="61"/>
      <c r="K32" s="57"/>
      <c r="L32" s="61"/>
      <c r="M32" s="22"/>
      <c r="N32" s="25"/>
      <c r="O32" s="53"/>
      <c r="P32" s="63"/>
    </row>
    <row r="33" spans="1:16" ht="15" customHeight="1" x14ac:dyDescent="0.3">
      <c r="A33" s="75">
        <v>3264</v>
      </c>
      <c r="B33" s="53"/>
      <c r="C33" s="8"/>
      <c r="D33" s="61"/>
      <c r="E33" s="61"/>
      <c r="F33" s="61"/>
      <c r="G33" s="61"/>
      <c r="H33" s="61"/>
      <c r="I33" s="57"/>
      <c r="J33" s="61"/>
      <c r="K33" s="57"/>
      <c r="L33" s="61"/>
      <c r="M33" s="22"/>
      <c r="N33" s="25"/>
      <c r="O33" s="53"/>
      <c r="P33" s="63"/>
    </row>
    <row r="34" spans="1:16" ht="15" customHeight="1" thickBot="1" x14ac:dyDescent="0.35">
      <c r="A34" s="76">
        <v>3265</v>
      </c>
      <c r="B34" s="53"/>
      <c r="C34" s="8"/>
      <c r="D34" s="61"/>
      <c r="E34" s="61"/>
      <c r="F34" s="61"/>
      <c r="G34" s="61"/>
      <c r="H34" s="61"/>
      <c r="I34" s="57"/>
      <c r="J34" s="61"/>
      <c r="K34" s="57"/>
      <c r="L34" s="61"/>
      <c r="M34" s="22"/>
      <c r="N34" s="25"/>
      <c r="O34" s="53"/>
      <c r="P34" s="63"/>
    </row>
    <row r="35" spans="1:16" ht="15" customHeight="1" x14ac:dyDescent="0.3">
      <c r="A35" s="74">
        <v>3266</v>
      </c>
      <c r="B35" s="53"/>
      <c r="C35" s="8"/>
      <c r="D35" s="61"/>
      <c r="E35" s="61"/>
      <c r="F35" s="61"/>
      <c r="G35" s="61"/>
      <c r="H35" s="61"/>
      <c r="I35" s="57"/>
      <c r="J35" s="61"/>
      <c r="K35" s="57"/>
      <c r="L35" s="61"/>
      <c r="M35" s="22"/>
      <c r="N35" s="25"/>
      <c r="O35" s="53"/>
      <c r="P35" s="63"/>
    </row>
    <row r="36" spans="1:16" ht="15" customHeight="1" x14ac:dyDescent="0.3">
      <c r="A36" s="75">
        <v>3267</v>
      </c>
      <c r="B36" s="53"/>
      <c r="C36" s="8"/>
      <c r="D36" s="61"/>
      <c r="E36" s="61"/>
      <c r="F36" s="61"/>
      <c r="G36" s="61"/>
      <c r="H36" s="61"/>
      <c r="I36" s="57"/>
      <c r="J36" s="61"/>
      <c r="K36" s="57"/>
      <c r="L36" s="61"/>
      <c r="M36" s="22"/>
      <c r="N36" s="25"/>
      <c r="O36" s="53"/>
      <c r="P36" s="63"/>
    </row>
    <row r="37" spans="1:16" ht="15" customHeight="1" x14ac:dyDescent="0.3">
      <c r="A37" s="75">
        <v>3299</v>
      </c>
      <c r="B37" s="53"/>
      <c r="C37" s="8"/>
      <c r="D37" s="61"/>
      <c r="E37" s="61"/>
      <c r="F37" s="61"/>
      <c r="G37" s="61"/>
      <c r="H37" s="61"/>
      <c r="I37" s="57"/>
      <c r="J37" s="61"/>
      <c r="K37" s="57"/>
      <c r="L37" s="61"/>
      <c r="M37" s="22"/>
      <c r="N37" s="25"/>
      <c r="O37" s="53"/>
      <c r="P37" s="63"/>
    </row>
    <row r="38" spans="1:16" ht="15" customHeight="1" x14ac:dyDescent="0.3">
      <c r="A38" s="75">
        <v>3531</v>
      </c>
      <c r="B38" s="53"/>
      <c r="C38" s="8"/>
      <c r="D38" s="61"/>
      <c r="E38" s="61"/>
      <c r="F38" s="61"/>
      <c r="G38" s="61"/>
      <c r="H38" s="61"/>
      <c r="I38" s="57"/>
      <c r="J38" s="61"/>
      <c r="K38" s="57"/>
      <c r="L38" s="61"/>
      <c r="M38" s="22"/>
      <c r="N38" s="25"/>
      <c r="O38" s="53"/>
      <c r="P38" s="63"/>
    </row>
    <row r="39" spans="1:16" ht="15" customHeight="1" x14ac:dyDescent="0.3">
      <c r="A39" s="75">
        <v>3532</v>
      </c>
      <c r="B39" s="53"/>
      <c r="C39" s="8"/>
      <c r="D39" s="61"/>
      <c r="E39" s="61"/>
      <c r="F39" s="61"/>
      <c r="G39" s="61"/>
      <c r="H39" s="61"/>
      <c r="I39" s="57"/>
      <c r="J39" s="61"/>
      <c r="K39" s="57"/>
      <c r="L39" s="61"/>
      <c r="M39" s="22"/>
      <c r="N39" s="25"/>
      <c r="O39" s="53"/>
      <c r="P39" s="63"/>
    </row>
    <row r="40" spans="1:16" ht="15" customHeight="1" x14ac:dyDescent="0.3">
      <c r="A40" s="75">
        <v>3533</v>
      </c>
      <c r="B40" s="53"/>
      <c r="C40" s="8"/>
      <c r="D40" s="61"/>
      <c r="E40" s="61"/>
      <c r="F40" s="61"/>
      <c r="G40" s="61"/>
      <c r="H40" s="61"/>
      <c r="I40" s="57"/>
      <c r="J40" s="61"/>
      <c r="K40" s="57"/>
      <c r="L40" s="61"/>
      <c r="M40" s="22"/>
      <c r="N40" s="25"/>
      <c r="O40" s="53"/>
      <c r="P40" s="63"/>
    </row>
    <row r="41" spans="1:16" ht="15" customHeight="1" x14ac:dyDescent="0.3">
      <c r="A41" s="75">
        <v>3534</v>
      </c>
      <c r="B41" s="53"/>
      <c r="C41" s="8"/>
      <c r="D41" s="61"/>
      <c r="E41" s="61"/>
      <c r="F41" s="61"/>
      <c r="G41" s="61"/>
      <c r="H41" s="61"/>
      <c r="I41" s="57"/>
      <c r="J41" s="61"/>
      <c r="K41" s="57"/>
      <c r="L41" s="61"/>
      <c r="M41" s="22"/>
      <c r="N41" s="25"/>
      <c r="O41" s="53"/>
      <c r="P41" s="63"/>
    </row>
    <row r="42" spans="1:16" ht="15" customHeight="1" x14ac:dyDescent="0.3">
      <c r="A42" s="75">
        <v>3535</v>
      </c>
      <c r="B42" s="53"/>
      <c r="C42" s="8"/>
      <c r="D42" s="61"/>
      <c r="E42" s="61"/>
      <c r="F42" s="61"/>
      <c r="G42" s="61"/>
      <c r="H42" s="61"/>
      <c r="I42" s="57"/>
      <c r="J42" s="61"/>
      <c r="K42" s="57"/>
      <c r="L42" s="61"/>
      <c r="M42" s="22"/>
      <c r="N42" s="25"/>
      <c r="O42" s="53"/>
      <c r="P42" s="63"/>
    </row>
    <row r="43" spans="1:16" ht="15" customHeight="1" x14ac:dyDescent="0.3">
      <c r="A43" s="75">
        <v>3536</v>
      </c>
      <c r="B43" s="53"/>
      <c r="C43" s="8"/>
      <c r="D43" s="61"/>
      <c r="E43" s="61"/>
      <c r="F43" s="61"/>
      <c r="G43" s="61"/>
      <c r="H43" s="61"/>
      <c r="I43" s="57"/>
      <c r="J43" s="61"/>
      <c r="K43" s="57"/>
      <c r="L43" s="61"/>
      <c r="M43" s="22"/>
      <c r="N43" s="25"/>
      <c r="O43" s="53"/>
      <c r="P43" s="63"/>
    </row>
    <row r="44" spans="1:16" ht="15" customHeight="1" x14ac:dyDescent="0.3">
      <c r="A44" s="75">
        <v>3537</v>
      </c>
      <c r="B44" s="53"/>
      <c r="C44" s="8"/>
      <c r="D44" s="61"/>
      <c r="E44" s="61"/>
      <c r="F44" s="61"/>
      <c r="G44" s="61"/>
      <c r="H44" s="61"/>
      <c r="I44" s="57"/>
      <c r="J44" s="61"/>
      <c r="K44" s="57"/>
      <c r="L44" s="61"/>
      <c r="M44" s="22"/>
      <c r="N44" s="25"/>
      <c r="O44" s="53"/>
      <c r="P44" s="63"/>
    </row>
    <row r="45" spans="1:16" ht="15" customHeight="1" thickBot="1" x14ac:dyDescent="0.35">
      <c r="A45" s="76">
        <v>3538</v>
      </c>
      <c r="B45" s="53"/>
      <c r="C45" s="8"/>
      <c r="D45" s="61"/>
      <c r="E45" s="61"/>
      <c r="F45" s="61"/>
      <c r="G45" s="61"/>
      <c r="H45" s="61"/>
      <c r="I45" s="57"/>
      <c r="J45" s="61"/>
      <c r="K45" s="57"/>
      <c r="L45" s="61"/>
      <c r="M45" s="22"/>
      <c r="N45" s="25"/>
      <c r="O45" s="53"/>
      <c r="P45" s="63"/>
    </row>
    <row r="46" spans="1:16" ht="15" customHeight="1" x14ac:dyDescent="0.3">
      <c r="A46" s="74">
        <v>3540</v>
      </c>
      <c r="B46" s="53"/>
      <c r="C46" s="8"/>
      <c r="D46" s="61"/>
      <c r="E46" s="61"/>
      <c r="F46" s="61"/>
      <c r="G46" s="61"/>
      <c r="H46" s="61"/>
      <c r="I46" s="57"/>
      <c r="J46" s="61"/>
      <c r="K46" s="57"/>
      <c r="L46" s="61"/>
      <c r="M46" s="22"/>
      <c r="N46" s="25"/>
      <c r="O46" s="53"/>
      <c r="P46" s="63"/>
    </row>
    <row r="47" spans="1:16" ht="15" customHeight="1" x14ac:dyDescent="0.3">
      <c r="A47" s="75">
        <v>3541</v>
      </c>
      <c r="B47" s="53"/>
      <c r="C47" s="8"/>
      <c r="D47" s="61"/>
      <c r="E47" s="61"/>
      <c r="F47" s="61"/>
      <c r="G47" s="61"/>
      <c r="H47" s="61"/>
      <c r="I47" s="57"/>
      <c r="J47" s="61"/>
      <c r="K47" s="57"/>
      <c r="L47" s="61"/>
      <c r="M47" s="22"/>
      <c r="N47" s="25"/>
      <c r="O47" s="53"/>
      <c r="P47" s="63"/>
    </row>
    <row r="48" spans="1:16" ht="15" customHeight="1" x14ac:dyDescent="0.3">
      <c r="A48" s="75">
        <v>3542</v>
      </c>
      <c r="B48" s="53"/>
      <c r="C48" s="8"/>
      <c r="D48" s="61"/>
      <c r="E48" s="61"/>
      <c r="F48" s="61"/>
      <c r="G48" s="61"/>
      <c r="H48" s="61"/>
      <c r="I48" s="57"/>
      <c r="J48" s="61"/>
      <c r="K48" s="57"/>
      <c r="L48" s="61"/>
      <c r="M48" s="22"/>
      <c r="N48" s="25"/>
      <c r="O48" s="53"/>
      <c r="P48" s="63"/>
    </row>
    <row r="49" spans="1:16" ht="15" customHeight="1" x14ac:dyDescent="0.3">
      <c r="A49" s="75">
        <v>3543</v>
      </c>
      <c r="B49" s="53"/>
      <c r="C49" s="8"/>
      <c r="D49" s="61"/>
      <c r="E49" s="61"/>
      <c r="F49" s="61"/>
      <c r="G49" s="61"/>
      <c r="H49" s="61"/>
      <c r="I49" s="57"/>
      <c r="J49" s="61"/>
      <c r="K49" s="57"/>
      <c r="L49" s="61"/>
      <c r="M49" s="22"/>
      <c r="N49" s="25"/>
      <c r="O49" s="53"/>
      <c r="P49" s="63"/>
    </row>
    <row r="50" spans="1:16" ht="15" customHeight="1" x14ac:dyDescent="0.3">
      <c r="A50" s="75">
        <v>3544</v>
      </c>
      <c r="B50" s="53"/>
      <c r="C50" s="8"/>
      <c r="D50" s="61"/>
      <c r="E50" s="61"/>
      <c r="F50" s="61"/>
      <c r="G50" s="61"/>
      <c r="H50" s="61"/>
      <c r="I50" s="57"/>
      <c r="J50" s="61"/>
      <c r="K50" s="57"/>
      <c r="L50" s="61"/>
      <c r="M50" s="22"/>
      <c r="N50" s="25"/>
      <c r="O50" s="53"/>
      <c r="P50" s="63"/>
    </row>
    <row r="51" spans="1:16" ht="15" customHeight="1" x14ac:dyDescent="0.3">
      <c r="A51" s="75">
        <v>3545</v>
      </c>
      <c r="B51" s="53"/>
      <c r="C51" s="8"/>
      <c r="D51" s="61"/>
      <c r="E51" s="61"/>
      <c r="F51" s="61"/>
      <c r="G51" s="61"/>
      <c r="H51" s="61"/>
      <c r="I51" s="57"/>
      <c r="J51" s="61"/>
      <c r="K51" s="57"/>
      <c r="L51" s="61"/>
      <c r="M51" s="22"/>
      <c r="N51" s="25"/>
      <c r="O51" s="53"/>
      <c r="P51" s="63"/>
    </row>
    <row r="52" spans="1:16" ht="15" customHeight="1" x14ac:dyDescent="0.3">
      <c r="A52" s="75">
        <v>3546</v>
      </c>
      <c r="B52" s="53"/>
      <c r="C52" s="8"/>
      <c r="D52" s="61"/>
      <c r="E52" s="61"/>
      <c r="F52" s="61"/>
      <c r="G52" s="61"/>
      <c r="H52" s="61"/>
      <c r="I52" s="57"/>
      <c r="J52" s="61"/>
      <c r="K52" s="57"/>
      <c r="L52" s="61"/>
      <c r="M52" s="22"/>
      <c r="N52" s="25"/>
      <c r="O52" s="53"/>
      <c r="P52" s="63"/>
    </row>
    <row r="53" spans="1:16" ht="15" customHeight="1" x14ac:dyDescent="0.3">
      <c r="A53" s="75">
        <v>3547</v>
      </c>
      <c r="B53" s="53"/>
      <c r="C53" s="8"/>
      <c r="D53" s="61"/>
      <c r="E53" s="61"/>
      <c r="F53" s="61"/>
      <c r="G53" s="61"/>
      <c r="H53" s="61"/>
      <c r="I53" s="57"/>
      <c r="J53" s="61"/>
      <c r="K53" s="57"/>
      <c r="L53" s="61"/>
      <c r="M53" s="22"/>
      <c r="N53" s="25"/>
      <c r="O53" s="53"/>
      <c r="P53" s="63"/>
    </row>
    <row r="54" spans="1:16" ht="15" customHeight="1" x14ac:dyDescent="0.3">
      <c r="A54" s="75">
        <v>3548</v>
      </c>
      <c r="B54" s="53"/>
      <c r="C54" s="8"/>
      <c r="D54" s="61"/>
      <c r="E54" s="61"/>
      <c r="F54" s="61"/>
      <c r="G54" s="61"/>
      <c r="H54" s="61"/>
      <c r="I54" s="57"/>
      <c r="J54" s="61"/>
      <c r="K54" s="57"/>
      <c r="L54" s="61"/>
      <c r="M54" s="22"/>
      <c r="N54" s="25"/>
      <c r="O54" s="53"/>
      <c r="P54" s="63"/>
    </row>
    <row r="55" spans="1:16" ht="15" customHeight="1" x14ac:dyDescent="0.3">
      <c r="A55" s="75">
        <v>3549</v>
      </c>
      <c r="B55" s="53"/>
      <c r="C55" s="8"/>
      <c r="D55" s="61"/>
      <c r="E55" s="61"/>
      <c r="F55" s="61"/>
      <c r="G55" s="61"/>
      <c r="H55" s="61"/>
      <c r="I55" s="57"/>
      <c r="J55" s="61"/>
      <c r="K55" s="57"/>
      <c r="L55" s="61"/>
      <c r="M55" s="22"/>
      <c r="N55" s="25"/>
      <c r="O55" s="53"/>
      <c r="P55" s="63"/>
    </row>
    <row r="56" spans="1:16" ht="15" customHeight="1" thickBot="1" x14ac:dyDescent="0.35">
      <c r="A56" s="76">
        <v>3550</v>
      </c>
      <c r="B56" s="53"/>
      <c r="C56" s="8"/>
      <c r="D56" s="61"/>
      <c r="E56" s="61"/>
      <c r="F56" s="61"/>
      <c r="G56" s="61"/>
      <c r="H56" s="61"/>
      <c r="I56" s="57"/>
      <c r="J56" s="61"/>
      <c r="K56" s="57"/>
      <c r="L56" s="61"/>
      <c r="M56" s="22"/>
      <c r="N56" s="25"/>
      <c r="O56" s="53"/>
      <c r="P56" s="63"/>
    </row>
    <row r="57" spans="1:16" ht="15" customHeight="1" x14ac:dyDescent="0.3">
      <c r="A57" s="74">
        <v>3551</v>
      </c>
      <c r="B57" s="53"/>
      <c r="C57" s="8"/>
      <c r="D57" s="61"/>
      <c r="E57" s="61"/>
      <c r="F57" s="61"/>
      <c r="G57" s="61"/>
      <c r="H57" s="61"/>
      <c r="I57" s="57"/>
      <c r="J57" s="61"/>
      <c r="K57" s="57"/>
      <c r="L57" s="61"/>
      <c r="M57" s="22"/>
      <c r="N57" s="25"/>
      <c r="O57" s="53"/>
      <c r="P57" s="63"/>
    </row>
    <row r="58" spans="1:16" ht="15" customHeight="1" x14ac:dyDescent="0.3">
      <c r="A58" s="75">
        <v>3552</v>
      </c>
      <c r="B58" s="53"/>
      <c r="C58" s="8"/>
      <c r="D58" s="61"/>
      <c r="E58" s="61"/>
      <c r="F58" s="61"/>
      <c r="G58" s="61"/>
      <c r="H58" s="61"/>
      <c r="I58" s="57"/>
      <c r="J58" s="61"/>
      <c r="K58" s="57"/>
      <c r="L58" s="61"/>
      <c r="M58" s="22"/>
      <c r="N58" s="25"/>
      <c r="O58" s="53"/>
      <c r="P58" s="63"/>
    </row>
    <row r="59" spans="1:16" ht="15" customHeight="1" x14ac:dyDescent="0.3">
      <c r="A59" s="75">
        <v>3553</v>
      </c>
      <c r="B59" s="53"/>
      <c r="C59" s="8"/>
      <c r="D59" s="61"/>
      <c r="E59" s="61"/>
      <c r="F59" s="61"/>
      <c r="G59" s="61"/>
      <c r="H59" s="61"/>
      <c r="I59" s="57"/>
      <c r="J59" s="61"/>
      <c r="K59" s="57"/>
      <c r="L59" s="61"/>
      <c r="M59" s="22"/>
      <c r="N59" s="25"/>
      <c r="O59" s="53"/>
      <c r="P59" s="63"/>
    </row>
    <row r="60" spans="1:16" ht="15" customHeight="1" x14ac:dyDescent="0.3">
      <c r="A60" s="75">
        <v>3554</v>
      </c>
      <c r="B60" s="53"/>
      <c r="C60" s="8"/>
      <c r="D60" s="61"/>
      <c r="E60" s="61"/>
      <c r="F60" s="61"/>
      <c r="G60" s="61"/>
      <c r="H60" s="61"/>
      <c r="I60" s="57"/>
      <c r="J60" s="61"/>
      <c r="K60" s="57"/>
      <c r="L60" s="61"/>
      <c r="M60" s="22"/>
      <c r="N60" s="25"/>
      <c r="O60" s="53"/>
      <c r="P60" s="63"/>
    </row>
    <row r="61" spans="1:16" ht="15" customHeight="1" x14ac:dyDescent="0.3">
      <c r="A61" s="75">
        <v>3555</v>
      </c>
      <c r="B61" s="53"/>
      <c r="C61" s="8"/>
      <c r="D61" s="61"/>
      <c r="E61" s="61"/>
      <c r="F61" s="61"/>
      <c r="G61" s="61"/>
      <c r="H61" s="61"/>
      <c r="I61" s="57"/>
      <c r="J61" s="61"/>
      <c r="K61" s="57"/>
      <c r="L61" s="61"/>
      <c r="M61" s="22"/>
      <c r="N61" s="25"/>
      <c r="O61" s="53"/>
      <c r="P61" s="63"/>
    </row>
    <row r="62" spans="1:16" ht="15" customHeight="1" x14ac:dyDescent="0.3">
      <c r="A62" s="75">
        <v>3556</v>
      </c>
      <c r="B62" s="53"/>
      <c r="C62" s="8"/>
      <c r="D62" s="61"/>
      <c r="E62" s="61"/>
      <c r="F62" s="61"/>
      <c r="G62" s="61"/>
      <c r="H62" s="61"/>
      <c r="I62" s="57"/>
      <c r="J62" s="61"/>
      <c r="K62" s="57"/>
      <c r="L62" s="61"/>
      <c r="M62" s="22"/>
      <c r="N62" s="25"/>
      <c r="O62" s="53"/>
      <c r="P62" s="63"/>
    </row>
    <row r="63" spans="1:16" ht="15" customHeight="1" x14ac:dyDescent="0.3">
      <c r="A63" s="75">
        <v>3557</v>
      </c>
      <c r="B63" s="53"/>
      <c r="C63" s="8"/>
      <c r="D63" s="61"/>
      <c r="E63" s="61"/>
      <c r="F63" s="61"/>
      <c r="G63" s="61"/>
      <c r="H63" s="61"/>
      <c r="I63" s="57"/>
      <c r="J63" s="61"/>
      <c r="K63" s="57"/>
      <c r="L63" s="61"/>
      <c r="M63" s="22"/>
      <c r="N63" s="25"/>
      <c r="O63" s="53"/>
      <c r="P63" s="63"/>
    </row>
    <row r="64" spans="1:16" ht="15" customHeight="1" x14ac:dyDescent="0.3">
      <c r="A64" s="75">
        <v>3558</v>
      </c>
      <c r="B64" s="53"/>
      <c r="C64" s="8"/>
      <c r="D64" s="61"/>
      <c r="E64" s="61"/>
      <c r="F64" s="61"/>
      <c r="G64" s="61"/>
      <c r="H64" s="61"/>
      <c r="I64" s="57"/>
      <c r="J64" s="61"/>
      <c r="K64" s="57"/>
      <c r="L64" s="61"/>
      <c r="M64" s="22"/>
      <c r="N64" s="25"/>
      <c r="O64" s="53"/>
      <c r="P64" s="63"/>
    </row>
    <row r="65" spans="1:16" ht="15" customHeight="1" thickBot="1" x14ac:dyDescent="0.35">
      <c r="A65" s="75">
        <v>3559</v>
      </c>
      <c r="B65" s="53"/>
      <c r="C65" s="8"/>
      <c r="D65" s="61"/>
      <c r="E65" s="61"/>
      <c r="F65" s="61"/>
      <c r="G65" s="61"/>
      <c r="H65" s="61"/>
      <c r="I65" s="57"/>
      <c r="J65" s="61"/>
      <c r="K65" s="57"/>
      <c r="L65" s="61"/>
      <c r="M65" s="22"/>
      <c r="N65" s="25"/>
      <c r="O65" s="53"/>
      <c r="P65" s="63"/>
    </row>
    <row r="66" spans="1:16" ht="15" customHeight="1" x14ac:dyDescent="0.3">
      <c r="A66" s="77">
        <v>3560</v>
      </c>
      <c r="B66" s="53"/>
      <c r="C66" s="8"/>
      <c r="D66" s="61"/>
      <c r="E66" s="61"/>
      <c r="F66" s="61"/>
      <c r="G66" s="61"/>
      <c r="H66" s="61"/>
      <c r="I66" s="57"/>
      <c r="J66" s="61"/>
      <c r="K66" s="57"/>
      <c r="L66" s="61"/>
      <c r="M66" s="22"/>
      <c r="N66" s="25"/>
      <c r="O66" s="53"/>
      <c r="P66" s="63"/>
    </row>
    <row r="67" spans="1:16" ht="15" customHeight="1" x14ac:dyDescent="0.3">
      <c r="A67" s="78">
        <v>3561</v>
      </c>
      <c r="B67" s="53"/>
      <c r="C67" s="8"/>
      <c r="D67" s="61"/>
      <c r="E67" s="61"/>
      <c r="F67" s="61"/>
      <c r="G67" s="61"/>
      <c r="H67" s="61"/>
      <c r="I67" s="57"/>
      <c r="J67" s="61"/>
      <c r="K67" s="57"/>
      <c r="L67" s="61"/>
      <c r="M67" s="22"/>
      <c r="N67" s="25"/>
      <c r="O67" s="53"/>
      <c r="P67" s="63"/>
    </row>
    <row r="68" spans="1:16" ht="18.75" x14ac:dyDescent="0.3">
      <c r="A68" s="78">
        <v>3562</v>
      </c>
      <c r="B68" s="53"/>
      <c r="C68" s="8"/>
      <c r="D68" s="61"/>
      <c r="E68" s="61"/>
      <c r="F68" s="61"/>
      <c r="G68" s="61"/>
      <c r="H68" s="61"/>
      <c r="I68" s="57"/>
      <c r="J68" s="61"/>
      <c r="K68" s="57"/>
      <c r="L68" s="61"/>
      <c r="M68" s="22"/>
      <c r="N68" s="25"/>
      <c r="O68" s="53"/>
      <c r="P68" s="63"/>
    </row>
    <row r="69" spans="1:16" ht="18.75" x14ac:dyDescent="0.3">
      <c r="A69" s="78">
        <v>3563</v>
      </c>
      <c r="B69" s="53"/>
      <c r="C69" s="8"/>
      <c r="D69" s="61"/>
      <c r="E69" s="61"/>
      <c r="F69" s="61"/>
      <c r="G69" s="61"/>
      <c r="H69" s="61"/>
      <c r="I69" s="57"/>
      <c r="J69" s="61"/>
      <c r="K69" s="57"/>
      <c r="L69" s="61"/>
      <c r="M69" s="22"/>
      <c r="N69" s="25"/>
      <c r="O69" s="53"/>
      <c r="P69" s="63"/>
    </row>
    <row r="70" spans="1:16" ht="18.75" x14ac:dyDescent="0.3">
      <c r="A70" s="78">
        <v>3564</v>
      </c>
      <c r="B70" s="53">
        <v>45929</v>
      </c>
      <c r="C70" s="8"/>
      <c r="D70" s="61">
        <v>3</v>
      </c>
      <c r="E70" s="61">
        <v>41</v>
      </c>
      <c r="F70" s="61">
        <v>41</v>
      </c>
      <c r="G70" s="61">
        <v>0</v>
      </c>
      <c r="H70" s="61">
        <v>0</v>
      </c>
      <c r="I70" s="57"/>
      <c r="J70" s="61"/>
      <c r="K70" s="57"/>
      <c r="L70" s="61"/>
      <c r="M70" s="22" t="s">
        <v>24</v>
      </c>
      <c r="N70" s="25" t="s">
        <v>14</v>
      </c>
      <c r="O70" s="53">
        <v>45929</v>
      </c>
      <c r="P70" s="63">
        <v>3564</v>
      </c>
    </row>
    <row r="71" spans="1:16" ht="18.75" x14ac:dyDescent="0.3">
      <c r="A71" s="78">
        <v>3565</v>
      </c>
      <c r="B71" s="53"/>
      <c r="C71" s="8"/>
      <c r="D71" s="61"/>
      <c r="E71" s="61"/>
      <c r="F71" s="61"/>
      <c r="G71" s="61"/>
      <c r="H71" s="61"/>
      <c r="I71" s="57"/>
      <c r="J71" s="61"/>
      <c r="K71" s="57"/>
      <c r="L71" s="61"/>
      <c r="M71" s="22"/>
      <c r="N71" s="25"/>
      <c r="O71" s="53"/>
      <c r="P71" s="63"/>
    </row>
    <row r="72" spans="1:16" ht="18.75" x14ac:dyDescent="0.3">
      <c r="A72" s="78">
        <v>3566</v>
      </c>
      <c r="B72" s="53"/>
      <c r="C72" s="8"/>
      <c r="D72" s="61"/>
      <c r="E72" s="61"/>
      <c r="F72" s="61"/>
      <c r="G72" s="61"/>
      <c r="H72" s="61"/>
      <c r="I72" s="57"/>
      <c r="J72" s="61"/>
      <c r="K72" s="57"/>
      <c r="L72" s="61"/>
      <c r="M72" s="22"/>
      <c r="N72" s="25"/>
      <c r="O72" s="53"/>
      <c r="P72" s="63"/>
    </row>
    <row r="73" spans="1:16" ht="18.75" x14ac:dyDescent="0.3">
      <c r="A73" s="79">
        <v>3567</v>
      </c>
      <c r="B73" s="53"/>
      <c r="C73" s="8"/>
      <c r="D73" s="61"/>
      <c r="E73" s="61"/>
      <c r="F73" s="61"/>
      <c r="G73" s="61"/>
      <c r="H73" s="61"/>
      <c r="I73" s="57"/>
      <c r="J73" s="61"/>
      <c r="K73" s="57"/>
      <c r="L73" s="61"/>
      <c r="M73" s="22"/>
      <c r="N73" s="25"/>
      <c r="O73" s="53"/>
      <c r="P73" s="63"/>
    </row>
    <row r="74" spans="1:16" x14ac:dyDescent="0.25">
      <c r="P74" s="23"/>
    </row>
    <row r="75" spans="1:16" x14ac:dyDescent="0.25">
      <c r="P75" s="23"/>
    </row>
    <row r="76" spans="1:16" x14ac:dyDescent="0.25">
      <c r="P76" s="23"/>
    </row>
    <row r="77" spans="1:16" x14ac:dyDescent="0.25">
      <c r="P77" s="23"/>
    </row>
    <row r="78" spans="1:16" x14ac:dyDescent="0.25">
      <c r="P78" s="23"/>
    </row>
    <row r="79" spans="1:16" x14ac:dyDescent="0.25">
      <c r="P79" s="23"/>
    </row>
    <row r="80" spans="1:16" x14ac:dyDescent="0.25">
      <c r="P80" s="23"/>
    </row>
    <row r="81" spans="16:16" x14ac:dyDescent="0.25">
      <c r="P81" s="23"/>
    </row>
    <row r="82" spans="16:16" x14ac:dyDescent="0.25">
      <c r="P82" s="23"/>
    </row>
    <row r="83" spans="16:16" x14ac:dyDescent="0.25">
      <c r="P83" s="23"/>
    </row>
    <row r="84" spans="16:16" x14ac:dyDescent="0.25">
      <c r="P84" s="23"/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2:L73 P2:P73" xr:uid="{561633C9-C1CF-418D-853D-960F01F42250}">
      <formula1>0</formula1>
    </dataValidation>
    <dataValidation type="date" operator="greaterThanOrEqual" allowBlank="1" showInputMessage="1" showErrorMessage="1" sqref="B2:B73 I2:I73 K2:K73 O2:O73" xr:uid="{DBF3FF6F-DE8E-43D6-A5D2-0815B00846DC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3089D41-D82D-4C3D-AA31-D9B083CCC15A}">
          <x14:formula1>
            <xm:f>Inspected!$D$1</xm:f>
          </x14:formula1>
          <xm:sqref>C2:C73</xm:sqref>
        </x14:dataValidation>
        <x14:dataValidation type="list" allowBlank="1" showInputMessage="1" showErrorMessage="1" xr:uid="{7B361B1C-E434-49F6-91B9-C760A620947B}">
          <x14:formula1>
            <xm:f>Inspected!$A$1:$A$2</xm:f>
          </x14:formula1>
          <xm:sqref>M2:M73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3242D-8307-4595-9497-DA4716CD42BC}">
  <dimension ref="A1:U207"/>
  <sheetViews>
    <sheetView topLeftCell="A49" zoomScaleNormal="100" workbookViewId="0">
      <selection activeCell="B70" sqref="B70:P70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80" t="s">
        <v>0</v>
      </c>
      <c r="B1" s="34" t="s">
        <v>1</v>
      </c>
      <c r="C1" s="34" t="s">
        <v>26</v>
      </c>
      <c r="D1" s="35" t="s">
        <v>2</v>
      </c>
      <c r="E1" s="35" t="s">
        <v>3</v>
      </c>
      <c r="F1" s="35" t="s">
        <v>4</v>
      </c>
      <c r="G1" s="35" t="s">
        <v>5</v>
      </c>
      <c r="H1" s="35" t="s">
        <v>6</v>
      </c>
      <c r="I1" s="36" t="s">
        <v>7</v>
      </c>
      <c r="J1" s="36" t="s">
        <v>8</v>
      </c>
      <c r="K1" s="37" t="s">
        <v>9</v>
      </c>
      <c r="L1" s="37" t="s">
        <v>27</v>
      </c>
      <c r="M1" s="38" t="s">
        <v>10</v>
      </c>
      <c r="N1" s="39" t="s">
        <v>11</v>
      </c>
      <c r="O1" s="40" t="s">
        <v>12</v>
      </c>
      <c r="P1" s="41" t="s">
        <v>13</v>
      </c>
    </row>
    <row r="2" spans="1:21" ht="15" customHeight="1" x14ac:dyDescent="0.3">
      <c r="A2" s="71">
        <v>3231</v>
      </c>
      <c r="B2" s="53"/>
      <c r="C2" s="8"/>
      <c r="D2" s="61"/>
      <c r="E2" s="61"/>
      <c r="F2" s="61"/>
      <c r="G2" s="61"/>
      <c r="H2" s="61"/>
      <c r="I2" s="57"/>
      <c r="J2" s="61"/>
      <c r="K2" s="57"/>
      <c r="L2" s="61"/>
      <c r="M2" s="22"/>
      <c r="N2" s="25"/>
      <c r="O2" s="53"/>
      <c r="P2" s="63"/>
      <c r="R2" s="81" t="s">
        <v>15</v>
      </c>
      <c r="S2" s="82"/>
      <c r="T2" s="82"/>
      <c r="U2" s="83"/>
    </row>
    <row r="3" spans="1:21" ht="15" customHeight="1" x14ac:dyDescent="0.3">
      <c r="A3" s="72">
        <v>3232</v>
      </c>
      <c r="B3" s="53"/>
      <c r="C3" s="8"/>
      <c r="D3" s="61"/>
      <c r="E3" s="61"/>
      <c r="F3" s="61"/>
      <c r="G3" s="61"/>
      <c r="H3" s="61"/>
      <c r="I3" s="57"/>
      <c r="J3" s="61"/>
      <c r="K3" s="57"/>
      <c r="L3" s="61"/>
      <c r="M3" s="22"/>
      <c r="N3" s="25"/>
      <c r="O3" s="53"/>
      <c r="P3" s="63"/>
      <c r="R3" s="10" t="s">
        <v>16</v>
      </c>
      <c r="S3" s="11" t="s">
        <v>17</v>
      </c>
      <c r="T3" s="12" t="s">
        <v>18</v>
      </c>
      <c r="U3" s="13" t="s">
        <v>19</v>
      </c>
    </row>
    <row r="4" spans="1:21" ht="15" customHeight="1" thickBot="1" x14ac:dyDescent="0.35">
      <c r="A4" s="72">
        <v>3233</v>
      </c>
      <c r="B4" s="53"/>
      <c r="C4" s="8"/>
      <c r="D4" s="61"/>
      <c r="E4" s="61"/>
      <c r="F4" s="61"/>
      <c r="G4" s="61"/>
      <c r="H4" s="61"/>
      <c r="I4" s="57"/>
      <c r="J4" s="61"/>
      <c r="K4" s="57"/>
      <c r="L4" s="61"/>
      <c r="M4" s="22"/>
      <c r="N4" s="25"/>
      <c r="O4" s="53"/>
      <c r="P4" s="63"/>
      <c r="R4" s="14">
        <v>36</v>
      </c>
      <c r="S4" s="15">
        <f>COUNTA(A:A)-1</f>
        <v>72</v>
      </c>
      <c r="T4" s="15">
        <f>COUNTA(O:O)-1</f>
        <v>0</v>
      </c>
      <c r="U4" s="21">
        <f>T4/S4</f>
        <v>0</v>
      </c>
    </row>
    <row r="5" spans="1:21" ht="15" customHeight="1" x14ac:dyDescent="0.3">
      <c r="A5" s="72">
        <v>3234</v>
      </c>
      <c r="B5" s="53"/>
      <c r="C5" s="8"/>
      <c r="D5" s="61"/>
      <c r="E5" s="61"/>
      <c r="F5" s="61"/>
      <c r="G5" s="61"/>
      <c r="H5" s="61"/>
      <c r="I5" s="57"/>
      <c r="J5" s="61"/>
      <c r="K5" s="57"/>
      <c r="L5" s="61"/>
      <c r="M5" s="22"/>
      <c r="N5" s="25"/>
      <c r="O5" s="53"/>
      <c r="P5" s="63"/>
    </row>
    <row r="6" spans="1:21" ht="15" customHeight="1" x14ac:dyDescent="0.3">
      <c r="A6" s="72">
        <v>3235</v>
      </c>
      <c r="B6" s="53"/>
      <c r="C6" s="8"/>
      <c r="D6" s="61"/>
      <c r="E6" s="61"/>
      <c r="F6" s="61"/>
      <c r="G6" s="61"/>
      <c r="H6" s="61"/>
      <c r="I6" s="57"/>
      <c r="J6" s="61"/>
      <c r="K6" s="57"/>
      <c r="L6" s="61"/>
      <c r="M6" s="22"/>
      <c r="N6" s="25"/>
      <c r="O6" s="53"/>
      <c r="P6" s="63"/>
    </row>
    <row r="7" spans="1:21" ht="15" customHeight="1" x14ac:dyDescent="0.3">
      <c r="A7" s="72">
        <v>3236</v>
      </c>
      <c r="B7" s="53"/>
      <c r="C7" s="8"/>
      <c r="D7" s="61"/>
      <c r="E7" s="61"/>
      <c r="F7" s="61"/>
      <c r="G7" s="61"/>
      <c r="H7" s="61"/>
      <c r="I7" s="57"/>
      <c r="J7" s="61"/>
      <c r="K7" s="57"/>
      <c r="L7" s="61"/>
      <c r="M7" s="22"/>
      <c r="N7" s="25"/>
      <c r="O7" s="53"/>
      <c r="P7" s="63"/>
    </row>
    <row r="8" spans="1:21" ht="15" customHeight="1" x14ac:dyDescent="0.3">
      <c r="A8" s="72">
        <v>3237</v>
      </c>
      <c r="B8" s="53"/>
      <c r="C8" s="8"/>
      <c r="D8" s="61"/>
      <c r="E8" s="61"/>
      <c r="F8" s="61"/>
      <c r="G8" s="61"/>
      <c r="H8" s="61"/>
      <c r="I8" s="57"/>
      <c r="J8" s="61"/>
      <c r="K8" s="57"/>
      <c r="L8" s="61"/>
      <c r="M8" s="22"/>
      <c r="N8" s="25"/>
      <c r="O8" s="53"/>
      <c r="P8" s="63"/>
    </row>
    <row r="9" spans="1:21" ht="15" customHeight="1" x14ac:dyDescent="0.3">
      <c r="A9" s="72">
        <v>3238</v>
      </c>
      <c r="B9" s="53"/>
      <c r="C9" s="8"/>
      <c r="D9" s="61"/>
      <c r="E9" s="61"/>
      <c r="F9" s="61"/>
      <c r="G9" s="61"/>
      <c r="H9" s="61"/>
      <c r="I9" s="57"/>
      <c r="J9" s="61"/>
      <c r="K9" s="57"/>
      <c r="L9" s="61"/>
      <c r="M9" s="22"/>
      <c r="N9" s="25"/>
      <c r="O9" s="53"/>
      <c r="P9" s="63"/>
    </row>
    <row r="10" spans="1:21" ht="15" customHeight="1" x14ac:dyDescent="0.3">
      <c r="A10" s="72">
        <v>3239</v>
      </c>
      <c r="B10" s="53"/>
      <c r="C10" s="8"/>
      <c r="D10" s="61"/>
      <c r="E10" s="61"/>
      <c r="F10" s="61"/>
      <c r="G10" s="61"/>
      <c r="H10" s="61"/>
      <c r="I10" s="57"/>
      <c r="J10" s="61"/>
      <c r="K10" s="57"/>
      <c r="L10" s="61"/>
      <c r="M10" s="22"/>
      <c r="N10" s="25"/>
      <c r="O10" s="53"/>
      <c r="P10" s="63"/>
    </row>
    <row r="11" spans="1:21" ht="15" customHeight="1" x14ac:dyDescent="0.3">
      <c r="A11" s="72">
        <v>3240</v>
      </c>
      <c r="B11" s="53"/>
      <c r="C11" s="8"/>
      <c r="D11" s="61"/>
      <c r="E11" s="61"/>
      <c r="F11" s="61"/>
      <c r="G11" s="61"/>
      <c r="H11" s="61"/>
      <c r="I11" s="57"/>
      <c r="J11" s="61"/>
      <c r="K11" s="57"/>
      <c r="L11" s="61"/>
      <c r="M11" s="22"/>
      <c r="N11" s="25"/>
      <c r="O11" s="53"/>
      <c r="P11" s="63"/>
    </row>
    <row r="12" spans="1:21" ht="15" customHeight="1" thickBot="1" x14ac:dyDescent="0.35">
      <c r="A12" s="73">
        <v>3241</v>
      </c>
      <c r="B12" s="53"/>
      <c r="C12" s="8"/>
      <c r="D12" s="61"/>
      <c r="E12" s="61"/>
      <c r="F12" s="61"/>
      <c r="G12" s="61"/>
      <c r="H12" s="61"/>
      <c r="I12" s="57"/>
      <c r="J12" s="61"/>
      <c r="K12" s="57"/>
      <c r="L12" s="61"/>
      <c r="M12" s="22"/>
      <c r="N12" s="25"/>
      <c r="O12" s="53"/>
      <c r="P12" s="63"/>
    </row>
    <row r="13" spans="1:21" ht="15" customHeight="1" x14ac:dyDescent="0.3">
      <c r="A13" s="74">
        <v>3242</v>
      </c>
      <c r="B13" s="53"/>
      <c r="C13" s="8"/>
      <c r="D13" s="61"/>
      <c r="E13" s="61"/>
      <c r="F13" s="61"/>
      <c r="G13" s="61"/>
      <c r="H13" s="61"/>
      <c r="I13" s="57"/>
      <c r="J13" s="61"/>
      <c r="K13" s="57"/>
      <c r="L13" s="61"/>
      <c r="M13" s="22"/>
      <c r="N13" s="25"/>
      <c r="O13" s="53"/>
      <c r="P13" s="63"/>
    </row>
    <row r="14" spans="1:21" ht="15" customHeight="1" x14ac:dyDescent="0.3">
      <c r="A14" s="75">
        <v>3243</v>
      </c>
      <c r="B14" s="53"/>
      <c r="C14" s="8"/>
      <c r="D14" s="61"/>
      <c r="E14" s="61"/>
      <c r="F14" s="61"/>
      <c r="G14" s="61"/>
      <c r="H14" s="61"/>
      <c r="I14" s="57"/>
      <c r="J14" s="61"/>
      <c r="K14" s="57"/>
      <c r="L14" s="61"/>
      <c r="M14" s="22"/>
      <c r="N14" s="25"/>
      <c r="O14" s="53"/>
      <c r="P14" s="63"/>
    </row>
    <row r="15" spans="1:21" ht="15" customHeight="1" x14ac:dyDescent="0.3">
      <c r="A15" s="75">
        <v>3244</v>
      </c>
      <c r="B15" s="53"/>
      <c r="C15" s="8"/>
      <c r="D15" s="61"/>
      <c r="E15" s="61"/>
      <c r="F15" s="61"/>
      <c r="G15" s="61"/>
      <c r="H15" s="61"/>
      <c r="I15" s="57"/>
      <c r="J15" s="61"/>
      <c r="K15" s="57"/>
      <c r="L15" s="61"/>
      <c r="M15" s="22"/>
      <c r="N15" s="25"/>
      <c r="O15" s="53"/>
      <c r="P15" s="63"/>
    </row>
    <row r="16" spans="1:21" ht="15" customHeight="1" x14ac:dyDescent="0.3">
      <c r="A16" s="75">
        <v>3245</v>
      </c>
      <c r="B16" s="53"/>
      <c r="C16" s="8"/>
      <c r="D16" s="61"/>
      <c r="E16" s="61"/>
      <c r="F16" s="61"/>
      <c r="G16" s="61"/>
      <c r="H16" s="61"/>
      <c r="I16" s="57"/>
      <c r="J16" s="61"/>
      <c r="K16" s="57"/>
      <c r="L16" s="61"/>
      <c r="M16" s="22"/>
      <c r="N16" s="25"/>
      <c r="O16" s="53"/>
      <c r="P16" s="63"/>
    </row>
    <row r="17" spans="1:16" ht="15" customHeight="1" x14ac:dyDescent="0.3">
      <c r="A17" s="75">
        <v>3246</v>
      </c>
      <c r="B17" s="53"/>
      <c r="C17" s="8"/>
      <c r="D17" s="61"/>
      <c r="E17" s="61"/>
      <c r="F17" s="61"/>
      <c r="G17" s="61"/>
      <c r="H17" s="61"/>
      <c r="I17" s="57"/>
      <c r="J17" s="61"/>
      <c r="K17" s="57"/>
      <c r="L17" s="61"/>
      <c r="M17" s="22"/>
      <c r="N17" s="25"/>
      <c r="O17" s="53"/>
      <c r="P17" s="63"/>
    </row>
    <row r="18" spans="1:16" ht="15" customHeight="1" x14ac:dyDescent="0.3">
      <c r="A18" s="75">
        <v>3247</v>
      </c>
      <c r="B18" s="53"/>
      <c r="C18" s="8"/>
      <c r="D18" s="61"/>
      <c r="E18" s="61"/>
      <c r="F18" s="61"/>
      <c r="G18" s="61"/>
      <c r="H18" s="61"/>
      <c r="I18" s="57"/>
      <c r="J18" s="61"/>
      <c r="K18" s="57"/>
      <c r="L18" s="61"/>
      <c r="M18" s="22"/>
      <c r="N18" s="25"/>
      <c r="O18" s="53"/>
      <c r="P18" s="63"/>
    </row>
    <row r="19" spans="1:16" ht="15" customHeight="1" x14ac:dyDescent="0.3">
      <c r="A19" s="75">
        <v>3248</v>
      </c>
      <c r="B19" s="53"/>
      <c r="C19" s="8"/>
      <c r="D19" s="61"/>
      <c r="E19" s="61"/>
      <c r="F19" s="61"/>
      <c r="G19" s="61"/>
      <c r="H19" s="61"/>
      <c r="I19" s="57"/>
      <c r="J19" s="61"/>
      <c r="K19" s="57"/>
      <c r="L19" s="61"/>
      <c r="M19" s="22"/>
      <c r="N19" s="25"/>
      <c r="O19" s="53"/>
      <c r="P19" s="63"/>
    </row>
    <row r="20" spans="1:16" ht="15" customHeight="1" x14ac:dyDescent="0.3">
      <c r="A20" s="75">
        <v>3250</v>
      </c>
      <c r="B20" s="53"/>
      <c r="C20" s="8"/>
      <c r="D20" s="61"/>
      <c r="E20" s="61"/>
      <c r="F20" s="61"/>
      <c r="G20" s="61"/>
      <c r="H20" s="61"/>
      <c r="I20" s="57"/>
      <c r="J20" s="61"/>
      <c r="K20" s="57"/>
      <c r="L20" s="61"/>
      <c r="M20" s="22"/>
      <c r="N20" s="25"/>
      <c r="O20" s="53"/>
      <c r="P20" s="63"/>
    </row>
    <row r="21" spans="1:16" ht="15" customHeight="1" x14ac:dyDescent="0.3">
      <c r="A21" s="75">
        <v>3251</v>
      </c>
      <c r="B21" s="53"/>
      <c r="C21" s="8"/>
      <c r="D21" s="61"/>
      <c r="E21" s="61"/>
      <c r="F21" s="61"/>
      <c r="G21" s="61"/>
      <c r="H21" s="61"/>
      <c r="I21" s="57"/>
      <c r="J21" s="61"/>
      <c r="K21" s="57"/>
      <c r="L21" s="61"/>
      <c r="M21" s="22"/>
      <c r="N21" s="25"/>
      <c r="O21" s="53"/>
      <c r="P21" s="63"/>
    </row>
    <row r="22" spans="1:16" ht="15" customHeight="1" x14ac:dyDescent="0.3">
      <c r="A22" s="75">
        <v>3252</v>
      </c>
      <c r="B22" s="53"/>
      <c r="C22" s="8"/>
      <c r="D22" s="61"/>
      <c r="E22" s="61"/>
      <c r="F22" s="61"/>
      <c r="G22" s="61"/>
      <c r="H22" s="61"/>
      <c r="I22" s="57"/>
      <c r="J22" s="61"/>
      <c r="K22" s="57"/>
      <c r="L22" s="61"/>
      <c r="M22" s="22"/>
      <c r="N22" s="25"/>
      <c r="O22" s="53"/>
      <c r="P22" s="63"/>
    </row>
    <row r="23" spans="1:16" ht="15" customHeight="1" thickBot="1" x14ac:dyDescent="0.35">
      <c r="A23" s="76">
        <v>3253</v>
      </c>
      <c r="B23" s="53"/>
      <c r="C23" s="8"/>
      <c r="D23" s="61"/>
      <c r="E23" s="61"/>
      <c r="F23" s="61"/>
      <c r="G23" s="61"/>
      <c r="H23" s="61"/>
      <c r="I23" s="57"/>
      <c r="J23" s="61"/>
      <c r="K23" s="57"/>
      <c r="L23" s="61"/>
      <c r="M23" s="22"/>
      <c r="N23" s="25"/>
      <c r="O23" s="53"/>
      <c r="P23" s="63"/>
    </row>
    <row r="24" spans="1:16" ht="15" customHeight="1" x14ac:dyDescent="0.3">
      <c r="A24" s="74">
        <v>3254</v>
      </c>
      <c r="B24" s="53"/>
      <c r="C24" s="8"/>
      <c r="D24" s="61"/>
      <c r="E24" s="61"/>
      <c r="F24" s="61"/>
      <c r="G24" s="61"/>
      <c r="H24" s="61"/>
      <c r="I24" s="57"/>
      <c r="J24" s="61"/>
      <c r="K24" s="57"/>
      <c r="L24" s="61"/>
      <c r="M24" s="22"/>
      <c r="N24" s="25"/>
      <c r="O24" s="53"/>
      <c r="P24" s="63"/>
    </row>
    <row r="25" spans="1:16" ht="15" customHeight="1" x14ac:dyDescent="0.3">
      <c r="A25" s="75">
        <v>3255</v>
      </c>
      <c r="B25" s="53"/>
      <c r="C25" s="8"/>
      <c r="D25" s="61"/>
      <c r="E25" s="61"/>
      <c r="F25" s="61"/>
      <c r="G25" s="61"/>
      <c r="H25" s="61"/>
      <c r="I25" s="57"/>
      <c r="J25" s="61"/>
      <c r="K25" s="57"/>
      <c r="L25" s="61"/>
      <c r="M25" s="22"/>
      <c r="N25" s="25"/>
      <c r="O25" s="53"/>
      <c r="P25" s="63"/>
    </row>
    <row r="26" spans="1:16" ht="15" customHeight="1" x14ac:dyDescent="0.3">
      <c r="A26" s="75">
        <v>3256</v>
      </c>
      <c r="B26" s="53"/>
      <c r="C26" s="8"/>
      <c r="D26" s="61"/>
      <c r="E26" s="61"/>
      <c r="F26" s="61"/>
      <c r="G26" s="61"/>
      <c r="H26" s="61"/>
      <c r="I26" s="57"/>
      <c r="J26" s="61"/>
      <c r="K26" s="57"/>
      <c r="L26" s="61"/>
      <c r="M26" s="22"/>
      <c r="N26" s="25"/>
      <c r="O26" s="53"/>
      <c r="P26" s="63"/>
    </row>
    <row r="27" spans="1:16" ht="15" customHeight="1" x14ac:dyDescent="0.3">
      <c r="A27" s="75">
        <v>3258</v>
      </c>
      <c r="B27" s="53"/>
      <c r="C27" s="8"/>
      <c r="D27" s="61"/>
      <c r="E27" s="61"/>
      <c r="F27" s="61"/>
      <c r="G27" s="61"/>
      <c r="H27" s="61"/>
      <c r="I27" s="57"/>
      <c r="J27" s="61"/>
      <c r="K27" s="57"/>
      <c r="L27" s="61"/>
      <c r="M27" s="22"/>
      <c r="N27" s="25"/>
      <c r="O27" s="53"/>
      <c r="P27" s="63"/>
    </row>
    <row r="28" spans="1:16" ht="15" customHeight="1" x14ac:dyDescent="0.3">
      <c r="A28" s="75">
        <v>3259</v>
      </c>
      <c r="B28" s="53"/>
      <c r="C28" s="8"/>
      <c r="D28" s="61"/>
      <c r="E28" s="61"/>
      <c r="F28" s="61"/>
      <c r="G28" s="61"/>
      <c r="H28" s="61"/>
      <c r="I28" s="57"/>
      <c r="J28" s="61"/>
      <c r="K28" s="57"/>
      <c r="L28" s="61"/>
      <c r="M28" s="22"/>
      <c r="N28" s="25"/>
      <c r="O28" s="53"/>
      <c r="P28" s="63"/>
    </row>
    <row r="29" spans="1:16" ht="15" customHeight="1" x14ac:dyDescent="0.3">
      <c r="A29" s="75">
        <v>3260</v>
      </c>
      <c r="B29" s="53"/>
      <c r="C29" s="8"/>
      <c r="D29" s="61"/>
      <c r="E29" s="61"/>
      <c r="F29" s="61"/>
      <c r="G29" s="61"/>
      <c r="H29" s="61"/>
      <c r="I29" s="57"/>
      <c r="J29" s="61"/>
      <c r="K29" s="57"/>
      <c r="L29" s="61"/>
      <c r="M29" s="22"/>
      <c r="N29" s="25"/>
      <c r="O29" s="53"/>
      <c r="P29" s="63"/>
    </row>
    <row r="30" spans="1:16" ht="15" customHeight="1" x14ac:dyDescent="0.3">
      <c r="A30" s="75">
        <v>3261</v>
      </c>
      <c r="B30" s="53"/>
      <c r="C30" s="8"/>
      <c r="D30" s="61"/>
      <c r="E30" s="61"/>
      <c r="F30" s="61"/>
      <c r="G30" s="61"/>
      <c r="H30" s="61"/>
      <c r="I30" s="57"/>
      <c r="J30" s="61"/>
      <c r="K30" s="57"/>
      <c r="L30" s="61"/>
      <c r="M30" s="22"/>
      <c r="N30" s="25"/>
      <c r="O30" s="53"/>
      <c r="P30" s="63"/>
    </row>
    <row r="31" spans="1:16" ht="15" customHeight="1" x14ac:dyDescent="0.3">
      <c r="A31" s="75">
        <v>3262</v>
      </c>
      <c r="B31" s="53"/>
      <c r="C31" s="8"/>
      <c r="D31" s="61"/>
      <c r="E31" s="61"/>
      <c r="F31" s="61"/>
      <c r="G31" s="61"/>
      <c r="H31" s="61"/>
      <c r="I31" s="57"/>
      <c r="J31" s="61"/>
      <c r="K31" s="57"/>
      <c r="L31" s="61"/>
      <c r="M31" s="22"/>
      <c r="N31" s="25"/>
      <c r="O31" s="53"/>
      <c r="P31" s="63"/>
    </row>
    <row r="32" spans="1:16" ht="15" customHeight="1" x14ac:dyDescent="0.3">
      <c r="A32" s="75">
        <v>3263</v>
      </c>
      <c r="B32" s="53"/>
      <c r="C32" s="8"/>
      <c r="D32" s="61"/>
      <c r="E32" s="61"/>
      <c r="F32" s="61"/>
      <c r="G32" s="61"/>
      <c r="H32" s="61"/>
      <c r="I32" s="57"/>
      <c r="J32" s="61"/>
      <c r="K32" s="57"/>
      <c r="L32" s="61"/>
      <c r="M32" s="22"/>
      <c r="N32" s="25"/>
      <c r="O32" s="53"/>
      <c r="P32" s="63"/>
    </row>
    <row r="33" spans="1:16" ht="15" customHeight="1" x14ac:dyDescent="0.3">
      <c r="A33" s="75">
        <v>3264</v>
      </c>
      <c r="B33" s="53"/>
      <c r="C33" s="8"/>
      <c r="D33" s="61"/>
      <c r="E33" s="61"/>
      <c r="F33" s="61"/>
      <c r="G33" s="61"/>
      <c r="H33" s="61"/>
      <c r="I33" s="57"/>
      <c r="J33" s="61"/>
      <c r="K33" s="57"/>
      <c r="L33" s="61"/>
      <c r="M33" s="22"/>
      <c r="N33" s="25"/>
      <c r="O33" s="53"/>
      <c r="P33" s="63"/>
    </row>
    <row r="34" spans="1:16" ht="15" customHeight="1" thickBot="1" x14ac:dyDescent="0.35">
      <c r="A34" s="76">
        <v>3265</v>
      </c>
      <c r="B34" s="53"/>
      <c r="C34" s="8"/>
      <c r="D34" s="61"/>
      <c r="E34" s="61"/>
      <c r="F34" s="61"/>
      <c r="G34" s="61"/>
      <c r="H34" s="61"/>
      <c r="I34" s="57"/>
      <c r="J34" s="61"/>
      <c r="K34" s="57"/>
      <c r="L34" s="61"/>
      <c r="M34" s="22"/>
      <c r="N34" s="25"/>
      <c r="O34" s="53"/>
      <c r="P34" s="63"/>
    </row>
    <row r="35" spans="1:16" ht="15" customHeight="1" x14ac:dyDescent="0.3">
      <c r="A35" s="74">
        <v>3266</v>
      </c>
      <c r="B35" s="53"/>
      <c r="C35" s="8"/>
      <c r="D35" s="61"/>
      <c r="E35" s="61"/>
      <c r="F35" s="61"/>
      <c r="G35" s="61"/>
      <c r="H35" s="61"/>
      <c r="I35" s="57"/>
      <c r="J35" s="61"/>
      <c r="K35" s="57"/>
      <c r="L35" s="61"/>
      <c r="M35" s="22"/>
      <c r="N35" s="25"/>
      <c r="O35" s="53"/>
      <c r="P35" s="63"/>
    </row>
    <row r="36" spans="1:16" ht="15" customHeight="1" x14ac:dyDescent="0.3">
      <c r="A36" s="75">
        <v>3267</v>
      </c>
      <c r="B36" s="53"/>
      <c r="C36" s="8"/>
      <c r="D36" s="61"/>
      <c r="E36" s="61"/>
      <c r="F36" s="61"/>
      <c r="G36" s="61"/>
      <c r="H36" s="61"/>
      <c r="I36" s="57"/>
      <c r="J36" s="61"/>
      <c r="K36" s="57"/>
      <c r="L36" s="61"/>
      <c r="M36" s="22"/>
      <c r="N36" s="25"/>
      <c r="O36" s="53"/>
      <c r="P36" s="63"/>
    </row>
    <row r="37" spans="1:16" ht="15" customHeight="1" x14ac:dyDescent="0.3">
      <c r="A37" s="75">
        <v>3299</v>
      </c>
      <c r="B37" s="53"/>
      <c r="C37" s="8"/>
      <c r="D37" s="61"/>
      <c r="E37" s="61"/>
      <c r="F37" s="61"/>
      <c r="G37" s="61"/>
      <c r="H37" s="61"/>
      <c r="I37" s="57"/>
      <c r="J37" s="61"/>
      <c r="K37" s="57"/>
      <c r="L37" s="61"/>
      <c r="M37" s="22"/>
      <c r="N37" s="25"/>
      <c r="O37" s="53"/>
      <c r="P37" s="63"/>
    </row>
    <row r="38" spans="1:16" ht="15" customHeight="1" x14ac:dyDescent="0.3">
      <c r="A38" s="75">
        <v>3531</v>
      </c>
      <c r="B38" s="53"/>
      <c r="C38" s="8"/>
      <c r="D38" s="61"/>
      <c r="E38" s="61"/>
      <c r="F38" s="61"/>
      <c r="G38" s="61"/>
      <c r="H38" s="61"/>
      <c r="I38" s="57"/>
      <c r="J38" s="61"/>
      <c r="K38" s="57"/>
      <c r="L38" s="61"/>
      <c r="M38" s="22"/>
      <c r="N38" s="25"/>
      <c r="O38" s="53"/>
      <c r="P38" s="63"/>
    </row>
    <row r="39" spans="1:16" ht="15" customHeight="1" x14ac:dyDescent="0.3">
      <c r="A39" s="75">
        <v>3532</v>
      </c>
      <c r="B39" s="53"/>
      <c r="C39" s="8"/>
      <c r="D39" s="61"/>
      <c r="E39" s="61"/>
      <c r="F39" s="61"/>
      <c r="G39" s="61"/>
      <c r="H39" s="61"/>
      <c r="I39" s="57"/>
      <c r="J39" s="61"/>
      <c r="K39" s="57"/>
      <c r="L39" s="61"/>
      <c r="M39" s="22"/>
      <c r="N39" s="25"/>
      <c r="O39" s="53"/>
      <c r="P39" s="63"/>
    </row>
    <row r="40" spans="1:16" ht="15" customHeight="1" x14ac:dyDescent="0.3">
      <c r="A40" s="75">
        <v>3533</v>
      </c>
      <c r="B40" s="53"/>
      <c r="C40" s="8"/>
      <c r="D40" s="61"/>
      <c r="E40" s="61"/>
      <c r="F40" s="61"/>
      <c r="G40" s="61"/>
      <c r="H40" s="61"/>
      <c r="I40" s="57"/>
      <c r="J40" s="61"/>
      <c r="K40" s="57"/>
      <c r="L40" s="61"/>
      <c r="M40" s="22"/>
      <c r="N40" s="25"/>
      <c r="O40" s="53"/>
      <c r="P40" s="63"/>
    </row>
    <row r="41" spans="1:16" ht="15" customHeight="1" x14ac:dyDescent="0.3">
      <c r="A41" s="75">
        <v>3534</v>
      </c>
      <c r="B41" s="53"/>
      <c r="C41" s="8"/>
      <c r="D41" s="61"/>
      <c r="E41" s="61"/>
      <c r="F41" s="61"/>
      <c r="G41" s="61"/>
      <c r="H41" s="61"/>
      <c r="I41" s="57"/>
      <c r="J41" s="61"/>
      <c r="K41" s="57"/>
      <c r="L41" s="61"/>
      <c r="M41" s="22"/>
      <c r="N41" s="25"/>
      <c r="O41" s="53"/>
      <c r="P41" s="63"/>
    </row>
    <row r="42" spans="1:16" ht="15" customHeight="1" x14ac:dyDescent="0.3">
      <c r="A42" s="75">
        <v>3535</v>
      </c>
      <c r="B42" s="53"/>
      <c r="C42" s="8"/>
      <c r="D42" s="61"/>
      <c r="E42" s="61"/>
      <c r="F42" s="61"/>
      <c r="G42" s="61"/>
      <c r="H42" s="61"/>
      <c r="I42" s="57"/>
      <c r="J42" s="61"/>
      <c r="K42" s="57"/>
      <c r="L42" s="61"/>
      <c r="M42" s="22"/>
      <c r="N42" s="25"/>
      <c r="O42" s="53"/>
      <c r="P42" s="63"/>
    </row>
    <row r="43" spans="1:16" ht="15" customHeight="1" x14ac:dyDescent="0.3">
      <c r="A43" s="75">
        <v>3536</v>
      </c>
      <c r="B43" s="53"/>
      <c r="C43" s="8"/>
      <c r="D43" s="61"/>
      <c r="E43" s="61"/>
      <c r="F43" s="61"/>
      <c r="G43" s="61"/>
      <c r="H43" s="61"/>
      <c r="I43" s="57"/>
      <c r="J43" s="61"/>
      <c r="K43" s="57"/>
      <c r="L43" s="61"/>
      <c r="M43" s="22"/>
      <c r="N43" s="25"/>
      <c r="O43" s="53"/>
      <c r="P43" s="63"/>
    </row>
    <row r="44" spans="1:16" ht="15" customHeight="1" x14ac:dyDescent="0.3">
      <c r="A44" s="75">
        <v>3537</v>
      </c>
      <c r="B44" s="53"/>
      <c r="C44" s="8"/>
      <c r="D44" s="61"/>
      <c r="E44" s="61"/>
      <c r="F44" s="61"/>
      <c r="G44" s="61"/>
      <c r="H44" s="61"/>
      <c r="I44" s="57"/>
      <c r="J44" s="61"/>
      <c r="K44" s="57"/>
      <c r="L44" s="61"/>
      <c r="M44" s="22"/>
      <c r="N44" s="25"/>
      <c r="O44" s="53"/>
      <c r="P44" s="63"/>
    </row>
    <row r="45" spans="1:16" ht="15" customHeight="1" thickBot="1" x14ac:dyDescent="0.35">
      <c r="A45" s="76">
        <v>3538</v>
      </c>
      <c r="B45" s="53"/>
      <c r="C45" s="8"/>
      <c r="D45" s="61"/>
      <c r="E45" s="61"/>
      <c r="F45" s="61"/>
      <c r="G45" s="61"/>
      <c r="H45" s="61"/>
      <c r="I45" s="57"/>
      <c r="J45" s="61"/>
      <c r="K45" s="57"/>
      <c r="L45" s="61"/>
      <c r="M45" s="22"/>
      <c r="N45" s="25"/>
      <c r="O45" s="53"/>
      <c r="P45" s="63"/>
    </row>
    <row r="46" spans="1:16" ht="15" customHeight="1" x14ac:dyDescent="0.3">
      <c r="A46" s="74">
        <v>3540</v>
      </c>
      <c r="B46" s="53"/>
      <c r="C46" s="8"/>
      <c r="D46" s="61"/>
      <c r="E46" s="61"/>
      <c r="F46" s="61"/>
      <c r="G46" s="61"/>
      <c r="H46" s="61"/>
      <c r="I46" s="57"/>
      <c r="J46" s="61"/>
      <c r="K46" s="57"/>
      <c r="L46" s="61"/>
      <c r="M46" s="22"/>
      <c r="N46" s="25"/>
      <c r="O46" s="53"/>
      <c r="P46" s="63"/>
    </row>
    <row r="47" spans="1:16" ht="15" customHeight="1" x14ac:dyDescent="0.3">
      <c r="A47" s="75">
        <v>3541</v>
      </c>
      <c r="B47" s="53"/>
      <c r="C47" s="8"/>
      <c r="D47" s="61"/>
      <c r="E47" s="61"/>
      <c r="F47" s="61"/>
      <c r="G47" s="61"/>
      <c r="H47" s="61"/>
      <c r="I47" s="57"/>
      <c r="J47" s="61"/>
      <c r="K47" s="57"/>
      <c r="L47" s="61"/>
      <c r="M47" s="22"/>
      <c r="N47" s="25"/>
      <c r="O47" s="53"/>
      <c r="P47" s="63"/>
    </row>
    <row r="48" spans="1:16" ht="15" customHeight="1" x14ac:dyDescent="0.3">
      <c r="A48" s="75">
        <v>3542</v>
      </c>
      <c r="B48" s="53"/>
      <c r="C48" s="8"/>
      <c r="D48" s="61"/>
      <c r="E48" s="61"/>
      <c r="F48" s="61"/>
      <c r="G48" s="61"/>
      <c r="H48" s="61"/>
      <c r="I48" s="57"/>
      <c r="J48" s="61"/>
      <c r="K48" s="57"/>
      <c r="L48" s="61"/>
      <c r="M48" s="22"/>
      <c r="N48" s="25"/>
      <c r="O48" s="53"/>
      <c r="P48" s="63"/>
    </row>
    <row r="49" spans="1:16" ht="15" customHeight="1" x14ac:dyDescent="0.3">
      <c r="A49" s="75">
        <v>3543</v>
      </c>
      <c r="B49" s="53"/>
      <c r="C49" s="8"/>
      <c r="D49" s="61"/>
      <c r="E49" s="61"/>
      <c r="F49" s="61"/>
      <c r="G49" s="61"/>
      <c r="H49" s="61"/>
      <c r="I49" s="57"/>
      <c r="J49" s="61"/>
      <c r="K49" s="57"/>
      <c r="L49" s="61"/>
      <c r="M49" s="22"/>
      <c r="N49" s="25"/>
      <c r="O49" s="53"/>
      <c r="P49" s="63"/>
    </row>
    <row r="50" spans="1:16" ht="15" customHeight="1" x14ac:dyDescent="0.3">
      <c r="A50" s="75">
        <v>3544</v>
      </c>
      <c r="B50" s="53"/>
      <c r="C50" s="8"/>
      <c r="D50" s="61"/>
      <c r="E50" s="61"/>
      <c r="F50" s="61"/>
      <c r="G50" s="61"/>
      <c r="H50" s="61"/>
      <c r="I50" s="57"/>
      <c r="J50" s="61"/>
      <c r="K50" s="57"/>
      <c r="L50" s="61"/>
      <c r="M50" s="22"/>
      <c r="N50" s="25"/>
      <c r="O50" s="53"/>
      <c r="P50" s="63"/>
    </row>
    <row r="51" spans="1:16" ht="15" customHeight="1" x14ac:dyDescent="0.3">
      <c r="A51" s="75">
        <v>3545</v>
      </c>
      <c r="B51" s="53"/>
      <c r="C51" s="8"/>
      <c r="D51" s="61"/>
      <c r="E51" s="61"/>
      <c r="F51" s="61"/>
      <c r="G51" s="61"/>
      <c r="H51" s="61"/>
      <c r="I51" s="57"/>
      <c r="J51" s="61"/>
      <c r="K51" s="57"/>
      <c r="L51" s="61"/>
      <c r="M51" s="22"/>
      <c r="N51" s="25"/>
      <c r="O51" s="53"/>
      <c r="P51" s="63"/>
    </row>
    <row r="52" spans="1:16" ht="15" customHeight="1" x14ac:dyDescent="0.3">
      <c r="A52" s="75">
        <v>3546</v>
      </c>
      <c r="B52" s="53"/>
      <c r="C52" s="8"/>
      <c r="D52" s="61"/>
      <c r="E52" s="61"/>
      <c r="F52" s="61"/>
      <c r="G52" s="61"/>
      <c r="H52" s="61"/>
      <c r="I52" s="57"/>
      <c r="J52" s="61"/>
      <c r="K52" s="57"/>
      <c r="L52" s="61"/>
      <c r="M52" s="22"/>
      <c r="N52" s="25"/>
      <c r="O52" s="53"/>
      <c r="P52" s="63"/>
    </row>
    <row r="53" spans="1:16" ht="15" customHeight="1" x14ac:dyDescent="0.3">
      <c r="A53" s="75">
        <v>3547</v>
      </c>
      <c r="B53" s="53"/>
      <c r="C53" s="8"/>
      <c r="D53" s="61"/>
      <c r="E53" s="61"/>
      <c r="F53" s="61"/>
      <c r="G53" s="61"/>
      <c r="H53" s="61"/>
      <c r="I53" s="57"/>
      <c r="J53" s="61"/>
      <c r="K53" s="57"/>
      <c r="L53" s="61"/>
      <c r="M53" s="22"/>
      <c r="N53" s="25"/>
      <c r="O53" s="53"/>
      <c r="P53" s="63"/>
    </row>
    <row r="54" spans="1:16" ht="15" customHeight="1" x14ac:dyDescent="0.3">
      <c r="A54" s="75">
        <v>3548</v>
      </c>
      <c r="B54" s="53"/>
      <c r="C54" s="8"/>
      <c r="D54" s="61"/>
      <c r="E54" s="61"/>
      <c r="F54" s="61"/>
      <c r="G54" s="61"/>
      <c r="H54" s="61"/>
      <c r="I54" s="57"/>
      <c r="J54" s="61"/>
      <c r="K54" s="57"/>
      <c r="L54" s="61"/>
      <c r="M54" s="22"/>
      <c r="N54" s="25"/>
      <c r="O54" s="53"/>
      <c r="P54" s="63"/>
    </row>
    <row r="55" spans="1:16" ht="15" customHeight="1" x14ac:dyDescent="0.3">
      <c r="A55" s="75">
        <v>3549</v>
      </c>
      <c r="B55" s="53"/>
      <c r="C55" s="8"/>
      <c r="D55" s="61"/>
      <c r="E55" s="61"/>
      <c r="F55" s="61"/>
      <c r="G55" s="61"/>
      <c r="H55" s="61"/>
      <c r="I55" s="57"/>
      <c r="J55" s="61"/>
      <c r="K55" s="57"/>
      <c r="L55" s="61"/>
      <c r="M55" s="22"/>
      <c r="N55" s="25"/>
      <c r="O55" s="53"/>
      <c r="P55" s="63"/>
    </row>
    <row r="56" spans="1:16" ht="15" customHeight="1" thickBot="1" x14ac:dyDescent="0.35">
      <c r="A56" s="76">
        <v>3550</v>
      </c>
      <c r="B56" s="53"/>
      <c r="C56" s="8"/>
      <c r="D56" s="61"/>
      <c r="E56" s="61"/>
      <c r="F56" s="61"/>
      <c r="G56" s="61"/>
      <c r="H56" s="61"/>
      <c r="I56" s="57"/>
      <c r="J56" s="61"/>
      <c r="K56" s="57"/>
      <c r="L56" s="61"/>
      <c r="M56" s="22"/>
      <c r="N56" s="25"/>
      <c r="O56" s="53"/>
      <c r="P56" s="63"/>
    </row>
    <row r="57" spans="1:16" ht="15" customHeight="1" x14ac:dyDescent="0.3">
      <c r="A57" s="74">
        <v>3551</v>
      </c>
      <c r="B57" s="53"/>
      <c r="C57" s="8"/>
      <c r="D57" s="61"/>
      <c r="E57" s="61"/>
      <c r="F57" s="61"/>
      <c r="G57" s="61"/>
      <c r="H57" s="61"/>
      <c r="I57" s="57"/>
      <c r="J57" s="61"/>
      <c r="K57" s="57"/>
      <c r="L57" s="61"/>
      <c r="M57" s="22"/>
      <c r="N57" s="25"/>
      <c r="O57" s="53"/>
      <c r="P57" s="63"/>
    </row>
    <row r="58" spans="1:16" ht="15" customHeight="1" x14ac:dyDescent="0.3">
      <c r="A58" s="75">
        <v>3552</v>
      </c>
      <c r="B58" s="53"/>
      <c r="C58" s="8"/>
      <c r="D58" s="61"/>
      <c r="E58" s="61"/>
      <c r="F58" s="61"/>
      <c r="G58" s="61"/>
      <c r="H58" s="61"/>
      <c r="I58" s="57"/>
      <c r="J58" s="61"/>
      <c r="K58" s="57"/>
      <c r="L58" s="61"/>
      <c r="M58" s="22"/>
      <c r="N58" s="25"/>
      <c r="O58" s="53"/>
      <c r="P58" s="63"/>
    </row>
    <row r="59" spans="1:16" ht="15" customHeight="1" x14ac:dyDescent="0.3">
      <c r="A59" s="75">
        <v>3553</v>
      </c>
      <c r="B59" s="53"/>
      <c r="C59" s="8"/>
      <c r="D59" s="61"/>
      <c r="E59" s="61"/>
      <c r="F59" s="61"/>
      <c r="G59" s="61"/>
      <c r="H59" s="61"/>
      <c r="I59" s="57"/>
      <c r="J59" s="61"/>
      <c r="K59" s="57"/>
      <c r="L59" s="61"/>
      <c r="M59" s="22"/>
      <c r="N59" s="25"/>
      <c r="O59" s="53"/>
      <c r="P59" s="63"/>
    </row>
    <row r="60" spans="1:16" ht="15" customHeight="1" x14ac:dyDescent="0.3">
      <c r="A60" s="75">
        <v>3554</v>
      </c>
      <c r="B60" s="53"/>
      <c r="C60" s="8"/>
      <c r="D60" s="61"/>
      <c r="E60" s="61"/>
      <c r="F60" s="61"/>
      <c r="G60" s="61"/>
      <c r="H60" s="61"/>
      <c r="I60" s="57"/>
      <c r="J60" s="61"/>
      <c r="K60" s="57"/>
      <c r="L60" s="61"/>
      <c r="M60" s="22"/>
      <c r="N60" s="25"/>
      <c r="O60" s="53"/>
      <c r="P60" s="63"/>
    </row>
    <row r="61" spans="1:16" ht="15" customHeight="1" x14ac:dyDescent="0.3">
      <c r="A61" s="75">
        <v>3555</v>
      </c>
      <c r="B61" s="53"/>
      <c r="C61" s="8"/>
      <c r="D61" s="61"/>
      <c r="E61" s="61"/>
      <c r="F61" s="61"/>
      <c r="G61" s="61"/>
      <c r="H61" s="61"/>
      <c r="I61" s="57"/>
      <c r="J61" s="61"/>
      <c r="K61" s="57"/>
      <c r="L61" s="61"/>
      <c r="M61" s="22"/>
      <c r="N61" s="25"/>
      <c r="O61" s="53"/>
      <c r="P61" s="63"/>
    </row>
    <row r="62" spans="1:16" ht="15" customHeight="1" x14ac:dyDescent="0.3">
      <c r="A62" s="75">
        <v>3556</v>
      </c>
      <c r="B62" s="53"/>
      <c r="C62" s="8"/>
      <c r="D62" s="61"/>
      <c r="E62" s="61"/>
      <c r="F62" s="61"/>
      <c r="G62" s="61"/>
      <c r="H62" s="61"/>
      <c r="I62" s="57"/>
      <c r="J62" s="61"/>
      <c r="K62" s="57"/>
      <c r="L62" s="61"/>
      <c r="M62" s="22"/>
      <c r="N62" s="25"/>
      <c r="O62" s="53"/>
      <c r="P62" s="63"/>
    </row>
    <row r="63" spans="1:16" ht="15" customHeight="1" x14ac:dyDescent="0.3">
      <c r="A63" s="75">
        <v>3557</v>
      </c>
      <c r="B63" s="53"/>
      <c r="C63" s="8"/>
      <c r="D63" s="61"/>
      <c r="E63" s="61"/>
      <c r="F63" s="61"/>
      <c r="G63" s="61"/>
      <c r="H63" s="61"/>
      <c r="I63" s="57"/>
      <c r="J63" s="61"/>
      <c r="K63" s="57"/>
      <c r="L63" s="61"/>
      <c r="M63" s="22"/>
      <c r="N63" s="25"/>
      <c r="O63" s="53"/>
      <c r="P63" s="63"/>
    </row>
    <row r="64" spans="1:16" ht="15" customHeight="1" x14ac:dyDescent="0.3">
      <c r="A64" s="75">
        <v>3558</v>
      </c>
      <c r="B64" s="53"/>
      <c r="C64" s="8"/>
      <c r="D64" s="61"/>
      <c r="E64" s="61"/>
      <c r="F64" s="61"/>
      <c r="G64" s="61"/>
      <c r="H64" s="61"/>
      <c r="I64" s="57"/>
      <c r="J64" s="61"/>
      <c r="K64" s="57"/>
      <c r="L64" s="61"/>
      <c r="M64" s="22"/>
      <c r="N64" s="25"/>
      <c r="O64" s="53"/>
      <c r="P64" s="63"/>
    </row>
    <row r="65" spans="1:16" ht="15" customHeight="1" thickBot="1" x14ac:dyDescent="0.35">
      <c r="A65" s="75">
        <v>3559</v>
      </c>
      <c r="B65" s="53"/>
      <c r="C65" s="8"/>
      <c r="D65" s="61"/>
      <c r="E65" s="61"/>
      <c r="F65" s="61"/>
      <c r="G65" s="61"/>
      <c r="H65" s="61"/>
      <c r="I65" s="57"/>
      <c r="J65" s="61"/>
      <c r="K65" s="57"/>
      <c r="L65" s="61"/>
      <c r="M65" s="22"/>
      <c r="N65" s="25"/>
      <c r="O65" s="53"/>
      <c r="P65" s="63"/>
    </row>
    <row r="66" spans="1:16" ht="15" customHeight="1" x14ac:dyDescent="0.3">
      <c r="A66" s="77">
        <v>3560</v>
      </c>
      <c r="B66" s="53"/>
      <c r="C66" s="8"/>
      <c r="D66" s="61"/>
      <c r="E66" s="61"/>
      <c r="F66" s="61"/>
      <c r="G66" s="61"/>
      <c r="H66" s="61"/>
      <c r="I66" s="57"/>
      <c r="J66" s="61"/>
      <c r="K66" s="57"/>
      <c r="L66" s="61"/>
      <c r="M66" s="22"/>
      <c r="N66" s="25"/>
      <c r="O66" s="53"/>
      <c r="P66" s="63"/>
    </row>
    <row r="67" spans="1:16" ht="15" customHeight="1" x14ac:dyDescent="0.3">
      <c r="A67" s="78">
        <v>3561</v>
      </c>
      <c r="B67" s="53"/>
      <c r="C67" s="8"/>
      <c r="D67" s="61"/>
      <c r="E67" s="61"/>
      <c r="F67" s="61"/>
      <c r="G67" s="61"/>
      <c r="H67" s="61"/>
      <c r="I67" s="57"/>
      <c r="J67" s="61"/>
      <c r="K67" s="57"/>
      <c r="L67" s="61"/>
      <c r="M67" s="22"/>
      <c r="N67" s="25"/>
      <c r="O67" s="53"/>
      <c r="P67" s="63"/>
    </row>
    <row r="68" spans="1:16" ht="18.75" x14ac:dyDescent="0.3">
      <c r="A68" s="78">
        <v>3562</v>
      </c>
      <c r="B68" s="53"/>
      <c r="C68" s="8"/>
      <c r="D68" s="61"/>
      <c r="E68" s="61"/>
      <c r="F68" s="61"/>
      <c r="G68" s="61"/>
      <c r="H68" s="61"/>
      <c r="I68" s="57"/>
      <c r="J68" s="61"/>
      <c r="K68" s="57"/>
      <c r="L68" s="61"/>
      <c r="M68" s="22"/>
      <c r="N68" s="25"/>
      <c r="O68" s="53"/>
      <c r="P68" s="63"/>
    </row>
    <row r="69" spans="1:16" ht="18.75" x14ac:dyDescent="0.3">
      <c r="A69" s="78">
        <v>3563</v>
      </c>
      <c r="B69" s="53"/>
      <c r="C69" s="8"/>
      <c r="D69" s="61"/>
      <c r="E69" s="61"/>
      <c r="F69" s="61"/>
      <c r="G69" s="61"/>
      <c r="H69" s="61"/>
      <c r="I69" s="57"/>
      <c r="J69" s="61"/>
      <c r="K69" s="57"/>
      <c r="L69" s="61"/>
      <c r="M69" s="22"/>
      <c r="N69" s="25"/>
      <c r="O69" s="53"/>
      <c r="P69" s="63"/>
    </row>
    <row r="70" spans="1:16" ht="18.75" x14ac:dyDescent="0.3">
      <c r="A70" s="78">
        <v>3564</v>
      </c>
      <c r="B70" s="53"/>
      <c r="C70" s="8"/>
      <c r="D70" s="61"/>
      <c r="E70" s="61"/>
      <c r="F70" s="61"/>
      <c r="G70" s="61"/>
      <c r="H70" s="61"/>
      <c r="I70" s="57"/>
      <c r="J70" s="61"/>
      <c r="K70" s="57"/>
      <c r="L70" s="61"/>
      <c r="M70" s="22"/>
      <c r="N70" s="25"/>
      <c r="O70" s="53"/>
      <c r="P70" s="63"/>
    </row>
    <row r="71" spans="1:16" ht="18.75" x14ac:dyDescent="0.3">
      <c r="A71" s="78">
        <v>3565</v>
      </c>
      <c r="B71" s="53"/>
      <c r="C71" s="8"/>
      <c r="D71" s="61"/>
      <c r="E71" s="61"/>
      <c r="F71" s="61"/>
      <c r="G71" s="61"/>
      <c r="H71" s="61"/>
      <c r="I71" s="57"/>
      <c r="J71" s="61"/>
      <c r="K71" s="57"/>
      <c r="L71" s="61"/>
      <c r="M71" s="22"/>
      <c r="N71" s="25"/>
      <c r="O71" s="53"/>
      <c r="P71" s="63"/>
    </row>
    <row r="72" spans="1:16" ht="18.75" x14ac:dyDescent="0.3">
      <c r="A72" s="78">
        <v>3566</v>
      </c>
      <c r="B72" s="53"/>
      <c r="C72" s="8"/>
      <c r="D72" s="61"/>
      <c r="E72" s="61"/>
      <c r="F72" s="61"/>
      <c r="G72" s="61"/>
      <c r="H72" s="61"/>
      <c r="I72" s="57"/>
      <c r="J72" s="61"/>
      <c r="K72" s="57"/>
      <c r="L72" s="61"/>
      <c r="M72" s="22"/>
      <c r="N72" s="25"/>
      <c r="O72" s="53"/>
      <c r="P72" s="63"/>
    </row>
    <row r="73" spans="1:16" ht="18.75" x14ac:dyDescent="0.3">
      <c r="A73" s="79">
        <v>3567</v>
      </c>
      <c r="B73" s="53"/>
      <c r="C73" s="8"/>
      <c r="D73" s="61"/>
      <c r="E73" s="61"/>
      <c r="F73" s="61"/>
      <c r="G73" s="61"/>
      <c r="H73" s="61"/>
      <c r="I73" s="57"/>
      <c r="J73" s="61"/>
      <c r="K73" s="57"/>
      <c r="L73" s="61"/>
      <c r="M73" s="22"/>
      <c r="N73" s="25"/>
      <c r="O73" s="53"/>
      <c r="P73" s="63"/>
    </row>
    <row r="74" spans="1:16" x14ac:dyDescent="0.25">
      <c r="P74" s="23"/>
    </row>
    <row r="75" spans="1:16" x14ac:dyDescent="0.25">
      <c r="P75" s="23"/>
    </row>
    <row r="76" spans="1:16" x14ac:dyDescent="0.25">
      <c r="P76" s="23"/>
    </row>
    <row r="77" spans="1:16" x14ac:dyDescent="0.25">
      <c r="P77" s="23"/>
    </row>
    <row r="78" spans="1:16" x14ac:dyDescent="0.25">
      <c r="P78" s="23"/>
    </row>
    <row r="79" spans="1:16" x14ac:dyDescent="0.25">
      <c r="P79" s="23"/>
    </row>
    <row r="80" spans="1:16" x14ac:dyDescent="0.25">
      <c r="P80" s="23"/>
    </row>
    <row r="81" spans="16:16" x14ac:dyDescent="0.25">
      <c r="P81" s="23"/>
    </row>
    <row r="82" spans="16:16" x14ac:dyDescent="0.25">
      <c r="P82" s="23"/>
    </row>
    <row r="83" spans="16:16" x14ac:dyDescent="0.25">
      <c r="P83" s="23"/>
    </row>
    <row r="84" spans="16:16" x14ac:dyDescent="0.25">
      <c r="P84" s="23"/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73 I2:I73 K2:K73 O2:O73" xr:uid="{DF00BB16-8DA2-4449-916E-2D81509E3C75}">
      <formula1>45658</formula1>
    </dataValidation>
    <dataValidation type="whole" operator="greaterThanOrEqual" allowBlank="1" showInputMessage="1" showErrorMessage="1" sqref="A2:A73 D2:H73 J2:J73 L2:L73 P2:P73" xr:uid="{C6958835-F064-486E-9633-5AC78C615ED7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4F77DA0-EB74-4C82-8D25-2C5848797FA8}">
          <x14:formula1>
            <xm:f>Inspected!$A$1:$A$2</xm:f>
          </x14:formula1>
          <xm:sqref>M2:M73</xm:sqref>
        </x14:dataValidation>
        <x14:dataValidation type="list" allowBlank="1" showInputMessage="1" showErrorMessage="1" xr:uid="{F9397D41-8C09-41E2-AD7A-1A9C3415A1E7}">
          <x14:formula1>
            <xm:f>Inspected!$D$1</xm:f>
          </x14:formula1>
          <xm:sqref>C2:C73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FBFE4-0134-4B31-95FB-80C691E755F0}">
  <dimension ref="A1:U207"/>
  <sheetViews>
    <sheetView topLeftCell="A49" zoomScaleNormal="100" workbookViewId="0">
      <selection activeCell="B70" sqref="B70:P70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80" t="s">
        <v>0</v>
      </c>
      <c r="B1" s="34" t="s">
        <v>1</v>
      </c>
      <c r="C1" s="34" t="s">
        <v>26</v>
      </c>
      <c r="D1" s="35" t="s">
        <v>2</v>
      </c>
      <c r="E1" s="35" t="s">
        <v>3</v>
      </c>
      <c r="F1" s="35" t="s">
        <v>4</v>
      </c>
      <c r="G1" s="35" t="s">
        <v>5</v>
      </c>
      <c r="H1" s="35" t="s">
        <v>6</v>
      </c>
      <c r="I1" s="36" t="s">
        <v>7</v>
      </c>
      <c r="J1" s="36" t="s">
        <v>8</v>
      </c>
      <c r="K1" s="37" t="s">
        <v>9</v>
      </c>
      <c r="L1" s="37" t="s">
        <v>27</v>
      </c>
      <c r="M1" s="38" t="s">
        <v>10</v>
      </c>
      <c r="N1" s="39" t="s">
        <v>11</v>
      </c>
      <c r="O1" s="40" t="s">
        <v>12</v>
      </c>
      <c r="P1" s="41" t="s">
        <v>13</v>
      </c>
    </row>
    <row r="2" spans="1:21" ht="15" customHeight="1" x14ac:dyDescent="0.3">
      <c r="A2" s="71">
        <v>3231</v>
      </c>
      <c r="B2" s="53"/>
      <c r="C2" s="8"/>
      <c r="D2" s="61"/>
      <c r="E2" s="61"/>
      <c r="F2" s="61"/>
      <c r="G2" s="61"/>
      <c r="H2" s="61"/>
      <c r="I2" s="57"/>
      <c r="J2" s="61"/>
      <c r="K2" s="57"/>
      <c r="L2" s="61"/>
      <c r="M2" s="22"/>
      <c r="N2" s="25"/>
      <c r="O2" s="53"/>
      <c r="P2" s="63"/>
      <c r="R2" s="81" t="s">
        <v>15</v>
      </c>
      <c r="S2" s="82"/>
      <c r="T2" s="82"/>
      <c r="U2" s="83"/>
    </row>
    <row r="3" spans="1:21" ht="15" customHeight="1" x14ac:dyDescent="0.3">
      <c r="A3" s="72">
        <v>3232</v>
      </c>
      <c r="B3" s="53"/>
      <c r="C3" s="8"/>
      <c r="D3" s="61"/>
      <c r="E3" s="61"/>
      <c r="F3" s="61"/>
      <c r="G3" s="61"/>
      <c r="H3" s="61"/>
      <c r="I3" s="57"/>
      <c r="J3" s="61"/>
      <c r="K3" s="57"/>
      <c r="L3" s="61"/>
      <c r="M3" s="22"/>
      <c r="N3" s="25"/>
      <c r="O3" s="53"/>
      <c r="P3" s="63"/>
      <c r="R3" s="10" t="s">
        <v>16</v>
      </c>
      <c r="S3" s="11" t="s">
        <v>17</v>
      </c>
      <c r="T3" s="12" t="s">
        <v>18</v>
      </c>
      <c r="U3" s="13" t="s">
        <v>19</v>
      </c>
    </row>
    <row r="4" spans="1:21" ht="15" customHeight="1" thickBot="1" x14ac:dyDescent="0.35">
      <c r="A4" s="72">
        <v>3233</v>
      </c>
      <c r="B4" s="53"/>
      <c r="C4" s="8"/>
      <c r="D4" s="61"/>
      <c r="E4" s="61"/>
      <c r="F4" s="61"/>
      <c r="G4" s="61"/>
      <c r="H4" s="61"/>
      <c r="I4" s="57"/>
      <c r="J4" s="61"/>
      <c r="K4" s="57"/>
      <c r="L4" s="61"/>
      <c r="M4" s="22"/>
      <c r="N4" s="25"/>
      <c r="O4" s="53"/>
      <c r="P4" s="63"/>
      <c r="R4" s="14">
        <v>36</v>
      </c>
      <c r="S4" s="15">
        <f>COUNTA(A:A)-1</f>
        <v>72</v>
      </c>
      <c r="T4" s="15">
        <f>COUNTA(O:O)-1</f>
        <v>0</v>
      </c>
      <c r="U4" s="21">
        <f>T4/S4</f>
        <v>0</v>
      </c>
    </row>
    <row r="5" spans="1:21" ht="15" customHeight="1" x14ac:dyDescent="0.3">
      <c r="A5" s="72">
        <v>3234</v>
      </c>
      <c r="B5" s="53"/>
      <c r="C5" s="8"/>
      <c r="D5" s="61"/>
      <c r="E5" s="61"/>
      <c r="F5" s="61"/>
      <c r="G5" s="61"/>
      <c r="H5" s="61"/>
      <c r="I5" s="57"/>
      <c r="J5" s="61"/>
      <c r="K5" s="57"/>
      <c r="L5" s="61"/>
      <c r="M5" s="22"/>
      <c r="N5" s="25"/>
      <c r="O5" s="53"/>
      <c r="P5" s="63"/>
    </row>
    <row r="6" spans="1:21" ht="15" customHeight="1" x14ac:dyDescent="0.3">
      <c r="A6" s="72">
        <v>3235</v>
      </c>
      <c r="B6" s="53"/>
      <c r="C6" s="8"/>
      <c r="D6" s="61"/>
      <c r="E6" s="61"/>
      <c r="F6" s="61"/>
      <c r="G6" s="61"/>
      <c r="H6" s="61"/>
      <c r="I6" s="57"/>
      <c r="J6" s="61"/>
      <c r="K6" s="57"/>
      <c r="L6" s="61"/>
      <c r="M6" s="22"/>
      <c r="N6" s="25"/>
      <c r="O6" s="53"/>
      <c r="P6" s="63"/>
    </row>
    <row r="7" spans="1:21" ht="15" customHeight="1" x14ac:dyDescent="0.3">
      <c r="A7" s="72">
        <v>3236</v>
      </c>
      <c r="B7" s="53"/>
      <c r="C7" s="8"/>
      <c r="D7" s="61"/>
      <c r="E7" s="61"/>
      <c r="F7" s="61"/>
      <c r="G7" s="61"/>
      <c r="H7" s="61"/>
      <c r="I7" s="57"/>
      <c r="J7" s="61"/>
      <c r="K7" s="57"/>
      <c r="L7" s="61"/>
      <c r="M7" s="22"/>
      <c r="N7" s="25"/>
      <c r="O7" s="53"/>
      <c r="P7" s="63"/>
    </row>
    <row r="8" spans="1:21" ht="15" customHeight="1" x14ac:dyDescent="0.3">
      <c r="A8" s="72">
        <v>3237</v>
      </c>
      <c r="B8" s="53"/>
      <c r="C8" s="8"/>
      <c r="D8" s="61"/>
      <c r="E8" s="61"/>
      <c r="F8" s="61"/>
      <c r="G8" s="61"/>
      <c r="H8" s="61"/>
      <c r="I8" s="57"/>
      <c r="J8" s="61"/>
      <c r="K8" s="57"/>
      <c r="L8" s="61"/>
      <c r="M8" s="22"/>
      <c r="N8" s="25"/>
      <c r="O8" s="53"/>
      <c r="P8" s="63"/>
    </row>
    <row r="9" spans="1:21" ht="15" customHeight="1" x14ac:dyDescent="0.3">
      <c r="A9" s="72">
        <v>3238</v>
      </c>
      <c r="B9" s="53"/>
      <c r="C9" s="8"/>
      <c r="D9" s="61"/>
      <c r="E9" s="61"/>
      <c r="F9" s="61"/>
      <c r="G9" s="61"/>
      <c r="H9" s="61"/>
      <c r="I9" s="57"/>
      <c r="J9" s="61"/>
      <c r="K9" s="57"/>
      <c r="L9" s="61"/>
      <c r="M9" s="22"/>
      <c r="N9" s="25"/>
      <c r="O9" s="53"/>
      <c r="P9" s="63"/>
    </row>
    <row r="10" spans="1:21" ht="15" customHeight="1" x14ac:dyDescent="0.3">
      <c r="A10" s="72">
        <v>3239</v>
      </c>
      <c r="B10" s="53"/>
      <c r="C10" s="8"/>
      <c r="D10" s="61"/>
      <c r="E10" s="61"/>
      <c r="F10" s="61"/>
      <c r="G10" s="61"/>
      <c r="H10" s="61"/>
      <c r="I10" s="57"/>
      <c r="J10" s="61"/>
      <c r="K10" s="57"/>
      <c r="L10" s="61"/>
      <c r="M10" s="22"/>
      <c r="N10" s="25"/>
      <c r="O10" s="53"/>
      <c r="P10" s="63"/>
    </row>
    <row r="11" spans="1:21" ht="15" customHeight="1" x14ac:dyDescent="0.3">
      <c r="A11" s="72">
        <v>3240</v>
      </c>
      <c r="B11" s="53"/>
      <c r="C11" s="8"/>
      <c r="D11" s="61"/>
      <c r="E11" s="61"/>
      <c r="F11" s="61"/>
      <c r="G11" s="61"/>
      <c r="H11" s="61"/>
      <c r="I11" s="57"/>
      <c r="J11" s="61"/>
      <c r="K11" s="57"/>
      <c r="L11" s="61"/>
      <c r="M11" s="22"/>
      <c r="N11" s="25"/>
      <c r="O11" s="53"/>
      <c r="P11" s="63"/>
    </row>
    <row r="12" spans="1:21" ht="15" customHeight="1" thickBot="1" x14ac:dyDescent="0.35">
      <c r="A12" s="73">
        <v>3241</v>
      </c>
      <c r="B12" s="53"/>
      <c r="C12" s="8"/>
      <c r="D12" s="61"/>
      <c r="E12" s="61"/>
      <c r="F12" s="61"/>
      <c r="G12" s="61"/>
      <c r="H12" s="61"/>
      <c r="I12" s="57"/>
      <c r="J12" s="61"/>
      <c r="K12" s="57"/>
      <c r="L12" s="61"/>
      <c r="M12" s="22"/>
      <c r="N12" s="25"/>
      <c r="O12" s="53"/>
      <c r="P12" s="63"/>
    </row>
    <row r="13" spans="1:21" ht="15" customHeight="1" x14ac:dyDescent="0.3">
      <c r="A13" s="74">
        <v>3242</v>
      </c>
      <c r="B13" s="53"/>
      <c r="C13" s="8"/>
      <c r="D13" s="61"/>
      <c r="E13" s="61"/>
      <c r="F13" s="61"/>
      <c r="G13" s="61"/>
      <c r="H13" s="61"/>
      <c r="I13" s="57"/>
      <c r="J13" s="61"/>
      <c r="K13" s="57"/>
      <c r="L13" s="61"/>
      <c r="M13" s="22"/>
      <c r="N13" s="25"/>
      <c r="O13" s="53"/>
      <c r="P13" s="63"/>
    </row>
    <row r="14" spans="1:21" ht="15" customHeight="1" x14ac:dyDescent="0.3">
      <c r="A14" s="75">
        <v>3243</v>
      </c>
      <c r="B14" s="53"/>
      <c r="C14" s="8"/>
      <c r="D14" s="61"/>
      <c r="E14" s="61"/>
      <c r="F14" s="61"/>
      <c r="G14" s="61"/>
      <c r="H14" s="61"/>
      <c r="I14" s="57"/>
      <c r="J14" s="61"/>
      <c r="K14" s="57"/>
      <c r="L14" s="61"/>
      <c r="M14" s="22"/>
      <c r="N14" s="25"/>
      <c r="O14" s="53"/>
      <c r="P14" s="63"/>
    </row>
    <row r="15" spans="1:21" ht="15" customHeight="1" x14ac:dyDescent="0.3">
      <c r="A15" s="75">
        <v>3244</v>
      </c>
      <c r="B15" s="53"/>
      <c r="C15" s="8"/>
      <c r="D15" s="61"/>
      <c r="E15" s="61"/>
      <c r="F15" s="61"/>
      <c r="G15" s="61"/>
      <c r="H15" s="61"/>
      <c r="I15" s="57"/>
      <c r="J15" s="61"/>
      <c r="K15" s="57"/>
      <c r="L15" s="61"/>
      <c r="M15" s="22"/>
      <c r="N15" s="25"/>
      <c r="O15" s="53"/>
      <c r="P15" s="63"/>
    </row>
    <row r="16" spans="1:21" ht="15" customHeight="1" x14ac:dyDescent="0.3">
      <c r="A16" s="75">
        <v>3245</v>
      </c>
      <c r="B16" s="53"/>
      <c r="C16" s="8"/>
      <c r="D16" s="61"/>
      <c r="E16" s="61"/>
      <c r="F16" s="61"/>
      <c r="G16" s="61"/>
      <c r="H16" s="61"/>
      <c r="I16" s="57"/>
      <c r="J16" s="61"/>
      <c r="K16" s="57"/>
      <c r="L16" s="61"/>
      <c r="M16" s="22"/>
      <c r="N16" s="25"/>
      <c r="O16" s="53"/>
      <c r="P16" s="63"/>
    </row>
    <row r="17" spans="1:16" ht="15" customHeight="1" x14ac:dyDescent="0.3">
      <c r="A17" s="75">
        <v>3246</v>
      </c>
      <c r="B17" s="53"/>
      <c r="C17" s="8"/>
      <c r="D17" s="61"/>
      <c r="E17" s="61"/>
      <c r="F17" s="61"/>
      <c r="G17" s="61"/>
      <c r="H17" s="61"/>
      <c r="I17" s="57"/>
      <c r="J17" s="61"/>
      <c r="K17" s="57"/>
      <c r="L17" s="61"/>
      <c r="M17" s="22"/>
      <c r="N17" s="25"/>
      <c r="O17" s="53"/>
      <c r="P17" s="63"/>
    </row>
    <row r="18" spans="1:16" ht="15" customHeight="1" x14ac:dyDescent="0.3">
      <c r="A18" s="75">
        <v>3247</v>
      </c>
      <c r="B18" s="53"/>
      <c r="C18" s="8"/>
      <c r="D18" s="61"/>
      <c r="E18" s="61"/>
      <c r="F18" s="61"/>
      <c r="G18" s="61"/>
      <c r="H18" s="61"/>
      <c r="I18" s="57"/>
      <c r="J18" s="61"/>
      <c r="K18" s="57"/>
      <c r="L18" s="61"/>
      <c r="M18" s="22"/>
      <c r="N18" s="25"/>
      <c r="O18" s="53"/>
      <c r="P18" s="63"/>
    </row>
    <row r="19" spans="1:16" ht="15" customHeight="1" x14ac:dyDescent="0.3">
      <c r="A19" s="75">
        <v>3248</v>
      </c>
      <c r="B19" s="53"/>
      <c r="C19" s="8"/>
      <c r="D19" s="61"/>
      <c r="E19" s="61"/>
      <c r="F19" s="61"/>
      <c r="G19" s="61"/>
      <c r="H19" s="61"/>
      <c r="I19" s="57"/>
      <c r="J19" s="61"/>
      <c r="K19" s="57"/>
      <c r="L19" s="61"/>
      <c r="M19" s="22"/>
      <c r="N19" s="25"/>
      <c r="O19" s="53"/>
      <c r="P19" s="63"/>
    </row>
    <row r="20" spans="1:16" ht="15" customHeight="1" x14ac:dyDescent="0.3">
      <c r="A20" s="75">
        <v>3250</v>
      </c>
      <c r="B20" s="53"/>
      <c r="C20" s="8"/>
      <c r="D20" s="61"/>
      <c r="E20" s="61"/>
      <c r="F20" s="61"/>
      <c r="G20" s="61"/>
      <c r="H20" s="61"/>
      <c r="I20" s="57"/>
      <c r="J20" s="61"/>
      <c r="K20" s="57"/>
      <c r="L20" s="61"/>
      <c r="M20" s="22"/>
      <c r="N20" s="25"/>
      <c r="O20" s="53"/>
      <c r="P20" s="63"/>
    </row>
    <row r="21" spans="1:16" ht="15" customHeight="1" x14ac:dyDescent="0.3">
      <c r="A21" s="75">
        <v>3251</v>
      </c>
      <c r="B21" s="53"/>
      <c r="C21" s="8"/>
      <c r="D21" s="61"/>
      <c r="E21" s="61"/>
      <c r="F21" s="61"/>
      <c r="G21" s="61"/>
      <c r="H21" s="61"/>
      <c r="I21" s="57"/>
      <c r="J21" s="61"/>
      <c r="K21" s="57"/>
      <c r="L21" s="61"/>
      <c r="M21" s="22"/>
      <c r="N21" s="25"/>
      <c r="O21" s="53"/>
      <c r="P21" s="63"/>
    </row>
    <row r="22" spans="1:16" ht="15" customHeight="1" x14ac:dyDescent="0.3">
      <c r="A22" s="75">
        <v>3252</v>
      </c>
      <c r="B22" s="53"/>
      <c r="C22" s="8"/>
      <c r="D22" s="61"/>
      <c r="E22" s="61"/>
      <c r="F22" s="61"/>
      <c r="G22" s="61"/>
      <c r="H22" s="61"/>
      <c r="I22" s="57"/>
      <c r="J22" s="61"/>
      <c r="K22" s="57"/>
      <c r="L22" s="61"/>
      <c r="M22" s="22"/>
      <c r="N22" s="25"/>
      <c r="O22" s="53"/>
      <c r="P22" s="63"/>
    </row>
    <row r="23" spans="1:16" ht="15" customHeight="1" thickBot="1" x14ac:dyDescent="0.35">
      <c r="A23" s="76">
        <v>3253</v>
      </c>
      <c r="B23" s="53"/>
      <c r="C23" s="8"/>
      <c r="D23" s="61"/>
      <c r="E23" s="61"/>
      <c r="F23" s="61"/>
      <c r="G23" s="61"/>
      <c r="H23" s="61"/>
      <c r="I23" s="57"/>
      <c r="J23" s="61"/>
      <c r="K23" s="57"/>
      <c r="L23" s="61"/>
      <c r="M23" s="22"/>
      <c r="N23" s="25"/>
      <c r="O23" s="53"/>
      <c r="P23" s="63"/>
    </row>
    <row r="24" spans="1:16" ht="15" customHeight="1" x14ac:dyDescent="0.3">
      <c r="A24" s="74">
        <v>3254</v>
      </c>
      <c r="B24" s="53"/>
      <c r="C24" s="8"/>
      <c r="D24" s="61"/>
      <c r="E24" s="61"/>
      <c r="F24" s="61"/>
      <c r="G24" s="61"/>
      <c r="H24" s="61"/>
      <c r="I24" s="57"/>
      <c r="J24" s="61"/>
      <c r="K24" s="57"/>
      <c r="L24" s="61"/>
      <c r="M24" s="22"/>
      <c r="N24" s="25"/>
      <c r="O24" s="53"/>
      <c r="P24" s="63"/>
    </row>
    <row r="25" spans="1:16" ht="15" customHeight="1" x14ac:dyDescent="0.3">
      <c r="A25" s="75">
        <v>3255</v>
      </c>
      <c r="B25" s="53"/>
      <c r="C25" s="8"/>
      <c r="D25" s="61"/>
      <c r="E25" s="61"/>
      <c r="F25" s="61"/>
      <c r="G25" s="61"/>
      <c r="H25" s="61"/>
      <c r="I25" s="57"/>
      <c r="J25" s="61"/>
      <c r="K25" s="57"/>
      <c r="L25" s="61"/>
      <c r="M25" s="22"/>
      <c r="N25" s="25"/>
      <c r="O25" s="53"/>
      <c r="P25" s="63"/>
    </row>
    <row r="26" spans="1:16" ht="15" customHeight="1" x14ac:dyDescent="0.3">
      <c r="A26" s="75">
        <v>3256</v>
      </c>
      <c r="B26" s="53"/>
      <c r="C26" s="8"/>
      <c r="D26" s="61"/>
      <c r="E26" s="61"/>
      <c r="F26" s="61"/>
      <c r="G26" s="61"/>
      <c r="H26" s="61"/>
      <c r="I26" s="57"/>
      <c r="J26" s="61"/>
      <c r="K26" s="57"/>
      <c r="L26" s="61"/>
      <c r="M26" s="22"/>
      <c r="N26" s="25"/>
      <c r="O26" s="53"/>
      <c r="P26" s="63"/>
    </row>
    <row r="27" spans="1:16" ht="15" customHeight="1" x14ac:dyDescent="0.3">
      <c r="A27" s="75">
        <v>3258</v>
      </c>
      <c r="B27" s="53"/>
      <c r="C27" s="8"/>
      <c r="D27" s="61"/>
      <c r="E27" s="61"/>
      <c r="F27" s="61"/>
      <c r="G27" s="61"/>
      <c r="H27" s="61"/>
      <c r="I27" s="57"/>
      <c r="J27" s="61"/>
      <c r="K27" s="57"/>
      <c r="L27" s="61"/>
      <c r="M27" s="22"/>
      <c r="N27" s="25"/>
      <c r="O27" s="53"/>
      <c r="P27" s="63"/>
    </row>
    <row r="28" spans="1:16" ht="15" customHeight="1" x14ac:dyDescent="0.3">
      <c r="A28" s="75">
        <v>3259</v>
      </c>
      <c r="B28" s="53"/>
      <c r="C28" s="8"/>
      <c r="D28" s="61"/>
      <c r="E28" s="61"/>
      <c r="F28" s="61"/>
      <c r="G28" s="61"/>
      <c r="H28" s="61"/>
      <c r="I28" s="57"/>
      <c r="J28" s="61"/>
      <c r="K28" s="57"/>
      <c r="L28" s="61"/>
      <c r="M28" s="22"/>
      <c r="N28" s="25"/>
      <c r="O28" s="53"/>
      <c r="P28" s="63"/>
    </row>
    <row r="29" spans="1:16" ht="15" customHeight="1" x14ac:dyDescent="0.3">
      <c r="A29" s="75">
        <v>3260</v>
      </c>
      <c r="B29" s="53"/>
      <c r="C29" s="8"/>
      <c r="D29" s="61"/>
      <c r="E29" s="61"/>
      <c r="F29" s="61"/>
      <c r="G29" s="61"/>
      <c r="H29" s="61"/>
      <c r="I29" s="57"/>
      <c r="J29" s="61"/>
      <c r="K29" s="57"/>
      <c r="L29" s="61"/>
      <c r="M29" s="22"/>
      <c r="N29" s="25"/>
      <c r="O29" s="53"/>
      <c r="P29" s="63"/>
    </row>
    <row r="30" spans="1:16" ht="15" customHeight="1" x14ac:dyDescent="0.3">
      <c r="A30" s="75">
        <v>3261</v>
      </c>
      <c r="B30" s="53"/>
      <c r="C30" s="8"/>
      <c r="D30" s="61"/>
      <c r="E30" s="61"/>
      <c r="F30" s="61"/>
      <c r="G30" s="61"/>
      <c r="H30" s="61"/>
      <c r="I30" s="57"/>
      <c r="J30" s="61"/>
      <c r="K30" s="57"/>
      <c r="L30" s="61"/>
      <c r="M30" s="22"/>
      <c r="N30" s="25"/>
      <c r="O30" s="53"/>
      <c r="P30" s="63"/>
    </row>
    <row r="31" spans="1:16" ht="15" customHeight="1" x14ac:dyDescent="0.3">
      <c r="A31" s="75">
        <v>3262</v>
      </c>
      <c r="B31" s="53"/>
      <c r="C31" s="8"/>
      <c r="D31" s="61"/>
      <c r="E31" s="61"/>
      <c r="F31" s="61"/>
      <c r="G31" s="61"/>
      <c r="H31" s="61"/>
      <c r="I31" s="57"/>
      <c r="J31" s="61"/>
      <c r="K31" s="57"/>
      <c r="L31" s="61"/>
      <c r="M31" s="22"/>
      <c r="N31" s="25"/>
      <c r="O31" s="53"/>
      <c r="P31" s="63"/>
    </row>
    <row r="32" spans="1:16" ht="15" customHeight="1" x14ac:dyDescent="0.3">
      <c r="A32" s="75">
        <v>3263</v>
      </c>
      <c r="B32" s="53"/>
      <c r="C32" s="8"/>
      <c r="D32" s="61"/>
      <c r="E32" s="61"/>
      <c r="F32" s="61"/>
      <c r="G32" s="61"/>
      <c r="H32" s="61"/>
      <c r="I32" s="57"/>
      <c r="J32" s="61"/>
      <c r="K32" s="57"/>
      <c r="L32" s="61"/>
      <c r="M32" s="22"/>
      <c r="N32" s="25"/>
      <c r="O32" s="53"/>
      <c r="P32" s="63"/>
    </row>
    <row r="33" spans="1:16" ht="15" customHeight="1" x14ac:dyDescent="0.3">
      <c r="A33" s="75">
        <v>3264</v>
      </c>
      <c r="B33" s="53"/>
      <c r="C33" s="8"/>
      <c r="D33" s="61"/>
      <c r="E33" s="61"/>
      <c r="F33" s="61"/>
      <c r="G33" s="61"/>
      <c r="H33" s="61"/>
      <c r="I33" s="57"/>
      <c r="J33" s="61"/>
      <c r="K33" s="57"/>
      <c r="L33" s="61"/>
      <c r="M33" s="22"/>
      <c r="N33" s="25"/>
      <c r="O33" s="53"/>
      <c r="P33" s="63"/>
    </row>
    <row r="34" spans="1:16" ht="15" customHeight="1" thickBot="1" x14ac:dyDescent="0.35">
      <c r="A34" s="76">
        <v>3265</v>
      </c>
      <c r="B34" s="53"/>
      <c r="C34" s="8"/>
      <c r="D34" s="61"/>
      <c r="E34" s="61"/>
      <c r="F34" s="61"/>
      <c r="G34" s="61"/>
      <c r="H34" s="61"/>
      <c r="I34" s="57"/>
      <c r="J34" s="61"/>
      <c r="K34" s="57"/>
      <c r="L34" s="61"/>
      <c r="M34" s="22"/>
      <c r="N34" s="25"/>
      <c r="O34" s="53"/>
      <c r="P34" s="63"/>
    </row>
    <row r="35" spans="1:16" ht="15" customHeight="1" x14ac:dyDescent="0.3">
      <c r="A35" s="74">
        <v>3266</v>
      </c>
      <c r="B35" s="53"/>
      <c r="C35" s="8"/>
      <c r="D35" s="61"/>
      <c r="E35" s="61"/>
      <c r="F35" s="61"/>
      <c r="G35" s="61"/>
      <c r="H35" s="61"/>
      <c r="I35" s="57"/>
      <c r="J35" s="61"/>
      <c r="K35" s="57"/>
      <c r="L35" s="61"/>
      <c r="M35" s="22"/>
      <c r="N35" s="25"/>
      <c r="O35" s="53"/>
      <c r="P35" s="63"/>
    </row>
    <row r="36" spans="1:16" ht="15" customHeight="1" x14ac:dyDescent="0.3">
      <c r="A36" s="75">
        <v>3267</v>
      </c>
      <c r="B36" s="53"/>
      <c r="C36" s="8"/>
      <c r="D36" s="61"/>
      <c r="E36" s="61"/>
      <c r="F36" s="61"/>
      <c r="G36" s="61"/>
      <c r="H36" s="61"/>
      <c r="I36" s="57"/>
      <c r="J36" s="61"/>
      <c r="K36" s="57"/>
      <c r="L36" s="61"/>
      <c r="M36" s="22"/>
      <c r="N36" s="25"/>
      <c r="O36" s="53"/>
      <c r="P36" s="63"/>
    </row>
    <row r="37" spans="1:16" ht="15" customHeight="1" x14ac:dyDescent="0.3">
      <c r="A37" s="75">
        <v>3299</v>
      </c>
      <c r="B37" s="53"/>
      <c r="C37" s="8"/>
      <c r="D37" s="61"/>
      <c r="E37" s="61"/>
      <c r="F37" s="61"/>
      <c r="G37" s="61"/>
      <c r="H37" s="61"/>
      <c r="I37" s="57"/>
      <c r="J37" s="61"/>
      <c r="K37" s="57"/>
      <c r="L37" s="61"/>
      <c r="M37" s="22"/>
      <c r="N37" s="25"/>
      <c r="O37" s="53"/>
      <c r="P37" s="63"/>
    </row>
    <row r="38" spans="1:16" ht="15" customHeight="1" x14ac:dyDescent="0.3">
      <c r="A38" s="75">
        <v>3531</v>
      </c>
      <c r="B38" s="53"/>
      <c r="C38" s="8"/>
      <c r="D38" s="61"/>
      <c r="E38" s="61"/>
      <c r="F38" s="61"/>
      <c r="G38" s="61"/>
      <c r="H38" s="61"/>
      <c r="I38" s="57"/>
      <c r="J38" s="61"/>
      <c r="K38" s="57"/>
      <c r="L38" s="61"/>
      <c r="M38" s="22"/>
      <c r="N38" s="25"/>
      <c r="O38" s="53"/>
      <c r="P38" s="63"/>
    </row>
    <row r="39" spans="1:16" ht="15" customHeight="1" x14ac:dyDescent="0.3">
      <c r="A39" s="75">
        <v>3532</v>
      </c>
      <c r="B39" s="53"/>
      <c r="C39" s="8"/>
      <c r="D39" s="61"/>
      <c r="E39" s="61"/>
      <c r="F39" s="61"/>
      <c r="G39" s="61"/>
      <c r="H39" s="61"/>
      <c r="I39" s="57"/>
      <c r="J39" s="61"/>
      <c r="K39" s="57"/>
      <c r="L39" s="61"/>
      <c r="M39" s="22"/>
      <c r="N39" s="25"/>
      <c r="O39" s="53"/>
      <c r="P39" s="63"/>
    </row>
    <row r="40" spans="1:16" ht="15" customHeight="1" x14ac:dyDescent="0.3">
      <c r="A40" s="75">
        <v>3533</v>
      </c>
      <c r="B40" s="53"/>
      <c r="C40" s="8"/>
      <c r="D40" s="61"/>
      <c r="E40" s="61"/>
      <c r="F40" s="61"/>
      <c r="G40" s="61"/>
      <c r="H40" s="61"/>
      <c r="I40" s="57"/>
      <c r="J40" s="61"/>
      <c r="K40" s="57"/>
      <c r="L40" s="61"/>
      <c r="M40" s="22"/>
      <c r="N40" s="25"/>
      <c r="O40" s="53"/>
      <c r="P40" s="63"/>
    </row>
    <row r="41" spans="1:16" ht="15" customHeight="1" x14ac:dyDescent="0.3">
      <c r="A41" s="75">
        <v>3534</v>
      </c>
      <c r="B41" s="53"/>
      <c r="C41" s="8"/>
      <c r="D41" s="61"/>
      <c r="E41" s="61"/>
      <c r="F41" s="61"/>
      <c r="G41" s="61"/>
      <c r="H41" s="61"/>
      <c r="I41" s="57"/>
      <c r="J41" s="61"/>
      <c r="K41" s="57"/>
      <c r="L41" s="61"/>
      <c r="M41" s="22"/>
      <c r="N41" s="25"/>
      <c r="O41" s="53"/>
      <c r="P41" s="63"/>
    </row>
    <row r="42" spans="1:16" ht="15" customHeight="1" x14ac:dyDescent="0.3">
      <c r="A42" s="75">
        <v>3535</v>
      </c>
      <c r="B42" s="53"/>
      <c r="C42" s="8"/>
      <c r="D42" s="61"/>
      <c r="E42" s="61"/>
      <c r="F42" s="61"/>
      <c r="G42" s="61"/>
      <c r="H42" s="61"/>
      <c r="I42" s="57"/>
      <c r="J42" s="61"/>
      <c r="K42" s="57"/>
      <c r="L42" s="61"/>
      <c r="M42" s="22"/>
      <c r="N42" s="25"/>
      <c r="O42" s="53"/>
      <c r="P42" s="63"/>
    </row>
    <row r="43" spans="1:16" ht="15" customHeight="1" x14ac:dyDescent="0.3">
      <c r="A43" s="75">
        <v>3536</v>
      </c>
      <c r="B43" s="53"/>
      <c r="C43" s="8"/>
      <c r="D43" s="61"/>
      <c r="E43" s="61"/>
      <c r="F43" s="61"/>
      <c r="G43" s="61"/>
      <c r="H43" s="61"/>
      <c r="I43" s="57"/>
      <c r="J43" s="61"/>
      <c r="K43" s="57"/>
      <c r="L43" s="61"/>
      <c r="M43" s="22"/>
      <c r="N43" s="25"/>
      <c r="O43" s="53"/>
      <c r="P43" s="63"/>
    </row>
    <row r="44" spans="1:16" ht="15" customHeight="1" x14ac:dyDescent="0.3">
      <c r="A44" s="75">
        <v>3537</v>
      </c>
      <c r="B44" s="53"/>
      <c r="C44" s="8"/>
      <c r="D44" s="61"/>
      <c r="E44" s="61"/>
      <c r="F44" s="61"/>
      <c r="G44" s="61"/>
      <c r="H44" s="61"/>
      <c r="I44" s="57"/>
      <c r="J44" s="61"/>
      <c r="K44" s="57"/>
      <c r="L44" s="61"/>
      <c r="M44" s="22"/>
      <c r="N44" s="25"/>
      <c r="O44" s="53"/>
      <c r="P44" s="63"/>
    </row>
    <row r="45" spans="1:16" ht="15" customHeight="1" thickBot="1" x14ac:dyDescent="0.35">
      <c r="A45" s="76">
        <v>3538</v>
      </c>
      <c r="B45" s="53"/>
      <c r="C45" s="8"/>
      <c r="D45" s="61"/>
      <c r="E45" s="61"/>
      <c r="F45" s="61"/>
      <c r="G45" s="61"/>
      <c r="H45" s="61"/>
      <c r="I45" s="57"/>
      <c r="J45" s="61"/>
      <c r="K45" s="57"/>
      <c r="L45" s="61"/>
      <c r="M45" s="22"/>
      <c r="N45" s="25"/>
      <c r="O45" s="53"/>
      <c r="P45" s="63"/>
    </row>
    <row r="46" spans="1:16" ht="15" customHeight="1" x14ac:dyDescent="0.3">
      <c r="A46" s="74">
        <v>3540</v>
      </c>
      <c r="B46" s="53"/>
      <c r="C46" s="8"/>
      <c r="D46" s="61"/>
      <c r="E46" s="61"/>
      <c r="F46" s="61"/>
      <c r="G46" s="61"/>
      <c r="H46" s="61"/>
      <c r="I46" s="57"/>
      <c r="J46" s="61"/>
      <c r="K46" s="57"/>
      <c r="L46" s="61"/>
      <c r="M46" s="22"/>
      <c r="N46" s="25"/>
      <c r="O46" s="53"/>
      <c r="P46" s="63"/>
    </row>
    <row r="47" spans="1:16" ht="15" customHeight="1" x14ac:dyDescent="0.3">
      <c r="A47" s="75">
        <v>3541</v>
      </c>
      <c r="B47" s="53"/>
      <c r="C47" s="8"/>
      <c r="D47" s="61"/>
      <c r="E47" s="61"/>
      <c r="F47" s="61"/>
      <c r="G47" s="61"/>
      <c r="H47" s="61"/>
      <c r="I47" s="57"/>
      <c r="J47" s="61"/>
      <c r="K47" s="57"/>
      <c r="L47" s="61"/>
      <c r="M47" s="22"/>
      <c r="N47" s="25"/>
      <c r="O47" s="53"/>
      <c r="P47" s="63"/>
    </row>
    <row r="48" spans="1:16" ht="15" customHeight="1" x14ac:dyDescent="0.3">
      <c r="A48" s="75">
        <v>3542</v>
      </c>
      <c r="B48" s="53"/>
      <c r="C48" s="8"/>
      <c r="D48" s="61"/>
      <c r="E48" s="61"/>
      <c r="F48" s="61"/>
      <c r="G48" s="61"/>
      <c r="H48" s="61"/>
      <c r="I48" s="57"/>
      <c r="J48" s="61"/>
      <c r="K48" s="57"/>
      <c r="L48" s="61"/>
      <c r="M48" s="22"/>
      <c r="N48" s="25"/>
      <c r="O48" s="53"/>
      <c r="P48" s="63"/>
    </row>
    <row r="49" spans="1:16" ht="15" customHeight="1" x14ac:dyDescent="0.3">
      <c r="A49" s="75">
        <v>3543</v>
      </c>
      <c r="B49" s="53"/>
      <c r="C49" s="8"/>
      <c r="D49" s="61"/>
      <c r="E49" s="61"/>
      <c r="F49" s="61"/>
      <c r="G49" s="61"/>
      <c r="H49" s="61"/>
      <c r="I49" s="57"/>
      <c r="J49" s="61"/>
      <c r="K49" s="57"/>
      <c r="L49" s="61"/>
      <c r="M49" s="22"/>
      <c r="N49" s="25"/>
      <c r="O49" s="53"/>
      <c r="P49" s="63"/>
    </row>
    <row r="50" spans="1:16" ht="15" customHeight="1" x14ac:dyDescent="0.3">
      <c r="A50" s="75">
        <v>3544</v>
      </c>
      <c r="B50" s="53"/>
      <c r="C50" s="8"/>
      <c r="D50" s="61"/>
      <c r="E50" s="61"/>
      <c r="F50" s="61"/>
      <c r="G50" s="61"/>
      <c r="H50" s="61"/>
      <c r="I50" s="57"/>
      <c r="J50" s="61"/>
      <c r="K50" s="57"/>
      <c r="L50" s="61"/>
      <c r="M50" s="22"/>
      <c r="N50" s="25"/>
      <c r="O50" s="53"/>
      <c r="P50" s="63"/>
    </row>
    <row r="51" spans="1:16" ht="15" customHeight="1" x14ac:dyDescent="0.3">
      <c r="A51" s="75">
        <v>3545</v>
      </c>
      <c r="B51" s="53"/>
      <c r="C51" s="8"/>
      <c r="D51" s="61"/>
      <c r="E51" s="61"/>
      <c r="F51" s="61"/>
      <c r="G51" s="61"/>
      <c r="H51" s="61"/>
      <c r="I51" s="57"/>
      <c r="J51" s="61"/>
      <c r="K51" s="57"/>
      <c r="L51" s="61"/>
      <c r="M51" s="22"/>
      <c r="N51" s="25"/>
      <c r="O51" s="53"/>
      <c r="P51" s="63"/>
    </row>
    <row r="52" spans="1:16" ht="15" customHeight="1" x14ac:dyDescent="0.3">
      <c r="A52" s="75">
        <v>3546</v>
      </c>
      <c r="B52" s="53"/>
      <c r="C52" s="8"/>
      <c r="D52" s="61"/>
      <c r="E52" s="61"/>
      <c r="F52" s="61"/>
      <c r="G52" s="61"/>
      <c r="H52" s="61"/>
      <c r="I52" s="57"/>
      <c r="J52" s="61"/>
      <c r="K52" s="57"/>
      <c r="L52" s="61"/>
      <c r="M52" s="22"/>
      <c r="N52" s="25"/>
      <c r="O52" s="53"/>
      <c r="P52" s="63"/>
    </row>
    <row r="53" spans="1:16" ht="15" customHeight="1" x14ac:dyDescent="0.3">
      <c r="A53" s="75">
        <v>3547</v>
      </c>
      <c r="B53" s="53"/>
      <c r="C53" s="8"/>
      <c r="D53" s="61"/>
      <c r="E53" s="61"/>
      <c r="F53" s="61"/>
      <c r="G53" s="61"/>
      <c r="H53" s="61"/>
      <c r="I53" s="57"/>
      <c r="J53" s="61"/>
      <c r="K53" s="57"/>
      <c r="L53" s="61"/>
      <c r="M53" s="22"/>
      <c r="N53" s="25"/>
      <c r="O53" s="53"/>
      <c r="P53" s="63"/>
    </row>
    <row r="54" spans="1:16" ht="15" customHeight="1" x14ac:dyDescent="0.3">
      <c r="A54" s="75">
        <v>3548</v>
      </c>
      <c r="B54" s="53"/>
      <c r="C54" s="8"/>
      <c r="D54" s="61"/>
      <c r="E54" s="61"/>
      <c r="F54" s="61"/>
      <c r="G54" s="61"/>
      <c r="H54" s="61"/>
      <c r="I54" s="57"/>
      <c r="J54" s="61"/>
      <c r="K54" s="57"/>
      <c r="L54" s="61"/>
      <c r="M54" s="22"/>
      <c r="N54" s="25"/>
      <c r="O54" s="53"/>
      <c r="P54" s="63"/>
    </row>
    <row r="55" spans="1:16" ht="15" customHeight="1" x14ac:dyDescent="0.3">
      <c r="A55" s="75">
        <v>3549</v>
      </c>
      <c r="B55" s="53"/>
      <c r="C55" s="8"/>
      <c r="D55" s="61"/>
      <c r="E55" s="61"/>
      <c r="F55" s="61"/>
      <c r="G55" s="61"/>
      <c r="H55" s="61"/>
      <c r="I55" s="57"/>
      <c r="J55" s="61"/>
      <c r="K55" s="57"/>
      <c r="L55" s="61"/>
      <c r="M55" s="22"/>
      <c r="N55" s="25"/>
      <c r="O55" s="53"/>
      <c r="P55" s="63"/>
    </row>
    <row r="56" spans="1:16" ht="15" customHeight="1" thickBot="1" x14ac:dyDescent="0.35">
      <c r="A56" s="76">
        <v>3550</v>
      </c>
      <c r="B56" s="53"/>
      <c r="C56" s="8"/>
      <c r="D56" s="61"/>
      <c r="E56" s="61"/>
      <c r="F56" s="61"/>
      <c r="G56" s="61"/>
      <c r="H56" s="61"/>
      <c r="I56" s="57"/>
      <c r="J56" s="61"/>
      <c r="K56" s="57"/>
      <c r="L56" s="61"/>
      <c r="M56" s="22"/>
      <c r="N56" s="25"/>
      <c r="O56" s="53"/>
      <c r="P56" s="63"/>
    </row>
    <row r="57" spans="1:16" ht="15" customHeight="1" x14ac:dyDescent="0.3">
      <c r="A57" s="74">
        <v>3551</v>
      </c>
      <c r="B57" s="53"/>
      <c r="C57" s="8"/>
      <c r="D57" s="61"/>
      <c r="E57" s="61"/>
      <c r="F57" s="61"/>
      <c r="G57" s="61"/>
      <c r="H57" s="61"/>
      <c r="I57" s="57"/>
      <c r="J57" s="61"/>
      <c r="K57" s="57"/>
      <c r="L57" s="61"/>
      <c r="M57" s="22"/>
      <c r="N57" s="25"/>
      <c r="O57" s="53"/>
      <c r="P57" s="63"/>
    </row>
    <row r="58" spans="1:16" ht="15" customHeight="1" x14ac:dyDescent="0.3">
      <c r="A58" s="75">
        <v>3552</v>
      </c>
      <c r="B58" s="53"/>
      <c r="C58" s="8"/>
      <c r="D58" s="61"/>
      <c r="E58" s="61"/>
      <c r="F58" s="61"/>
      <c r="G58" s="61"/>
      <c r="H58" s="61"/>
      <c r="I58" s="57"/>
      <c r="J58" s="61"/>
      <c r="K58" s="57"/>
      <c r="L58" s="61"/>
      <c r="M58" s="22"/>
      <c r="N58" s="25"/>
      <c r="O58" s="53"/>
      <c r="P58" s="63"/>
    </row>
    <row r="59" spans="1:16" ht="15" customHeight="1" x14ac:dyDescent="0.3">
      <c r="A59" s="75">
        <v>3553</v>
      </c>
      <c r="B59" s="53"/>
      <c r="C59" s="8"/>
      <c r="D59" s="61"/>
      <c r="E59" s="61"/>
      <c r="F59" s="61"/>
      <c r="G59" s="61"/>
      <c r="H59" s="61"/>
      <c r="I59" s="57"/>
      <c r="J59" s="61"/>
      <c r="K59" s="57"/>
      <c r="L59" s="61"/>
      <c r="M59" s="22"/>
      <c r="N59" s="25"/>
      <c r="O59" s="53"/>
      <c r="P59" s="63"/>
    </row>
    <row r="60" spans="1:16" ht="15" customHeight="1" x14ac:dyDescent="0.3">
      <c r="A60" s="75">
        <v>3554</v>
      </c>
      <c r="B60" s="53"/>
      <c r="C60" s="8"/>
      <c r="D60" s="61"/>
      <c r="E60" s="61"/>
      <c r="F60" s="61"/>
      <c r="G60" s="61"/>
      <c r="H60" s="61"/>
      <c r="I60" s="57"/>
      <c r="J60" s="61"/>
      <c r="K60" s="57"/>
      <c r="L60" s="61"/>
      <c r="M60" s="22"/>
      <c r="N60" s="25"/>
      <c r="O60" s="53"/>
      <c r="P60" s="63"/>
    </row>
    <row r="61" spans="1:16" ht="15" customHeight="1" x14ac:dyDescent="0.3">
      <c r="A61" s="75">
        <v>3555</v>
      </c>
      <c r="B61" s="53"/>
      <c r="C61" s="8"/>
      <c r="D61" s="61"/>
      <c r="E61" s="61"/>
      <c r="F61" s="61"/>
      <c r="G61" s="61"/>
      <c r="H61" s="61"/>
      <c r="I61" s="57"/>
      <c r="J61" s="61"/>
      <c r="K61" s="57"/>
      <c r="L61" s="61"/>
      <c r="M61" s="22"/>
      <c r="N61" s="25"/>
      <c r="O61" s="53"/>
      <c r="P61" s="63"/>
    </row>
    <row r="62" spans="1:16" ht="15" customHeight="1" x14ac:dyDescent="0.3">
      <c r="A62" s="75">
        <v>3556</v>
      </c>
      <c r="B62" s="53"/>
      <c r="C62" s="8"/>
      <c r="D62" s="61"/>
      <c r="E62" s="61"/>
      <c r="F62" s="61"/>
      <c r="G62" s="61"/>
      <c r="H62" s="61"/>
      <c r="I62" s="57"/>
      <c r="J62" s="61"/>
      <c r="K62" s="57"/>
      <c r="L62" s="61"/>
      <c r="M62" s="22"/>
      <c r="N62" s="25"/>
      <c r="O62" s="53"/>
      <c r="P62" s="63"/>
    </row>
    <row r="63" spans="1:16" ht="15" customHeight="1" x14ac:dyDescent="0.3">
      <c r="A63" s="75">
        <v>3557</v>
      </c>
      <c r="B63" s="53"/>
      <c r="C63" s="8"/>
      <c r="D63" s="61"/>
      <c r="E63" s="61"/>
      <c r="F63" s="61"/>
      <c r="G63" s="61"/>
      <c r="H63" s="61"/>
      <c r="I63" s="57"/>
      <c r="J63" s="61"/>
      <c r="K63" s="57"/>
      <c r="L63" s="61"/>
      <c r="M63" s="22"/>
      <c r="N63" s="25"/>
      <c r="O63" s="53"/>
      <c r="P63" s="63"/>
    </row>
    <row r="64" spans="1:16" ht="15" customHeight="1" x14ac:dyDescent="0.3">
      <c r="A64" s="75">
        <v>3558</v>
      </c>
      <c r="B64" s="53"/>
      <c r="C64" s="8"/>
      <c r="D64" s="61"/>
      <c r="E64" s="61"/>
      <c r="F64" s="61"/>
      <c r="G64" s="61"/>
      <c r="H64" s="61"/>
      <c r="I64" s="57"/>
      <c r="J64" s="61"/>
      <c r="K64" s="57"/>
      <c r="L64" s="61"/>
      <c r="M64" s="22"/>
      <c r="N64" s="25"/>
      <c r="O64" s="53"/>
      <c r="P64" s="63"/>
    </row>
    <row r="65" spans="1:16" ht="15" customHeight="1" thickBot="1" x14ac:dyDescent="0.35">
      <c r="A65" s="75">
        <v>3559</v>
      </c>
      <c r="B65" s="53"/>
      <c r="C65" s="8"/>
      <c r="D65" s="61"/>
      <c r="E65" s="61"/>
      <c r="F65" s="61"/>
      <c r="G65" s="61"/>
      <c r="H65" s="61"/>
      <c r="I65" s="57"/>
      <c r="J65" s="61"/>
      <c r="K65" s="57"/>
      <c r="L65" s="61"/>
      <c r="M65" s="22"/>
      <c r="N65" s="25"/>
      <c r="O65" s="53"/>
      <c r="P65" s="63"/>
    </row>
    <row r="66" spans="1:16" ht="15" customHeight="1" x14ac:dyDescent="0.3">
      <c r="A66" s="77">
        <v>3560</v>
      </c>
      <c r="B66" s="53"/>
      <c r="C66" s="8"/>
      <c r="D66" s="61"/>
      <c r="E66" s="61"/>
      <c r="F66" s="61"/>
      <c r="G66" s="61"/>
      <c r="H66" s="61"/>
      <c r="I66" s="57"/>
      <c r="J66" s="61"/>
      <c r="K66" s="57"/>
      <c r="L66" s="61"/>
      <c r="M66" s="22"/>
      <c r="N66" s="25"/>
      <c r="O66" s="53"/>
      <c r="P66" s="63"/>
    </row>
    <row r="67" spans="1:16" ht="15" customHeight="1" x14ac:dyDescent="0.3">
      <c r="A67" s="78">
        <v>3561</v>
      </c>
      <c r="B67" s="53"/>
      <c r="C67" s="8"/>
      <c r="D67" s="61"/>
      <c r="E67" s="61"/>
      <c r="F67" s="61"/>
      <c r="G67" s="61"/>
      <c r="H67" s="61"/>
      <c r="I67" s="57"/>
      <c r="J67" s="61"/>
      <c r="K67" s="57"/>
      <c r="L67" s="61"/>
      <c r="M67" s="22"/>
      <c r="N67" s="25"/>
      <c r="O67" s="53"/>
      <c r="P67" s="63"/>
    </row>
    <row r="68" spans="1:16" ht="18.75" x14ac:dyDescent="0.3">
      <c r="A68" s="78">
        <v>3562</v>
      </c>
      <c r="B68" s="53"/>
      <c r="C68" s="8"/>
      <c r="D68" s="61"/>
      <c r="E68" s="61"/>
      <c r="F68" s="61"/>
      <c r="G68" s="61"/>
      <c r="H68" s="61"/>
      <c r="I68" s="57"/>
      <c r="J68" s="61"/>
      <c r="K68" s="57"/>
      <c r="L68" s="61"/>
      <c r="M68" s="22"/>
      <c r="N68" s="25"/>
      <c r="O68" s="53"/>
      <c r="P68" s="63"/>
    </row>
    <row r="69" spans="1:16" ht="18.75" x14ac:dyDescent="0.3">
      <c r="A69" s="78">
        <v>3563</v>
      </c>
      <c r="B69" s="53"/>
      <c r="C69" s="8"/>
      <c r="D69" s="61"/>
      <c r="E69" s="61"/>
      <c r="F69" s="61"/>
      <c r="G69" s="61"/>
      <c r="H69" s="61"/>
      <c r="I69" s="57"/>
      <c r="J69" s="61"/>
      <c r="K69" s="57"/>
      <c r="L69" s="61"/>
      <c r="M69" s="22"/>
      <c r="N69" s="25"/>
      <c r="O69" s="53"/>
      <c r="P69" s="63"/>
    </row>
    <row r="70" spans="1:16" ht="18.75" x14ac:dyDescent="0.3">
      <c r="A70" s="78">
        <v>3564</v>
      </c>
      <c r="B70" s="53"/>
      <c r="C70" s="8"/>
      <c r="D70" s="61"/>
      <c r="E70" s="61"/>
      <c r="F70" s="61"/>
      <c r="G70" s="61"/>
      <c r="H70" s="61"/>
      <c r="I70" s="57"/>
      <c r="J70" s="61"/>
      <c r="K70" s="57"/>
      <c r="L70" s="61"/>
      <c r="M70" s="22"/>
      <c r="N70" s="25"/>
      <c r="O70" s="53"/>
      <c r="P70" s="63"/>
    </row>
    <row r="71" spans="1:16" ht="18.75" x14ac:dyDescent="0.3">
      <c r="A71" s="78">
        <v>3565</v>
      </c>
      <c r="B71" s="53"/>
      <c r="C71" s="8"/>
      <c r="D71" s="61"/>
      <c r="E71" s="61"/>
      <c r="F71" s="61"/>
      <c r="G71" s="61"/>
      <c r="H71" s="61"/>
      <c r="I71" s="57"/>
      <c r="J71" s="61"/>
      <c r="K71" s="57"/>
      <c r="L71" s="61"/>
      <c r="M71" s="22"/>
      <c r="N71" s="25"/>
      <c r="O71" s="53"/>
      <c r="P71" s="63"/>
    </row>
    <row r="72" spans="1:16" ht="18.75" x14ac:dyDescent="0.3">
      <c r="A72" s="78">
        <v>3566</v>
      </c>
      <c r="B72" s="53"/>
      <c r="C72" s="8"/>
      <c r="D72" s="61"/>
      <c r="E72" s="61"/>
      <c r="F72" s="61"/>
      <c r="G72" s="61"/>
      <c r="H72" s="61"/>
      <c r="I72" s="57"/>
      <c r="J72" s="61"/>
      <c r="K72" s="57"/>
      <c r="L72" s="61"/>
      <c r="M72" s="22"/>
      <c r="N72" s="25"/>
      <c r="O72" s="53"/>
      <c r="P72" s="63"/>
    </row>
    <row r="73" spans="1:16" ht="18.75" x14ac:dyDescent="0.3">
      <c r="A73" s="79">
        <v>3567</v>
      </c>
      <c r="B73" s="53"/>
      <c r="C73" s="8"/>
      <c r="D73" s="61"/>
      <c r="E73" s="61"/>
      <c r="F73" s="61"/>
      <c r="G73" s="61"/>
      <c r="H73" s="61"/>
      <c r="I73" s="57"/>
      <c r="J73" s="61"/>
      <c r="K73" s="57"/>
      <c r="L73" s="61"/>
      <c r="M73" s="22"/>
      <c r="N73" s="25"/>
      <c r="O73" s="53"/>
      <c r="P73" s="63"/>
    </row>
    <row r="74" spans="1:16" x14ac:dyDescent="0.25">
      <c r="P74" s="23"/>
    </row>
    <row r="75" spans="1:16" x14ac:dyDescent="0.25">
      <c r="P75" s="23"/>
    </row>
    <row r="76" spans="1:16" x14ac:dyDescent="0.25">
      <c r="P76" s="23"/>
    </row>
    <row r="77" spans="1:16" x14ac:dyDescent="0.25">
      <c r="P77" s="23"/>
    </row>
    <row r="78" spans="1:16" x14ac:dyDescent="0.25">
      <c r="P78" s="23"/>
    </row>
    <row r="79" spans="1:16" x14ac:dyDescent="0.25">
      <c r="P79" s="23"/>
    </row>
    <row r="80" spans="1:16" x14ac:dyDescent="0.25">
      <c r="P80" s="23"/>
    </row>
    <row r="81" spans="16:16" x14ac:dyDescent="0.25">
      <c r="P81" s="23"/>
    </row>
    <row r="82" spans="16:16" x14ac:dyDescent="0.25">
      <c r="P82" s="23"/>
    </row>
    <row r="83" spans="16:16" x14ac:dyDescent="0.25">
      <c r="P83" s="23"/>
    </row>
    <row r="84" spans="16:16" x14ac:dyDescent="0.25">
      <c r="P84" s="23"/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A2:A73 D2:H73 J2:J73 L2:L73 P2:P73" xr:uid="{FD499695-94D5-41B8-9E24-ECBAA8F13D70}">
      <formula1>0</formula1>
    </dataValidation>
    <dataValidation type="date" operator="greaterThanOrEqual" allowBlank="1" showInputMessage="1" showErrorMessage="1" sqref="B2:B73 I2:I73 K2:K73 O2:O73" xr:uid="{5287AA13-2A41-4CC6-904B-A12EA3070C24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566D9E4-FC8B-45FC-BF34-9ADCB6E049BA}">
          <x14:formula1>
            <xm:f>Inspected!$D$1</xm:f>
          </x14:formula1>
          <xm:sqref>C2:C73</xm:sqref>
        </x14:dataValidation>
        <x14:dataValidation type="list" allowBlank="1" showInputMessage="1" showErrorMessage="1" xr:uid="{D36A6FFA-55DA-48EC-85E7-B3DD89DB0FFE}">
          <x14:formula1>
            <xm:f>Inspected!$A$1:$A$2</xm:f>
          </x14:formula1>
          <xm:sqref>M2:M73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8995D-7307-4EE0-82B7-86BFE34F994A}">
  <dimension ref="A1:U207"/>
  <sheetViews>
    <sheetView zoomScaleNormal="100" workbookViewId="0">
      <selection activeCell="B70" sqref="B70:P70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80" t="s">
        <v>0</v>
      </c>
      <c r="B1" s="34" t="s">
        <v>1</v>
      </c>
      <c r="C1" s="34" t="s">
        <v>26</v>
      </c>
      <c r="D1" s="35" t="s">
        <v>2</v>
      </c>
      <c r="E1" s="35" t="s">
        <v>3</v>
      </c>
      <c r="F1" s="35" t="s">
        <v>4</v>
      </c>
      <c r="G1" s="35" t="s">
        <v>5</v>
      </c>
      <c r="H1" s="35" t="s">
        <v>6</v>
      </c>
      <c r="I1" s="36" t="s">
        <v>7</v>
      </c>
      <c r="J1" s="36" t="s">
        <v>8</v>
      </c>
      <c r="K1" s="37" t="s">
        <v>9</v>
      </c>
      <c r="L1" s="37" t="s">
        <v>27</v>
      </c>
      <c r="M1" s="38" t="s">
        <v>10</v>
      </c>
      <c r="N1" s="39" t="s">
        <v>11</v>
      </c>
      <c r="O1" s="40" t="s">
        <v>12</v>
      </c>
      <c r="P1" s="41" t="s">
        <v>13</v>
      </c>
    </row>
    <row r="2" spans="1:21" ht="15" customHeight="1" x14ac:dyDescent="0.3">
      <c r="A2" s="71">
        <v>3231</v>
      </c>
      <c r="B2" s="53"/>
      <c r="C2" s="8"/>
      <c r="D2" s="61"/>
      <c r="E2" s="61"/>
      <c r="F2" s="61"/>
      <c r="G2" s="61"/>
      <c r="H2" s="61"/>
      <c r="I2" s="57"/>
      <c r="J2" s="61"/>
      <c r="K2" s="57"/>
      <c r="L2" s="61"/>
      <c r="M2" s="22"/>
      <c r="N2" s="25"/>
      <c r="O2" s="53"/>
      <c r="P2" s="63"/>
      <c r="R2" s="81" t="s">
        <v>15</v>
      </c>
      <c r="S2" s="82"/>
      <c r="T2" s="82"/>
      <c r="U2" s="83"/>
    </row>
    <row r="3" spans="1:21" ht="15" customHeight="1" x14ac:dyDescent="0.3">
      <c r="A3" s="72">
        <v>3232</v>
      </c>
      <c r="B3" s="53"/>
      <c r="C3" s="8"/>
      <c r="D3" s="61"/>
      <c r="E3" s="61"/>
      <c r="F3" s="61"/>
      <c r="G3" s="61"/>
      <c r="H3" s="61"/>
      <c r="I3" s="57"/>
      <c r="J3" s="61"/>
      <c r="K3" s="57"/>
      <c r="L3" s="61"/>
      <c r="M3" s="22"/>
      <c r="N3" s="25"/>
      <c r="O3" s="53"/>
      <c r="P3" s="63"/>
      <c r="R3" s="10" t="s">
        <v>16</v>
      </c>
      <c r="S3" s="11" t="s">
        <v>17</v>
      </c>
      <c r="T3" s="12" t="s">
        <v>18</v>
      </c>
      <c r="U3" s="13" t="s">
        <v>19</v>
      </c>
    </row>
    <row r="4" spans="1:21" ht="15" customHeight="1" thickBot="1" x14ac:dyDescent="0.35">
      <c r="A4" s="72">
        <v>3233</v>
      </c>
      <c r="B4" s="53"/>
      <c r="C4" s="8"/>
      <c r="D4" s="61"/>
      <c r="E4" s="61"/>
      <c r="F4" s="61"/>
      <c r="G4" s="61"/>
      <c r="H4" s="61"/>
      <c r="I4" s="57"/>
      <c r="J4" s="61"/>
      <c r="K4" s="57"/>
      <c r="L4" s="61"/>
      <c r="M4" s="22"/>
      <c r="N4" s="25"/>
      <c r="O4" s="53"/>
      <c r="P4" s="63"/>
      <c r="R4" s="14">
        <v>36</v>
      </c>
      <c r="S4" s="15">
        <f>COUNTA(A:A)-1</f>
        <v>72</v>
      </c>
      <c r="T4" s="15">
        <f>COUNTA(O:O)-1</f>
        <v>0</v>
      </c>
      <c r="U4" s="21">
        <f>T4/S4</f>
        <v>0</v>
      </c>
    </row>
    <row r="5" spans="1:21" ht="15" customHeight="1" x14ac:dyDescent="0.3">
      <c r="A5" s="72">
        <v>3234</v>
      </c>
      <c r="B5" s="53"/>
      <c r="C5" s="8"/>
      <c r="D5" s="61"/>
      <c r="E5" s="61"/>
      <c r="F5" s="61"/>
      <c r="G5" s="61"/>
      <c r="H5" s="61"/>
      <c r="I5" s="57"/>
      <c r="J5" s="61"/>
      <c r="K5" s="57"/>
      <c r="L5" s="61"/>
      <c r="M5" s="22"/>
      <c r="N5" s="25"/>
      <c r="O5" s="53"/>
      <c r="P5" s="63"/>
    </row>
    <row r="6" spans="1:21" ht="15" customHeight="1" x14ac:dyDescent="0.3">
      <c r="A6" s="72">
        <v>3235</v>
      </c>
      <c r="B6" s="53"/>
      <c r="C6" s="8"/>
      <c r="D6" s="61"/>
      <c r="E6" s="61"/>
      <c r="F6" s="61"/>
      <c r="G6" s="61"/>
      <c r="H6" s="61"/>
      <c r="I6" s="57"/>
      <c r="J6" s="61"/>
      <c r="K6" s="57"/>
      <c r="L6" s="61"/>
      <c r="M6" s="22"/>
      <c r="N6" s="25"/>
      <c r="O6" s="53"/>
      <c r="P6" s="63"/>
    </row>
    <row r="7" spans="1:21" ht="15" customHeight="1" x14ac:dyDescent="0.3">
      <c r="A7" s="72">
        <v>3236</v>
      </c>
      <c r="B7" s="53"/>
      <c r="C7" s="8"/>
      <c r="D7" s="61"/>
      <c r="E7" s="61"/>
      <c r="F7" s="61"/>
      <c r="G7" s="61"/>
      <c r="H7" s="61"/>
      <c r="I7" s="57"/>
      <c r="J7" s="61"/>
      <c r="K7" s="57"/>
      <c r="L7" s="61"/>
      <c r="M7" s="22"/>
      <c r="N7" s="25"/>
      <c r="O7" s="53"/>
      <c r="P7" s="63"/>
    </row>
    <row r="8" spans="1:21" ht="15" customHeight="1" x14ac:dyDescent="0.3">
      <c r="A8" s="72">
        <v>3237</v>
      </c>
      <c r="B8" s="53"/>
      <c r="C8" s="8"/>
      <c r="D8" s="61"/>
      <c r="E8" s="61"/>
      <c r="F8" s="61"/>
      <c r="G8" s="61"/>
      <c r="H8" s="61"/>
      <c r="I8" s="57"/>
      <c r="J8" s="61"/>
      <c r="K8" s="57"/>
      <c r="L8" s="61"/>
      <c r="M8" s="22"/>
      <c r="N8" s="25"/>
      <c r="O8" s="53"/>
      <c r="P8" s="63"/>
    </row>
    <row r="9" spans="1:21" ht="15" customHeight="1" x14ac:dyDescent="0.3">
      <c r="A9" s="72">
        <v>3238</v>
      </c>
      <c r="B9" s="53"/>
      <c r="C9" s="8"/>
      <c r="D9" s="61"/>
      <c r="E9" s="61"/>
      <c r="F9" s="61"/>
      <c r="G9" s="61"/>
      <c r="H9" s="61"/>
      <c r="I9" s="57"/>
      <c r="J9" s="61"/>
      <c r="K9" s="57"/>
      <c r="L9" s="61"/>
      <c r="M9" s="22"/>
      <c r="N9" s="25"/>
      <c r="O9" s="53"/>
      <c r="P9" s="63"/>
    </row>
    <row r="10" spans="1:21" ht="15" customHeight="1" x14ac:dyDescent="0.3">
      <c r="A10" s="72">
        <v>3239</v>
      </c>
      <c r="B10" s="53"/>
      <c r="C10" s="8"/>
      <c r="D10" s="61"/>
      <c r="E10" s="61"/>
      <c r="F10" s="61"/>
      <c r="G10" s="61"/>
      <c r="H10" s="61"/>
      <c r="I10" s="57"/>
      <c r="J10" s="61"/>
      <c r="K10" s="57"/>
      <c r="L10" s="61"/>
      <c r="M10" s="22"/>
      <c r="N10" s="25"/>
      <c r="O10" s="53"/>
      <c r="P10" s="63"/>
    </row>
    <row r="11" spans="1:21" ht="15" customHeight="1" x14ac:dyDescent="0.3">
      <c r="A11" s="72">
        <v>3240</v>
      </c>
      <c r="B11" s="53"/>
      <c r="C11" s="8"/>
      <c r="D11" s="61"/>
      <c r="E11" s="61"/>
      <c r="F11" s="61"/>
      <c r="G11" s="61"/>
      <c r="H11" s="61"/>
      <c r="I11" s="57"/>
      <c r="J11" s="61"/>
      <c r="K11" s="57"/>
      <c r="L11" s="61"/>
      <c r="M11" s="22"/>
      <c r="N11" s="25"/>
      <c r="O11" s="53"/>
      <c r="P11" s="63"/>
    </row>
    <row r="12" spans="1:21" ht="15" customHeight="1" thickBot="1" x14ac:dyDescent="0.35">
      <c r="A12" s="73">
        <v>3241</v>
      </c>
      <c r="B12" s="53"/>
      <c r="C12" s="8"/>
      <c r="D12" s="61"/>
      <c r="E12" s="61"/>
      <c r="F12" s="61"/>
      <c r="G12" s="61"/>
      <c r="H12" s="61"/>
      <c r="I12" s="57"/>
      <c r="J12" s="61"/>
      <c r="K12" s="57"/>
      <c r="L12" s="61"/>
      <c r="M12" s="22"/>
      <c r="N12" s="25"/>
      <c r="O12" s="53"/>
      <c r="P12" s="63"/>
    </row>
    <row r="13" spans="1:21" ht="15" customHeight="1" x14ac:dyDescent="0.3">
      <c r="A13" s="74">
        <v>3242</v>
      </c>
      <c r="B13" s="53"/>
      <c r="C13" s="8"/>
      <c r="D13" s="61"/>
      <c r="E13" s="61"/>
      <c r="F13" s="61"/>
      <c r="G13" s="61"/>
      <c r="H13" s="61"/>
      <c r="I13" s="57"/>
      <c r="J13" s="61"/>
      <c r="K13" s="57"/>
      <c r="L13" s="61"/>
      <c r="M13" s="22"/>
      <c r="N13" s="25"/>
      <c r="O13" s="53"/>
      <c r="P13" s="63"/>
    </row>
    <row r="14" spans="1:21" ht="15" customHeight="1" x14ac:dyDescent="0.3">
      <c r="A14" s="75">
        <v>3243</v>
      </c>
      <c r="B14" s="53"/>
      <c r="C14" s="8"/>
      <c r="D14" s="61"/>
      <c r="E14" s="61"/>
      <c r="F14" s="61"/>
      <c r="G14" s="61"/>
      <c r="H14" s="61"/>
      <c r="I14" s="57"/>
      <c r="J14" s="61"/>
      <c r="K14" s="57"/>
      <c r="L14" s="61"/>
      <c r="M14" s="22"/>
      <c r="N14" s="25"/>
      <c r="O14" s="53"/>
      <c r="P14" s="63"/>
    </row>
    <row r="15" spans="1:21" ht="15" customHeight="1" x14ac:dyDescent="0.3">
      <c r="A15" s="75">
        <v>3244</v>
      </c>
      <c r="B15" s="53"/>
      <c r="C15" s="8"/>
      <c r="D15" s="61"/>
      <c r="E15" s="61"/>
      <c r="F15" s="61"/>
      <c r="G15" s="61"/>
      <c r="H15" s="61"/>
      <c r="I15" s="57"/>
      <c r="J15" s="61"/>
      <c r="K15" s="57"/>
      <c r="L15" s="61"/>
      <c r="M15" s="22"/>
      <c r="N15" s="25"/>
      <c r="O15" s="53"/>
      <c r="P15" s="63"/>
    </row>
    <row r="16" spans="1:21" ht="15" customHeight="1" x14ac:dyDescent="0.3">
      <c r="A16" s="75">
        <v>3245</v>
      </c>
      <c r="B16" s="53"/>
      <c r="C16" s="8"/>
      <c r="D16" s="61"/>
      <c r="E16" s="61"/>
      <c r="F16" s="61"/>
      <c r="G16" s="61"/>
      <c r="H16" s="61"/>
      <c r="I16" s="57"/>
      <c r="J16" s="61"/>
      <c r="K16" s="57"/>
      <c r="L16" s="61"/>
      <c r="M16" s="22"/>
      <c r="N16" s="25"/>
      <c r="O16" s="53"/>
      <c r="P16" s="63"/>
    </row>
    <row r="17" spans="1:16" ht="15" customHeight="1" x14ac:dyDescent="0.3">
      <c r="A17" s="75">
        <v>3246</v>
      </c>
      <c r="B17" s="53"/>
      <c r="C17" s="8"/>
      <c r="D17" s="61"/>
      <c r="E17" s="61"/>
      <c r="F17" s="61"/>
      <c r="G17" s="61"/>
      <c r="H17" s="61"/>
      <c r="I17" s="57"/>
      <c r="J17" s="61"/>
      <c r="K17" s="57"/>
      <c r="L17" s="61"/>
      <c r="M17" s="22"/>
      <c r="N17" s="25"/>
      <c r="O17" s="53"/>
      <c r="P17" s="63"/>
    </row>
    <row r="18" spans="1:16" ht="15" customHeight="1" x14ac:dyDescent="0.3">
      <c r="A18" s="75">
        <v>3247</v>
      </c>
      <c r="B18" s="53"/>
      <c r="C18" s="8"/>
      <c r="D18" s="61"/>
      <c r="E18" s="61"/>
      <c r="F18" s="61"/>
      <c r="G18" s="61"/>
      <c r="H18" s="61"/>
      <c r="I18" s="57"/>
      <c r="J18" s="61"/>
      <c r="K18" s="57"/>
      <c r="L18" s="61"/>
      <c r="M18" s="22"/>
      <c r="N18" s="25"/>
      <c r="O18" s="53"/>
      <c r="P18" s="63"/>
    </row>
    <row r="19" spans="1:16" ht="15" customHeight="1" x14ac:dyDescent="0.3">
      <c r="A19" s="75">
        <v>3248</v>
      </c>
      <c r="B19" s="53"/>
      <c r="C19" s="8"/>
      <c r="D19" s="61"/>
      <c r="E19" s="61"/>
      <c r="F19" s="61"/>
      <c r="G19" s="61"/>
      <c r="H19" s="61"/>
      <c r="I19" s="57"/>
      <c r="J19" s="61"/>
      <c r="K19" s="57"/>
      <c r="L19" s="61"/>
      <c r="M19" s="22"/>
      <c r="N19" s="25"/>
      <c r="O19" s="53"/>
      <c r="P19" s="63"/>
    </row>
    <row r="20" spans="1:16" ht="15" customHeight="1" x14ac:dyDescent="0.3">
      <c r="A20" s="75">
        <v>3250</v>
      </c>
      <c r="B20" s="53"/>
      <c r="C20" s="8"/>
      <c r="D20" s="61"/>
      <c r="E20" s="61"/>
      <c r="F20" s="61"/>
      <c r="G20" s="61"/>
      <c r="H20" s="61"/>
      <c r="I20" s="57"/>
      <c r="J20" s="61"/>
      <c r="K20" s="57"/>
      <c r="L20" s="61"/>
      <c r="M20" s="22"/>
      <c r="N20" s="25"/>
      <c r="O20" s="53"/>
      <c r="P20" s="63"/>
    </row>
    <row r="21" spans="1:16" ht="15" customHeight="1" x14ac:dyDescent="0.3">
      <c r="A21" s="75">
        <v>3251</v>
      </c>
      <c r="B21" s="53"/>
      <c r="C21" s="8"/>
      <c r="D21" s="61"/>
      <c r="E21" s="61"/>
      <c r="F21" s="61"/>
      <c r="G21" s="61"/>
      <c r="H21" s="61"/>
      <c r="I21" s="57"/>
      <c r="J21" s="61"/>
      <c r="K21" s="57"/>
      <c r="L21" s="61"/>
      <c r="M21" s="22"/>
      <c r="N21" s="25"/>
      <c r="O21" s="53"/>
      <c r="P21" s="63"/>
    </row>
    <row r="22" spans="1:16" ht="15" customHeight="1" x14ac:dyDescent="0.3">
      <c r="A22" s="75">
        <v>3252</v>
      </c>
      <c r="B22" s="53"/>
      <c r="C22" s="8"/>
      <c r="D22" s="61"/>
      <c r="E22" s="61"/>
      <c r="F22" s="61"/>
      <c r="G22" s="61"/>
      <c r="H22" s="61"/>
      <c r="I22" s="57"/>
      <c r="J22" s="61"/>
      <c r="K22" s="57"/>
      <c r="L22" s="61"/>
      <c r="M22" s="22"/>
      <c r="N22" s="25"/>
      <c r="O22" s="53"/>
      <c r="P22" s="63"/>
    </row>
    <row r="23" spans="1:16" ht="15" customHeight="1" thickBot="1" x14ac:dyDescent="0.35">
      <c r="A23" s="76">
        <v>3253</v>
      </c>
      <c r="B23" s="53"/>
      <c r="C23" s="8"/>
      <c r="D23" s="61"/>
      <c r="E23" s="61"/>
      <c r="F23" s="61"/>
      <c r="G23" s="61"/>
      <c r="H23" s="61"/>
      <c r="I23" s="57"/>
      <c r="J23" s="61"/>
      <c r="K23" s="57"/>
      <c r="L23" s="61"/>
      <c r="M23" s="22"/>
      <c r="N23" s="25"/>
      <c r="O23" s="53"/>
      <c r="P23" s="63"/>
    </row>
    <row r="24" spans="1:16" ht="15" customHeight="1" x14ac:dyDescent="0.3">
      <c r="A24" s="74">
        <v>3254</v>
      </c>
      <c r="B24" s="53"/>
      <c r="C24" s="8"/>
      <c r="D24" s="61"/>
      <c r="E24" s="61"/>
      <c r="F24" s="61"/>
      <c r="G24" s="61"/>
      <c r="H24" s="61"/>
      <c r="I24" s="57"/>
      <c r="J24" s="61"/>
      <c r="K24" s="57"/>
      <c r="L24" s="61"/>
      <c r="M24" s="22"/>
      <c r="N24" s="25"/>
      <c r="O24" s="53"/>
      <c r="P24" s="63"/>
    </row>
    <row r="25" spans="1:16" ht="15" customHeight="1" x14ac:dyDescent="0.3">
      <c r="A25" s="75">
        <v>3255</v>
      </c>
      <c r="B25" s="53"/>
      <c r="C25" s="8"/>
      <c r="D25" s="61"/>
      <c r="E25" s="61"/>
      <c r="F25" s="61"/>
      <c r="G25" s="61"/>
      <c r="H25" s="61"/>
      <c r="I25" s="57"/>
      <c r="J25" s="61"/>
      <c r="K25" s="57"/>
      <c r="L25" s="61"/>
      <c r="M25" s="22"/>
      <c r="N25" s="25"/>
      <c r="O25" s="53"/>
      <c r="P25" s="63"/>
    </row>
    <row r="26" spans="1:16" ht="15" customHeight="1" x14ac:dyDescent="0.3">
      <c r="A26" s="75">
        <v>3256</v>
      </c>
      <c r="B26" s="53"/>
      <c r="C26" s="8"/>
      <c r="D26" s="61"/>
      <c r="E26" s="61"/>
      <c r="F26" s="61"/>
      <c r="G26" s="61"/>
      <c r="H26" s="61"/>
      <c r="I26" s="57"/>
      <c r="J26" s="61"/>
      <c r="K26" s="57"/>
      <c r="L26" s="61"/>
      <c r="M26" s="22"/>
      <c r="N26" s="25"/>
      <c r="O26" s="53"/>
      <c r="P26" s="63"/>
    </row>
    <row r="27" spans="1:16" ht="15" customHeight="1" x14ac:dyDescent="0.3">
      <c r="A27" s="75">
        <v>3258</v>
      </c>
      <c r="B27" s="53"/>
      <c r="C27" s="8"/>
      <c r="D27" s="61"/>
      <c r="E27" s="61"/>
      <c r="F27" s="61"/>
      <c r="G27" s="61"/>
      <c r="H27" s="61"/>
      <c r="I27" s="57"/>
      <c r="J27" s="61"/>
      <c r="K27" s="57"/>
      <c r="L27" s="61"/>
      <c r="M27" s="22"/>
      <c r="N27" s="25"/>
      <c r="O27" s="53"/>
      <c r="P27" s="63"/>
    </row>
    <row r="28" spans="1:16" ht="15" customHeight="1" x14ac:dyDescent="0.3">
      <c r="A28" s="75">
        <v>3259</v>
      </c>
      <c r="B28" s="53"/>
      <c r="C28" s="8"/>
      <c r="D28" s="61"/>
      <c r="E28" s="61"/>
      <c r="F28" s="61"/>
      <c r="G28" s="61"/>
      <c r="H28" s="61"/>
      <c r="I28" s="57"/>
      <c r="J28" s="61"/>
      <c r="K28" s="57"/>
      <c r="L28" s="61"/>
      <c r="M28" s="22"/>
      <c r="N28" s="25"/>
      <c r="O28" s="53"/>
      <c r="P28" s="63"/>
    </row>
    <row r="29" spans="1:16" ht="15" customHeight="1" x14ac:dyDescent="0.3">
      <c r="A29" s="75">
        <v>3260</v>
      </c>
      <c r="B29" s="53"/>
      <c r="C29" s="8"/>
      <c r="D29" s="61"/>
      <c r="E29" s="61"/>
      <c r="F29" s="61"/>
      <c r="G29" s="61"/>
      <c r="H29" s="61"/>
      <c r="I29" s="57"/>
      <c r="J29" s="61"/>
      <c r="K29" s="57"/>
      <c r="L29" s="61"/>
      <c r="M29" s="22"/>
      <c r="N29" s="25"/>
      <c r="O29" s="53"/>
      <c r="P29" s="63"/>
    </row>
    <row r="30" spans="1:16" ht="15" customHeight="1" x14ac:dyDescent="0.3">
      <c r="A30" s="75">
        <v>3261</v>
      </c>
      <c r="B30" s="53"/>
      <c r="C30" s="8"/>
      <c r="D30" s="61"/>
      <c r="E30" s="61"/>
      <c r="F30" s="61"/>
      <c r="G30" s="61"/>
      <c r="H30" s="61"/>
      <c r="I30" s="57"/>
      <c r="J30" s="61"/>
      <c r="K30" s="57"/>
      <c r="L30" s="61"/>
      <c r="M30" s="22"/>
      <c r="N30" s="25"/>
      <c r="O30" s="53"/>
      <c r="P30" s="63"/>
    </row>
    <row r="31" spans="1:16" ht="15" customHeight="1" x14ac:dyDescent="0.3">
      <c r="A31" s="75">
        <v>3262</v>
      </c>
      <c r="B31" s="53"/>
      <c r="C31" s="8"/>
      <c r="D31" s="61"/>
      <c r="E31" s="61"/>
      <c r="F31" s="61"/>
      <c r="G31" s="61"/>
      <c r="H31" s="61"/>
      <c r="I31" s="57"/>
      <c r="J31" s="61"/>
      <c r="K31" s="57"/>
      <c r="L31" s="61"/>
      <c r="M31" s="22"/>
      <c r="N31" s="25"/>
      <c r="O31" s="53"/>
      <c r="P31" s="63"/>
    </row>
    <row r="32" spans="1:16" ht="15" customHeight="1" x14ac:dyDescent="0.3">
      <c r="A32" s="75">
        <v>3263</v>
      </c>
      <c r="B32" s="53"/>
      <c r="C32" s="8"/>
      <c r="D32" s="61"/>
      <c r="E32" s="61"/>
      <c r="F32" s="61"/>
      <c r="G32" s="61"/>
      <c r="H32" s="61"/>
      <c r="I32" s="57"/>
      <c r="J32" s="61"/>
      <c r="K32" s="57"/>
      <c r="L32" s="61"/>
      <c r="M32" s="22"/>
      <c r="N32" s="25"/>
      <c r="O32" s="53"/>
      <c r="P32" s="63"/>
    </row>
    <row r="33" spans="1:16" ht="15" customHeight="1" x14ac:dyDescent="0.3">
      <c r="A33" s="75">
        <v>3264</v>
      </c>
      <c r="B33" s="53"/>
      <c r="C33" s="8"/>
      <c r="D33" s="61"/>
      <c r="E33" s="61"/>
      <c r="F33" s="61"/>
      <c r="G33" s="61"/>
      <c r="H33" s="61"/>
      <c r="I33" s="57"/>
      <c r="J33" s="61"/>
      <c r="K33" s="57"/>
      <c r="L33" s="61"/>
      <c r="M33" s="22"/>
      <c r="N33" s="25"/>
      <c r="O33" s="53"/>
      <c r="P33" s="63"/>
    </row>
    <row r="34" spans="1:16" ht="15" customHeight="1" thickBot="1" x14ac:dyDescent="0.35">
      <c r="A34" s="76">
        <v>3265</v>
      </c>
      <c r="B34" s="53"/>
      <c r="C34" s="8"/>
      <c r="D34" s="61"/>
      <c r="E34" s="61"/>
      <c r="F34" s="61"/>
      <c r="G34" s="61"/>
      <c r="H34" s="61"/>
      <c r="I34" s="57"/>
      <c r="J34" s="61"/>
      <c r="K34" s="57"/>
      <c r="L34" s="61"/>
      <c r="M34" s="22"/>
      <c r="N34" s="25"/>
      <c r="O34" s="53"/>
      <c r="P34" s="63"/>
    </row>
    <row r="35" spans="1:16" ht="15" customHeight="1" x14ac:dyDescent="0.3">
      <c r="A35" s="74">
        <v>3266</v>
      </c>
      <c r="B35" s="53"/>
      <c r="C35" s="8"/>
      <c r="D35" s="61"/>
      <c r="E35" s="61"/>
      <c r="F35" s="61"/>
      <c r="G35" s="61"/>
      <c r="H35" s="61"/>
      <c r="I35" s="57"/>
      <c r="J35" s="61"/>
      <c r="K35" s="57"/>
      <c r="L35" s="61"/>
      <c r="M35" s="22"/>
      <c r="N35" s="25"/>
      <c r="O35" s="53"/>
      <c r="P35" s="63"/>
    </row>
    <row r="36" spans="1:16" ht="15" customHeight="1" x14ac:dyDescent="0.3">
      <c r="A36" s="75">
        <v>3267</v>
      </c>
      <c r="B36" s="53"/>
      <c r="C36" s="8"/>
      <c r="D36" s="61"/>
      <c r="E36" s="61"/>
      <c r="F36" s="61"/>
      <c r="G36" s="61"/>
      <c r="H36" s="61"/>
      <c r="I36" s="57"/>
      <c r="J36" s="61"/>
      <c r="K36" s="57"/>
      <c r="L36" s="61"/>
      <c r="M36" s="22"/>
      <c r="N36" s="25"/>
      <c r="O36" s="53"/>
      <c r="P36" s="63"/>
    </row>
    <row r="37" spans="1:16" ht="15" customHeight="1" x14ac:dyDescent="0.3">
      <c r="A37" s="75">
        <v>3299</v>
      </c>
      <c r="B37" s="53"/>
      <c r="C37" s="8"/>
      <c r="D37" s="61"/>
      <c r="E37" s="61"/>
      <c r="F37" s="61"/>
      <c r="G37" s="61"/>
      <c r="H37" s="61"/>
      <c r="I37" s="57"/>
      <c r="J37" s="61"/>
      <c r="K37" s="57"/>
      <c r="L37" s="61"/>
      <c r="M37" s="22"/>
      <c r="N37" s="25"/>
      <c r="O37" s="53"/>
      <c r="P37" s="63"/>
    </row>
    <row r="38" spans="1:16" ht="15" customHeight="1" x14ac:dyDescent="0.3">
      <c r="A38" s="75">
        <v>3531</v>
      </c>
      <c r="B38" s="53"/>
      <c r="C38" s="8"/>
      <c r="D38" s="61"/>
      <c r="E38" s="61"/>
      <c r="F38" s="61"/>
      <c r="G38" s="61"/>
      <c r="H38" s="61"/>
      <c r="I38" s="57"/>
      <c r="J38" s="61"/>
      <c r="K38" s="57"/>
      <c r="L38" s="61"/>
      <c r="M38" s="22"/>
      <c r="N38" s="25"/>
      <c r="O38" s="53"/>
      <c r="P38" s="63"/>
    </row>
    <row r="39" spans="1:16" ht="15" customHeight="1" x14ac:dyDescent="0.3">
      <c r="A39" s="75">
        <v>3532</v>
      </c>
      <c r="B39" s="53"/>
      <c r="C39" s="8"/>
      <c r="D39" s="61"/>
      <c r="E39" s="61"/>
      <c r="F39" s="61"/>
      <c r="G39" s="61"/>
      <c r="H39" s="61"/>
      <c r="I39" s="57"/>
      <c r="J39" s="61"/>
      <c r="K39" s="57"/>
      <c r="L39" s="61"/>
      <c r="M39" s="22"/>
      <c r="N39" s="25"/>
      <c r="O39" s="53"/>
      <c r="P39" s="63"/>
    </row>
    <row r="40" spans="1:16" ht="15" customHeight="1" x14ac:dyDescent="0.3">
      <c r="A40" s="75">
        <v>3533</v>
      </c>
      <c r="B40" s="53"/>
      <c r="C40" s="8"/>
      <c r="D40" s="61"/>
      <c r="E40" s="61"/>
      <c r="F40" s="61"/>
      <c r="G40" s="61"/>
      <c r="H40" s="61"/>
      <c r="I40" s="57"/>
      <c r="J40" s="61"/>
      <c r="K40" s="57"/>
      <c r="L40" s="61"/>
      <c r="M40" s="22"/>
      <c r="N40" s="25"/>
      <c r="O40" s="53"/>
      <c r="P40" s="63"/>
    </row>
    <row r="41" spans="1:16" ht="15" customHeight="1" x14ac:dyDescent="0.3">
      <c r="A41" s="75">
        <v>3534</v>
      </c>
      <c r="B41" s="53"/>
      <c r="C41" s="8"/>
      <c r="D41" s="61"/>
      <c r="E41" s="61"/>
      <c r="F41" s="61"/>
      <c r="G41" s="61"/>
      <c r="H41" s="61"/>
      <c r="I41" s="57"/>
      <c r="J41" s="61"/>
      <c r="K41" s="57"/>
      <c r="L41" s="61"/>
      <c r="M41" s="22"/>
      <c r="N41" s="25"/>
      <c r="O41" s="53"/>
      <c r="P41" s="63"/>
    </row>
    <row r="42" spans="1:16" ht="15" customHeight="1" x14ac:dyDescent="0.3">
      <c r="A42" s="75">
        <v>3535</v>
      </c>
      <c r="B42" s="53"/>
      <c r="C42" s="8"/>
      <c r="D42" s="61"/>
      <c r="E42" s="61"/>
      <c r="F42" s="61"/>
      <c r="G42" s="61"/>
      <c r="H42" s="61"/>
      <c r="I42" s="57"/>
      <c r="J42" s="61"/>
      <c r="K42" s="57"/>
      <c r="L42" s="61"/>
      <c r="M42" s="22"/>
      <c r="N42" s="25"/>
      <c r="O42" s="53"/>
      <c r="P42" s="63"/>
    </row>
    <row r="43" spans="1:16" ht="15" customHeight="1" x14ac:dyDescent="0.3">
      <c r="A43" s="75">
        <v>3536</v>
      </c>
      <c r="B43" s="53"/>
      <c r="C43" s="8"/>
      <c r="D43" s="61"/>
      <c r="E43" s="61"/>
      <c r="F43" s="61"/>
      <c r="G43" s="61"/>
      <c r="H43" s="61"/>
      <c r="I43" s="57"/>
      <c r="J43" s="61"/>
      <c r="K43" s="57"/>
      <c r="L43" s="61"/>
      <c r="M43" s="22"/>
      <c r="N43" s="25"/>
      <c r="O43" s="53"/>
      <c r="P43" s="63"/>
    </row>
    <row r="44" spans="1:16" ht="15" customHeight="1" x14ac:dyDescent="0.3">
      <c r="A44" s="75">
        <v>3537</v>
      </c>
      <c r="B44" s="53"/>
      <c r="C44" s="8"/>
      <c r="D44" s="61"/>
      <c r="E44" s="61"/>
      <c r="F44" s="61"/>
      <c r="G44" s="61"/>
      <c r="H44" s="61"/>
      <c r="I44" s="57"/>
      <c r="J44" s="61"/>
      <c r="K44" s="57"/>
      <c r="L44" s="61"/>
      <c r="M44" s="22"/>
      <c r="N44" s="25"/>
      <c r="O44" s="53"/>
      <c r="P44" s="63"/>
    </row>
    <row r="45" spans="1:16" ht="15" customHeight="1" thickBot="1" x14ac:dyDescent="0.35">
      <c r="A45" s="76">
        <v>3538</v>
      </c>
      <c r="B45" s="53"/>
      <c r="C45" s="8"/>
      <c r="D45" s="61"/>
      <c r="E45" s="61"/>
      <c r="F45" s="61"/>
      <c r="G45" s="61"/>
      <c r="H45" s="61"/>
      <c r="I45" s="57"/>
      <c r="J45" s="61"/>
      <c r="K45" s="57"/>
      <c r="L45" s="61"/>
      <c r="M45" s="22"/>
      <c r="N45" s="25"/>
      <c r="O45" s="53"/>
      <c r="P45" s="63"/>
    </row>
    <row r="46" spans="1:16" ht="15" customHeight="1" x14ac:dyDescent="0.3">
      <c r="A46" s="74">
        <v>3540</v>
      </c>
      <c r="B46" s="53"/>
      <c r="C46" s="8"/>
      <c r="D46" s="61"/>
      <c r="E46" s="61"/>
      <c r="F46" s="61"/>
      <c r="G46" s="61"/>
      <c r="H46" s="61"/>
      <c r="I46" s="57"/>
      <c r="J46" s="61"/>
      <c r="K46" s="57"/>
      <c r="L46" s="61"/>
      <c r="M46" s="22"/>
      <c r="N46" s="25"/>
      <c r="O46" s="53"/>
      <c r="P46" s="63"/>
    </row>
    <row r="47" spans="1:16" ht="15" customHeight="1" x14ac:dyDescent="0.3">
      <c r="A47" s="75">
        <v>3541</v>
      </c>
      <c r="B47" s="53"/>
      <c r="C47" s="8"/>
      <c r="D47" s="61"/>
      <c r="E47" s="61"/>
      <c r="F47" s="61"/>
      <c r="G47" s="61"/>
      <c r="H47" s="61"/>
      <c r="I47" s="57"/>
      <c r="J47" s="61"/>
      <c r="K47" s="57"/>
      <c r="L47" s="61"/>
      <c r="M47" s="22"/>
      <c r="N47" s="25"/>
      <c r="O47" s="53"/>
      <c r="P47" s="63"/>
    </row>
    <row r="48" spans="1:16" ht="15" customHeight="1" x14ac:dyDescent="0.3">
      <c r="A48" s="75">
        <v>3542</v>
      </c>
      <c r="B48" s="53"/>
      <c r="C48" s="8"/>
      <c r="D48" s="61"/>
      <c r="E48" s="61"/>
      <c r="F48" s="61"/>
      <c r="G48" s="61"/>
      <c r="H48" s="61"/>
      <c r="I48" s="57"/>
      <c r="J48" s="61"/>
      <c r="K48" s="57"/>
      <c r="L48" s="61"/>
      <c r="M48" s="22"/>
      <c r="N48" s="25"/>
      <c r="O48" s="53"/>
      <c r="P48" s="63"/>
    </row>
    <row r="49" spans="1:16" ht="15" customHeight="1" x14ac:dyDescent="0.3">
      <c r="A49" s="75">
        <v>3543</v>
      </c>
      <c r="B49" s="53"/>
      <c r="C49" s="8"/>
      <c r="D49" s="61"/>
      <c r="E49" s="61"/>
      <c r="F49" s="61"/>
      <c r="G49" s="61"/>
      <c r="H49" s="61"/>
      <c r="I49" s="57"/>
      <c r="J49" s="61"/>
      <c r="K49" s="57"/>
      <c r="L49" s="61"/>
      <c r="M49" s="22"/>
      <c r="N49" s="25"/>
      <c r="O49" s="53"/>
      <c r="P49" s="63"/>
    </row>
    <row r="50" spans="1:16" ht="15" customHeight="1" x14ac:dyDescent="0.3">
      <c r="A50" s="75">
        <v>3544</v>
      </c>
      <c r="B50" s="53"/>
      <c r="C50" s="8"/>
      <c r="D50" s="61"/>
      <c r="E50" s="61"/>
      <c r="F50" s="61"/>
      <c r="G50" s="61"/>
      <c r="H50" s="61"/>
      <c r="I50" s="57"/>
      <c r="J50" s="61"/>
      <c r="K50" s="57"/>
      <c r="L50" s="61"/>
      <c r="M50" s="22"/>
      <c r="N50" s="25"/>
      <c r="O50" s="53"/>
      <c r="P50" s="63"/>
    </row>
    <row r="51" spans="1:16" ht="15" customHeight="1" x14ac:dyDescent="0.3">
      <c r="A51" s="75">
        <v>3545</v>
      </c>
      <c r="B51" s="53"/>
      <c r="C51" s="8"/>
      <c r="D51" s="61"/>
      <c r="E51" s="61"/>
      <c r="F51" s="61"/>
      <c r="G51" s="61"/>
      <c r="H51" s="61"/>
      <c r="I51" s="57"/>
      <c r="J51" s="61"/>
      <c r="K51" s="57"/>
      <c r="L51" s="61"/>
      <c r="M51" s="22"/>
      <c r="N51" s="25"/>
      <c r="O51" s="53"/>
      <c r="P51" s="63"/>
    </row>
    <row r="52" spans="1:16" ht="15" customHeight="1" x14ac:dyDescent="0.3">
      <c r="A52" s="75">
        <v>3546</v>
      </c>
      <c r="B52" s="53"/>
      <c r="C52" s="8"/>
      <c r="D52" s="61"/>
      <c r="E52" s="61"/>
      <c r="F52" s="61"/>
      <c r="G52" s="61"/>
      <c r="H52" s="61"/>
      <c r="I52" s="57"/>
      <c r="J52" s="61"/>
      <c r="K52" s="57"/>
      <c r="L52" s="61"/>
      <c r="M52" s="22"/>
      <c r="N52" s="25"/>
      <c r="O52" s="53"/>
      <c r="P52" s="63"/>
    </row>
    <row r="53" spans="1:16" ht="15" customHeight="1" x14ac:dyDescent="0.3">
      <c r="A53" s="75">
        <v>3547</v>
      </c>
      <c r="B53" s="53"/>
      <c r="C53" s="8"/>
      <c r="D53" s="61"/>
      <c r="E53" s="61"/>
      <c r="F53" s="61"/>
      <c r="G53" s="61"/>
      <c r="H53" s="61"/>
      <c r="I53" s="57"/>
      <c r="J53" s="61"/>
      <c r="K53" s="57"/>
      <c r="L53" s="61"/>
      <c r="M53" s="22"/>
      <c r="N53" s="25"/>
      <c r="O53" s="53"/>
      <c r="P53" s="63"/>
    </row>
    <row r="54" spans="1:16" ht="15" customHeight="1" x14ac:dyDescent="0.3">
      <c r="A54" s="75">
        <v>3548</v>
      </c>
      <c r="B54" s="53"/>
      <c r="C54" s="8"/>
      <c r="D54" s="61"/>
      <c r="E54" s="61"/>
      <c r="F54" s="61"/>
      <c r="G54" s="61"/>
      <c r="H54" s="61"/>
      <c r="I54" s="57"/>
      <c r="J54" s="61"/>
      <c r="K54" s="57"/>
      <c r="L54" s="61"/>
      <c r="M54" s="22"/>
      <c r="N54" s="25"/>
      <c r="O54" s="53"/>
      <c r="P54" s="63"/>
    </row>
    <row r="55" spans="1:16" ht="15" customHeight="1" x14ac:dyDescent="0.3">
      <c r="A55" s="75">
        <v>3549</v>
      </c>
      <c r="B55" s="53"/>
      <c r="C55" s="8"/>
      <c r="D55" s="61"/>
      <c r="E55" s="61"/>
      <c r="F55" s="61"/>
      <c r="G55" s="61"/>
      <c r="H55" s="61"/>
      <c r="I55" s="57"/>
      <c r="J55" s="61"/>
      <c r="K55" s="57"/>
      <c r="L55" s="61"/>
      <c r="M55" s="22"/>
      <c r="N55" s="25"/>
      <c r="O55" s="53"/>
      <c r="P55" s="63"/>
    </row>
    <row r="56" spans="1:16" ht="15" customHeight="1" thickBot="1" x14ac:dyDescent="0.35">
      <c r="A56" s="76">
        <v>3550</v>
      </c>
      <c r="B56" s="53"/>
      <c r="C56" s="8"/>
      <c r="D56" s="61"/>
      <c r="E56" s="61"/>
      <c r="F56" s="61"/>
      <c r="G56" s="61"/>
      <c r="H56" s="61"/>
      <c r="I56" s="57"/>
      <c r="J56" s="61"/>
      <c r="K56" s="57"/>
      <c r="L56" s="61"/>
      <c r="M56" s="22"/>
      <c r="N56" s="25"/>
      <c r="O56" s="53"/>
      <c r="P56" s="63"/>
    </row>
    <row r="57" spans="1:16" ht="15" customHeight="1" x14ac:dyDescent="0.3">
      <c r="A57" s="74">
        <v>3551</v>
      </c>
      <c r="B57" s="53"/>
      <c r="C57" s="8"/>
      <c r="D57" s="61"/>
      <c r="E57" s="61"/>
      <c r="F57" s="61"/>
      <c r="G57" s="61"/>
      <c r="H57" s="61"/>
      <c r="I57" s="57"/>
      <c r="J57" s="61"/>
      <c r="K57" s="57"/>
      <c r="L57" s="61"/>
      <c r="M57" s="22"/>
      <c r="N57" s="25"/>
      <c r="O57" s="53"/>
      <c r="P57" s="63"/>
    </row>
    <row r="58" spans="1:16" ht="15" customHeight="1" x14ac:dyDescent="0.3">
      <c r="A58" s="75">
        <v>3552</v>
      </c>
      <c r="B58" s="53"/>
      <c r="C58" s="8"/>
      <c r="D58" s="61"/>
      <c r="E58" s="61"/>
      <c r="F58" s="61"/>
      <c r="G58" s="61"/>
      <c r="H58" s="61"/>
      <c r="I58" s="57"/>
      <c r="J58" s="61"/>
      <c r="K58" s="57"/>
      <c r="L58" s="61"/>
      <c r="M58" s="22"/>
      <c r="N58" s="25"/>
      <c r="O58" s="53"/>
      <c r="P58" s="63"/>
    </row>
    <row r="59" spans="1:16" ht="15" customHeight="1" x14ac:dyDescent="0.3">
      <c r="A59" s="75">
        <v>3553</v>
      </c>
      <c r="B59" s="53"/>
      <c r="C59" s="8"/>
      <c r="D59" s="61"/>
      <c r="E59" s="61"/>
      <c r="F59" s="61"/>
      <c r="G59" s="61"/>
      <c r="H59" s="61"/>
      <c r="I59" s="57"/>
      <c r="J59" s="61"/>
      <c r="K59" s="57"/>
      <c r="L59" s="61"/>
      <c r="M59" s="22"/>
      <c r="N59" s="25"/>
      <c r="O59" s="53"/>
      <c r="P59" s="63"/>
    </row>
    <row r="60" spans="1:16" ht="15" customHeight="1" x14ac:dyDescent="0.3">
      <c r="A60" s="75">
        <v>3554</v>
      </c>
      <c r="B60" s="53"/>
      <c r="C60" s="8"/>
      <c r="D60" s="61"/>
      <c r="E60" s="61"/>
      <c r="F60" s="61"/>
      <c r="G60" s="61"/>
      <c r="H60" s="61"/>
      <c r="I60" s="57"/>
      <c r="J60" s="61"/>
      <c r="K60" s="57"/>
      <c r="L60" s="61"/>
      <c r="M60" s="22"/>
      <c r="N60" s="25"/>
      <c r="O60" s="53"/>
      <c r="P60" s="63"/>
    </row>
    <row r="61" spans="1:16" ht="15" customHeight="1" x14ac:dyDescent="0.3">
      <c r="A61" s="75">
        <v>3555</v>
      </c>
      <c r="B61" s="53"/>
      <c r="C61" s="8"/>
      <c r="D61" s="61"/>
      <c r="E61" s="61"/>
      <c r="F61" s="61"/>
      <c r="G61" s="61"/>
      <c r="H61" s="61"/>
      <c r="I61" s="57"/>
      <c r="J61" s="61"/>
      <c r="K61" s="57"/>
      <c r="L61" s="61"/>
      <c r="M61" s="22"/>
      <c r="N61" s="25"/>
      <c r="O61" s="53"/>
      <c r="P61" s="63"/>
    </row>
    <row r="62" spans="1:16" ht="15" customHeight="1" x14ac:dyDescent="0.3">
      <c r="A62" s="75">
        <v>3556</v>
      </c>
      <c r="B62" s="53"/>
      <c r="C62" s="8"/>
      <c r="D62" s="61"/>
      <c r="E62" s="61"/>
      <c r="F62" s="61"/>
      <c r="G62" s="61"/>
      <c r="H62" s="61"/>
      <c r="I62" s="57"/>
      <c r="J62" s="61"/>
      <c r="K62" s="57"/>
      <c r="L62" s="61"/>
      <c r="M62" s="22"/>
      <c r="N62" s="25"/>
      <c r="O62" s="53"/>
      <c r="P62" s="63"/>
    </row>
    <row r="63" spans="1:16" ht="15" customHeight="1" x14ac:dyDescent="0.3">
      <c r="A63" s="75">
        <v>3557</v>
      </c>
      <c r="B63" s="53"/>
      <c r="C63" s="8"/>
      <c r="D63" s="61"/>
      <c r="E63" s="61"/>
      <c r="F63" s="61"/>
      <c r="G63" s="61"/>
      <c r="H63" s="61"/>
      <c r="I63" s="57"/>
      <c r="J63" s="61"/>
      <c r="K63" s="57"/>
      <c r="L63" s="61"/>
      <c r="M63" s="22"/>
      <c r="N63" s="25"/>
      <c r="O63" s="53"/>
      <c r="P63" s="63"/>
    </row>
    <row r="64" spans="1:16" ht="15" customHeight="1" x14ac:dyDescent="0.3">
      <c r="A64" s="75">
        <v>3558</v>
      </c>
      <c r="B64" s="53"/>
      <c r="C64" s="8"/>
      <c r="D64" s="61"/>
      <c r="E64" s="61"/>
      <c r="F64" s="61"/>
      <c r="G64" s="61"/>
      <c r="H64" s="61"/>
      <c r="I64" s="57"/>
      <c r="J64" s="61"/>
      <c r="K64" s="57"/>
      <c r="L64" s="61"/>
      <c r="M64" s="22"/>
      <c r="N64" s="25"/>
      <c r="O64" s="53"/>
      <c r="P64" s="63"/>
    </row>
    <row r="65" spans="1:16" ht="15" customHeight="1" thickBot="1" x14ac:dyDescent="0.35">
      <c r="A65" s="75">
        <v>3559</v>
      </c>
      <c r="B65" s="53"/>
      <c r="C65" s="8"/>
      <c r="D65" s="61"/>
      <c r="E65" s="61"/>
      <c r="F65" s="61"/>
      <c r="G65" s="61"/>
      <c r="H65" s="61"/>
      <c r="I65" s="57"/>
      <c r="J65" s="61"/>
      <c r="K65" s="57"/>
      <c r="L65" s="61"/>
      <c r="M65" s="22"/>
      <c r="N65" s="25"/>
      <c r="O65" s="53"/>
      <c r="P65" s="63"/>
    </row>
    <row r="66" spans="1:16" ht="15" customHeight="1" x14ac:dyDescent="0.3">
      <c r="A66" s="77">
        <v>3560</v>
      </c>
      <c r="B66" s="53"/>
      <c r="C66" s="8"/>
      <c r="D66" s="61"/>
      <c r="E66" s="61"/>
      <c r="F66" s="61"/>
      <c r="G66" s="61"/>
      <c r="H66" s="61"/>
      <c r="I66" s="57"/>
      <c r="J66" s="61"/>
      <c r="K66" s="57"/>
      <c r="L66" s="61"/>
      <c r="M66" s="22"/>
      <c r="N66" s="25"/>
      <c r="O66" s="53"/>
      <c r="P66" s="63"/>
    </row>
    <row r="67" spans="1:16" ht="15" customHeight="1" x14ac:dyDescent="0.3">
      <c r="A67" s="78">
        <v>3561</v>
      </c>
      <c r="B67" s="53"/>
      <c r="C67" s="8"/>
      <c r="D67" s="61"/>
      <c r="E67" s="61"/>
      <c r="F67" s="61"/>
      <c r="G67" s="61"/>
      <c r="H67" s="61"/>
      <c r="I67" s="57"/>
      <c r="J67" s="61"/>
      <c r="K67" s="57"/>
      <c r="L67" s="61"/>
      <c r="M67" s="22"/>
      <c r="N67" s="25"/>
      <c r="O67" s="53"/>
      <c r="P67" s="63"/>
    </row>
    <row r="68" spans="1:16" ht="18.75" x14ac:dyDescent="0.3">
      <c r="A68" s="78">
        <v>3562</v>
      </c>
      <c r="B68" s="53"/>
      <c r="C68" s="8"/>
      <c r="D68" s="61"/>
      <c r="E68" s="61"/>
      <c r="F68" s="61"/>
      <c r="G68" s="61"/>
      <c r="H68" s="61"/>
      <c r="I68" s="57"/>
      <c r="J68" s="61"/>
      <c r="K68" s="57"/>
      <c r="L68" s="61"/>
      <c r="M68" s="22"/>
      <c r="N68" s="25"/>
      <c r="O68" s="53"/>
      <c r="P68" s="63"/>
    </row>
    <row r="69" spans="1:16" ht="18.75" x14ac:dyDescent="0.3">
      <c r="A69" s="78">
        <v>3563</v>
      </c>
      <c r="B69" s="53"/>
      <c r="C69" s="8"/>
      <c r="D69" s="61"/>
      <c r="E69" s="61"/>
      <c r="F69" s="61"/>
      <c r="G69" s="61"/>
      <c r="H69" s="61"/>
      <c r="I69" s="57"/>
      <c r="J69" s="61"/>
      <c r="K69" s="57"/>
      <c r="L69" s="61"/>
      <c r="M69" s="22"/>
      <c r="N69" s="25"/>
      <c r="O69" s="53"/>
      <c r="P69" s="63"/>
    </row>
    <row r="70" spans="1:16" ht="18.75" x14ac:dyDescent="0.3">
      <c r="A70" s="78">
        <v>3564</v>
      </c>
      <c r="B70" s="53"/>
      <c r="C70" s="8"/>
      <c r="D70" s="61"/>
      <c r="E70" s="61"/>
      <c r="F70" s="61"/>
      <c r="G70" s="61"/>
      <c r="H70" s="61"/>
      <c r="I70" s="57"/>
      <c r="J70" s="61"/>
      <c r="K70" s="57"/>
      <c r="L70" s="61"/>
      <c r="M70" s="22"/>
      <c r="N70" s="25"/>
      <c r="O70" s="53"/>
      <c r="P70" s="63"/>
    </row>
    <row r="71" spans="1:16" ht="18.75" x14ac:dyDescent="0.3">
      <c r="A71" s="78">
        <v>3565</v>
      </c>
      <c r="B71" s="53"/>
      <c r="C71" s="8"/>
      <c r="D71" s="61"/>
      <c r="E71" s="61"/>
      <c r="F71" s="61"/>
      <c r="G71" s="61"/>
      <c r="H71" s="61"/>
      <c r="I71" s="57"/>
      <c r="J71" s="61"/>
      <c r="K71" s="57"/>
      <c r="L71" s="61"/>
      <c r="M71" s="22"/>
      <c r="N71" s="25"/>
      <c r="O71" s="53"/>
      <c r="P71" s="63"/>
    </row>
    <row r="72" spans="1:16" ht="18.75" x14ac:dyDescent="0.3">
      <c r="A72" s="78">
        <v>3566</v>
      </c>
      <c r="B72" s="53"/>
      <c r="C72" s="8"/>
      <c r="D72" s="61"/>
      <c r="E72" s="61"/>
      <c r="F72" s="61"/>
      <c r="G72" s="61"/>
      <c r="H72" s="61"/>
      <c r="I72" s="57"/>
      <c r="J72" s="61"/>
      <c r="K72" s="57"/>
      <c r="L72" s="61"/>
      <c r="M72" s="22"/>
      <c r="N72" s="25"/>
      <c r="O72" s="53"/>
      <c r="P72" s="63"/>
    </row>
    <row r="73" spans="1:16" ht="18.75" x14ac:dyDescent="0.3">
      <c r="A73" s="79">
        <v>3567</v>
      </c>
      <c r="B73" s="53"/>
      <c r="C73" s="8"/>
      <c r="D73" s="61"/>
      <c r="E73" s="61"/>
      <c r="F73" s="61"/>
      <c r="G73" s="61"/>
      <c r="H73" s="61"/>
      <c r="I73" s="57"/>
      <c r="J73" s="61"/>
      <c r="K73" s="57"/>
      <c r="L73" s="61"/>
      <c r="M73" s="22"/>
      <c r="N73" s="25"/>
      <c r="O73" s="53"/>
      <c r="P73" s="63"/>
    </row>
    <row r="74" spans="1:16" x14ac:dyDescent="0.25">
      <c r="P74" s="23"/>
    </row>
    <row r="75" spans="1:16" x14ac:dyDescent="0.25">
      <c r="P75" s="23"/>
    </row>
    <row r="76" spans="1:16" x14ac:dyDescent="0.25">
      <c r="P76" s="23"/>
    </row>
    <row r="77" spans="1:16" x14ac:dyDescent="0.25">
      <c r="P77" s="23"/>
    </row>
    <row r="78" spans="1:16" x14ac:dyDescent="0.25">
      <c r="P78" s="23"/>
    </row>
    <row r="79" spans="1:16" x14ac:dyDescent="0.25">
      <c r="P79" s="23"/>
    </row>
    <row r="80" spans="1:16" x14ac:dyDescent="0.25">
      <c r="P80" s="23"/>
    </row>
    <row r="81" spans="16:16" x14ac:dyDescent="0.25">
      <c r="P81" s="23"/>
    </row>
    <row r="82" spans="16:16" x14ac:dyDescent="0.25">
      <c r="P82" s="23"/>
    </row>
    <row r="83" spans="16:16" x14ac:dyDescent="0.25">
      <c r="P83" s="23"/>
    </row>
    <row r="84" spans="16:16" x14ac:dyDescent="0.25">
      <c r="P84" s="23"/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73 I2:I73 K2:K73 O2:O73" xr:uid="{5C72BB9C-4F4B-449D-B812-B5FA46F58522}">
      <formula1>45658</formula1>
    </dataValidation>
    <dataValidation type="whole" operator="greaterThanOrEqual" allowBlank="1" showInputMessage="1" showErrorMessage="1" sqref="A2:A73 D2:H73 J2:J73 L2:L73 P2:P73" xr:uid="{F8CAB349-443D-4D2F-8811-68A4E7C05459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0CAB5C1-D937-4CAA-9A19-17961D38AFE7}">
          <x14:formula1>
            <xm:f>Inspected!$A$1:$A$2</xm:f>
          </x14:formula1>
          <xm:sqref>M2:M73</xm:sqref>
        </x14:dataValidation>
        <x14:dataValidation type="list" allowBlank="1" showInputMessage="1" showErrorMessage="1" xr:uid="{36535300-F19F-4376-B3B2-D339EF3F4894}">
          <x14:formula1>
            <xm:f>Inspected!$D$1</xm:f>
          </x14:formula1>
          <xm:sqref>C2:C73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21238A5-3DA6-49C0-9DE6-F132ED09034B}">
  <ds:schemaRefs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2006/metadata/properties"/>
    <ds:schemaRef ds:uri="http://purl.org/dc/terms/"/>
    <ds:schemaRef ds:uri="http://purl.org/dc/dcmitype/"/>
    <ds:schemaRef ds:uri="f09d0ae9-c6ff-4e57-bd1f-955be6ad47ac"/>
    <ds:schemaRef ds:uri="http://schemas.microsoft.com/office/infopath/2007/PartnerControls"/>
    <ds:schemaRef ds:uri="http://schemas.openxmlformats.org/package/2006/metadata/core-properties"/>
    <ds:schemaRef ds:uri="d5486727-c7ef-48ef-8f67-294a70abf30d"/>
  </ds:schemaRefs>
</ds:datastoreItem>
</file>

<file path=customXml/itemProps2.xml><?xml version="1.0" encoding="utf-8"?>
<ds:datastoreItem xmlns:ds="http://schemas.openxmlformats.org/officeDocument/2006/customXml" ds:itemID="{337FA35F-3C89-4A59-AA7F-04F9B99F757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9CB9B5-820C-4FD7-89B6-032F8B150FEC}"/>
</file>

<file path=docMetadata/LabelInfo.xml><?xml version="1.0" encoding="utf-8"?>
<clbl:labelList xmlns:clbl="http://schemas.microsoft.com/office/2020/mipLabelMetadata">
  <clbl:label id="{8e4a72ef-928b-45b6-a137-7ed7bb318678}" enabled="0" method="" siteId="{8e4a72ef-928b-45b6-a137-7ed7bb31867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Inspected</vt:lpstr>
      <vt:lpstr>Bakeloo Line 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Godfred Bonse</dc:creator>
  <cp:keywords/>
  <dc:description/>
  <cp:lastModifiedBy>Horea Lazar</cp:lastModifiedBy>
  <cp:revision/>
  <dcterms:created xsi:type="dcterms:W3CDTF">2021-03-15T19:53:30Z</dcterms:created>
  <dcterms:modified xsi:type="dcterms:W3CDTF">2025-10-29T17:37:44Z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