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6" documentId="8_{F9B892F8-77BD-4331-9AAA-B286E37891E5}" xr6:coauthVersionLast="47" xr6:coauthVersionMax="47" xr10:uidLastSave="{712090DD-F759-484D-8ABF-E4BD894811BA}"/>
  <bookViews>
    <workbookView xWindow="-28920" yWindow="-120" windowWidth="29040" windowHeight="15720" tabRatio="823" firstSheet="4" activeTab="8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/>
  <c r="U4" i="12" s="1"/>
  <c r="S4" i="12"/>
  <c r="T4" i="10" l="1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7" l="1"/>
  <c r="U4" i="3"/>
  <c r="U4" i="1"/>
</calcChain>
</file>

<file path=xl/sharedStrings.xml><?xml version="1.0" encoding="utf-8"?>
<sst xmlns="http://schemas.openxmlformats.org/spreadsheetml/2006/main" count="999" uniqueCount="34">
  <si>
    <t>Unit No.</t>
  </si>
  <si>
    <t>DATE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</si>
  <si>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</si>
  <si>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</si>
  <si>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</si>
  <si>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</si>
  <si>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</si>
  <si>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</si>
  <si>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</si>
  <si>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</si>
  <si>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</si>
  <si>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</si>
  <si>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</si>
  <si>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</si>
  <si>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</si>
  <si>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</si>
  <si>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</si>
  <si>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</si>
  <si>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Compled</t>
  </si>
  <si>
    <t>% Completed</t>
  </si>
  <si>
    <t>Key</t>
  </si>
  <si>
    <t>Stopped Units</t>
  </si>
  <si>
    <t xml:space="preserve"> </t>
  </si>
  <si>
    <t>Units Completed</t>
  </si>
  <si>
    <t>Y</t>
  </si>
  <si>
    <t>20/07/205</t>
  </si>
  <si>
    <t>Status</t>
  </si>
  <si>
    <t>Number of tags removed2</t>
  </si>
  <si>
    <t>Stopped</t>
  </si>
  <si>
    <t>y</t>
  </si>
  <si>
    <t>Cristina</t>
  </si>
  <si>
    <t>Samuel</t>
  </si>
  <si>
    <t>SAMUEL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</si>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</sst>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3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20" xfId="0" applyFont="1" applyFill="1" applyBorder="1" applyAlignment="1" applyProtection="1">
      <alignment horizontal="center" vertical="center" wrapText="1"/>
      <protection hidden="1"/>
    </xf>
    <xf numFmtId="0" fontId="8" fillId="11" borderId="20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5" borderId="22" xfId="0" applyFont="1" applyFill="1" applyBorder="1" applyAlignment="1" applyProtection="1">
      <alignment horizontal="center" vertical="center" wrapText="1"/>
      <protection hidden="1"/>
    </xf>
    <xf numFmtId="0" fontId="8" fillId="5" borderId="21" xfId="0" applyFont="1" applyFill="1" applyBorder="1" applyAlignment="1" applyProtection="1">
      <alignment horizontal="center" vertical="center" wrapText="1"/>
      <protection hidden="1"/>
    </xf>
    <xf numFmtId="0" fontId="8" fillId="3" borderId="24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20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20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5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3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/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B9E1929-31B4-4F57-BB87-BCAA193B5A75}" name="TagsRA10" displayName="TagsRA10" ref="A1:P73" totalsRowShown="0" headerRowDxfId="53" tableBorderDxfId="52">
  <autoFilter ref="A1:P73" xr:uid="{30E73D74-4515-4083-9342-4DA04CAF52D8}"/>
  <tableColumns count="16">
    <tableColumn id="1" xr3:uid="{840A039D-8733-4376-AF30-5364D5ED3697}" name="Unit No." dataDxfId="51"/>
    <tableColumn id="2" xr3:uid="{E3D71F3D-B76E-468A-B57B-AD70D4F0E31A}" name="DATE" dataDxfId="50"/>
    <tableColumn id="3" xr3:uid="{6E35E5B4-F7C1-47C2-9A67-9746CABF7F1D}" name="Status" dataDxfId="49"/>
    <tableColumn id="4" xr3:uid="{DA0A0647-B926-4A22-811F-41B0DAE60B4F}" name="Number of cars affected by graffiti/shadows on this unit" dataDxfId="48"/>
    <tableColumn id="5" xr3:uid="{D51B8591-DD6E-489E-AFB0-B48B305C6A86}" name="Total Number of Tags found" dataDxfId="47"/>
    <tableColumn id="6" xr3:uid="{6CBF008C-02AD-4E9C-8E23-0E94B1BA2069}" name="Total Tags Removed / Cleaned" dataDxfId="46"/>
    <tableColumn id="7" xr3:uid="{3D33CA3A-91E3-493C-94E9-5D3B7FE977FE}" name="Total Tags Not Cleaned on this Unit" dataDxfId="45"/>
    <tableColumn id="8" xr3:uid="{648EDED6-B018-4ED8-BD58-FAA7B9F3E7EC}" name="Car Number (s)  of Tags not cleaned (shadows)" dataDxfId="44"/>
    <tableColumn id="9" xr3:uid="{99E0ECC9-8B39-4CD9-9A72-D8FAE7555389}" name="Date of 2nd visit to clean remaining tags" dataDxfId="43"/>
    <tableColumn id="10" xr3:uid="{679D1814-29A0-4839-85C8-C8816BF08409}" name="Number of tags removed" dataDxfId="42"/>
    <tableColumn id="11" xr3:uid="{F2ACBF02-6E0F-48D4-ACC4-2CF82DD8D603}" name="Date of 3rd visit to clean remaining tags" dataDxfId="41"/>
    <tableColumn id="12" xr3:uid="{8688BBF4-00FD-4F64-B15A-00B47E93C1CE}" name="Number of tags removed2" dataDxfId="40"/>
    <tableColumn id="13" xr3:uid="{EF8EC2AE-59B6-469B-BAF7-34D61715AB56}" name="Train Inspected and Fit for service    (Y/N)" dataDxfId="39"/>
    <tableColumn id="14" xr3:uid="{4D37FD6C-F073-45A7-9EF7-1A0961A70B2F}" name="Inspected by Supervisor/Manager (Name)" dataDxfId="38"/>
    <tableColumn id="15" xr3:uid="{487CEE00-A3B9-48FD-A2C3-32C832E11A68}" name="Date of Completing all shadows (Tags) on this Unit excluding acid etched shadows" dataDxfId="37"/>
    <tableColumn id="16" xr3:uid="{7AE1201B-B9FE-4676-A6E5-81A0ACA2C9E4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FD6625A-D52E-447D-AB63-FF2A58AC9F28}" name="TagsRA11" displayName="TagsRA11" ref="A1:P73" totalsRowShown="0" headerRowDxfId="35" tableBorderDxfId="34">
  <autoFilter ref="A1:P73" xr:uid="{30E73D74-4515-4083-9342-4DA04CAF52D8}"/>
  <tableColumns count="16">
    <tableColumn id="1" xr3:uid="{C4D321E5-9257-484D-A73E-F1D0C4079312}" name="Unit No." dataDxfId="33"/>
    <tableColumn id="2" xr3:uid="{800B1823-2E33-4EA8-81B4-68E5AEAD4D6A}" name="DATE" dataDxfId="32"/>
    <tableColumn id="3" xr3:uid="{0597520A-4081-44B4-A396-1FDBBEF77EA9}" name="Status" dataDxfId="31"/>
    <tableColumn id="4" xr3:uid="{44BB89D4-AA41-4FE5-A33E-43EF81BF8B81}" name="Number of cars affected by graffiti/shadows on this unit" dataDxfId="30"/>
    <tableColumn id="5" xr3:uid="{512267DA-8CC4-4A2E-B6FF-4094E54CC136}" name="Total Number of Tags found" dataDxfId="29"/>
    <tableColumn id="6" xr3:uid="{F2F63824-FED9-4FAB-9023-18698E3F11F5}" name="Total Tags Removed / Cleaned" dataDxfId="28"/>
    <tableColumn id="7" xr3:uid="{6B5F496F-FFC2-4D6C-BD02-EA33A5DA96F3}" name="Total Tags Not Cleaned on this Unit" dataDxfId="27"/>
    <tableColumn id="8" xr3:uid="{2A72F813-7D1A-442D-858D-AC49B01FE035}" name="Car Number (s)  of Tags not cleaned (shadows)" dataDxfId="26"/>
    <tableColumn id="9" xr3:uid="{0653F599-1E52-47CD-A573-AEFED21856F0}" name="Date of 2nd visit to clean remaining tags" dataDxfId="25"/>
    <tableColumn id="10" xr3:uid="{EAACEF74-18CF-4D7A-A631-436833F2AB23}" name="Number of tags removed" dataDxfId="24"/>
    <tableColumn id="11" xr3:uid="{0EBA5F3E-6E60-4755-9384-B44AFE9B8962}" name="Date of 3rd visit to clean remaining tags" dataDxfId="23"/>
    <tableColumn id="12" xr3:uid="{7FC9C163-34D8-4923-8470-647AE83215CB}" name="Number of tags removed2" dataDxfId="22"/>
    <tableColumn id="13" xr3:uid="{51C43EB1-C0AD-4942-9EEC-EB13C650583B}" name="Train Inspected and Fit for service    (Y/N)" dataDxfId="21"/>
    <tableColumn id="14" xr3:uid="{863C08C4-936E-4436-9915-84AFB253ACE4}" name="Inspected by Supervisor/Manager (Name)" dataDxfId="20"/>
    <tableColumn id="15" xr3:uid="{69C711F7-5419-42BA-BE24-0BBAAB093C54}" name="Date of Completing all shadows (Tags) on this Unit excluding acid etched shadows" dataDxfId="19"/>
    <tableColumn id="16" xr3:uid="{71F8B1DD-86BB-4AB7-94E8-3EA7EA121CA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E8A8BF-8E1F-49B4-8EA4-A2667DE6024A}" name="TagsRA12" displayName="TagsRA12" ref="A1:P73" totalsRowShown="0" headerRowDxfId="17" tableBorderDxfId="16">
  <autoFilter ref="A1:P73" xr:uid="{30E73D74-4515-4083-9342-4DA04CAF52D8}"/>
  <tableColumns count="16">
    <tableColumn id="1" xr3:uid="{8049FDF5-610C-40A5-AEEE-5B20FB255461}" name="Unit No." dataDxfId="15"/>
    <tableColumn id="2" xr3:uid="{57E77B8A-6FC5-4DAE-8FD6-4C0C50BA850D}" name="DATE" dataDxfId="14"/>
    <tableColumn id="3" xr3:uid="{3199BFFB-F903-470B-BB20-788CAD0C23FC}" name="Status" dataDxfId="13"/>
    <tableColumn id="4" xr3:uid="{1D918ADD-2CDA-4EBE-B80B-87B3B83AE723}" name="Number of cars affected by graffiti/shadows on this unit" dataDxfId="12"/>
    <tableColumn id="5" xr3:uid="{BBAE706E-A84B-431B-A7FC-0F52047D73DE}" name="Total Number of Tags found" dataDxfId="11"/>
    <tableColumn id="6" xr3:uid="{0F48658C-EF9E-4A9A-A869-ECC3DEA441B4}" name="Total Tags Removed / Cleaned" dataDxfId="10"/>
    <tableColumn id="7" xr3:uid="{A7F0C553-B323-44D7-8092-2C302C08BF9D}" name="Total Tags Not Cleaned on this Unit" dataDxfId="9"/>
    <tableColumn id="8" xr3:uid="{E4EF15D3-866D-402F-B4B6-06463C56C89F}" name="Car Number (s)  of Tags not cleaned (shadows)" dataDxfId="8"/>
    <tableColumn id="9" xr3:uid="{208D30EF-9DBD-47C1-B362-6485D3CE3822}" name="Date of 2nd visit to clean remaining tags" dataDxfId="7"/>
    <tableColumn id="10" xr3:uid="{14BFB607-40F8-4B12-A19A-3C1CF1606D7A}" name="Number of tags removed" dataDxfId="6"/>
    <tableColumn id="11" xr3:uid="{7CB97EE7-ADF0-4083-B387-2FC06732BFD3}" name="Date of 3rd visit to clean remaining tags" dataDxfId="5"/>
    <tableColumn id="12" xr3:uid="{D61802FF-2EAC-41FB-A36A-41C304448E57}" name="Number of tags removed2" dataDxfId="4"/>
    <tableColumn id="13" xr3:uid="{EFD024A0-7BEB-448A-B206-8BD87AFEEF5A}" name="Train Inspected and Fit for service    (Y/N)" dataDxfId="3"/>
    <tableColumn id="14" xr3:uid="{2A8C06F5-85EA-490D-BE88-B4C74B659DA3}" name="Inspected by Supervisor/Manager (Name)" dataDxfId="2"/>
    <tableColumn id="15" xr3:uid="{85CA8239-8375-4489-B89E-525ECAB59DEF}" name="Date of Completing all shadows (Tags) on this Unit excluding acid etched shadows" dataDxfId="1"/>
    <tableColumn id="16" xr3:uid="{0B3636C8-66E9-4910-AE6A-96A2E15829EF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24</v>
      </c>
      <c r="D1" t="s">
        <v>28</v>
      </c>
    </row>
    <row r="2" spans="1:4" x14ac:dyDescent="0.25">
      <c r="A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workbookViewId="0">
      <selection activeCell="F7" sqref="F7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5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5.75" thickBot="1" x14ac:dyDescent="0.3">
      <c r="A1" s="51" t="s">
        <v>0</v>
      </c>
      <c r="B1" s="43" t="s">
        <v>1</v>
      </c>
      <c r="C1" s="43" t="s">
        <v>26</v>
      </c>
      <c r="D1" s="54" t="s">
        <v>2</v>
      </c>
      <c r="E1" s="44" t="s">
        <v>3</v>
      </c>
      <c r="F1" s="44" t="s">
        <v>4</v>
      </c>
      <c r="G1" s="44" t="s">
        <v>5</v>
      </c>
      <c r="H1" s="64" t="s">
        <v>6</v>
      </c>
      <c r="I1" s="56" t="s">
        <v>7</v>
      </c>
      <c r="J1" s="45" t="s">
        <v>8</v>
      </c>
      <c r="K1" s="58" t="s">
        <v>9</v>
      </c>
      <c r="L1" s="46" t="s">
        <v>27</v>
      </c>
      <c r="M1" s="47" t="s">
        <v>10</v>
      </c>
      <c r="N1" s="52" t="s">
        <v>11</v>
      </c>
      <c r="O1" s="49" t="s">
        <v>12</v>
      </c>
      <c r="P1" s="50" t="s">
        <v>13</v>
      </c>
    </row>
    <row r="2" spans="1:21" ht="15" customHeight="1" x14ac:dyDescent="0.3">
      <c r="A2" s="65">
        <v>3231</v>
      </c>
      <c r="B2" s="53">
        <v>45792</v>
      </c>
      <c r="C2" s="8"/>
      <c r="D2" s="61">
        <v>4</v>
      </c>
      <c r="E2" s="61">
        <v>152</v>
      </c>
      <c r="F2" s="61">
        <v>152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14</v>
      </c>
      <c r="O2" s="53">
        <v>45792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45813</v>
      </c>
      <c r="C3" s="8"/>
      <c r="D3" s="61">
        <v>4</v>
      </c>
      <c r="E3" s="61">
        <v>224</v>
      </c>
      <c r="F3" s="61">
        <v>179</v>
      </c>
      <c r="G3" s="61">
        <v>65</v>
      </c>
      <c r="H3" s="61">
        <v>2</v>
      </c>
      <c r="I3" s="57">
        <v>45838</v>
      </c>
      <c r="J3" s="61">
        <v>30</v>
      </c>
      <c r="K3" s="57"/>
      <c r="L3" s="61"/>
      <c r="M3" s="22" t="s">
        <v>24</v>
      </c>
      <c r="N3" s="25" t="s">
        <v>14</v>
      </c>
      <c r="O3" s="53">
        <v>45838</v>
      </c>
      <c r="P3" s="63"/>
      <c r="R3" s="10" t="s">
        <v>16</v>
      </c>
      <c r="S3" s="11" t="s">
        <v>17</v>
      </c>
      <c r="T3" s="12" t="s">
        <v>23</v>
      </c>
      <c r="U3" s="13" t="s">
        <v>19</v>
      </c>
    </row>
    <row r="4" spans="1:21" ht="15" customHeight="1" thickBot="1" x14ac:dyDescent="0.35">
      <c r="A4" s="66">
        <v>3233</v>
      </c>
      <c r="B4" s="53">
        <v>45812</v>
      </c>
      <c r="C4" s="8"/>
      <c r="D4" s="61">
        <v>4</v>
      </c>
      <c r="E4" s="61">
        <v>139</v>
      </c>
      <c r="F4" s="61">
        <v>43</v>
      </c>
      <c r="G4" s="61">
        <v>96</v>
      </c>
      <c r="H4" s="61">
        <v>3</v>
      </c>
      <c r="I4" s="57">
        <v>45823</v>
      </c>
      <c r="J4" s="61">
        <v>47</v>
      </c>
      <c r="K4" s="57"/>
      <c r="L4" s="61"/>
      <c r="M4" s="22" t="s">
        <v>24</v>
      </c>
      <c r="N4" s="25" t="s">
        <v>14</v>
      </c>
      <c r="O4" s="53">
        <v>45823</v>
      </c>
      <c r="P4" s="63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 x14ac:dyDescent="0.3">
      <c r="A5" s="65">
        <v>3234</v>
      </c>
      <c r="B5" s="53">
        <v>45818</v>
      </c>
      <c r="C5" s="8"/>
      <c r="D5" s="61">
        <v>4</v>
      </c>
      <c r="E5" s="61">
        <v>311</v>
      </c>
      <c r="F5" s="61">
        <v>254</v>
      </c>
      <c r="G5" s="61">
        <v>57</v>
      </c>
      <c r="H5" s="61">
        <v>1</v>
      </c>
      <c r="I5" s="57">
        <v>45839</v>
      </c>
      <c r="J5" s="61">
        <v>59</v>
      </c>
      <c r="K5" s="57"/>
      <c r="L5" s="61"/>
      <c r="M5" s="22" t="s">
        <v>24</v>
      </c>
      <c r="N5" s="25" t="s">
        <v>14</v>
      </c>
      <c r="O5" s="53">
        <v>45826</v>
      </c>
      <c r="P5" s="63">
        <v>3234</v>
      </c>
    </row>
    <row r="6" spans="1:21" ht="15" customHeight="1" x14ac:dyDescent="0.3">
      <c r="A6" s="65">
        <v>3235</v>
      </c>
      <c r="B6" s="53">
        <v>45826</v>
      </c>
      <c r="C6" s="8"/>
      <c r="D6" s="61">
        <v>4</v>
      </c>
      <c r="E6" s="61">
        <v>340</v>
      </c>
      <c r="F6" s="61">
        <v>340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45826</v>
      </c>
      <c r="P6" s="63">
        <v>3235</v>
      </c>
    </row>
    <row r="7" spans="1:21" ht="15" customHeight="1" x14ac:dyDescent="0.3">
      <c r="A7" s="65">
        <v>3236</v>
      </c>
      <c r="B7" s="53">
        <v>45806</v>
      </c>
      <c r="C7" s="8"/>
      <c r="D7" s="61">
        <v>4</v>
      </c>
      <c r="E7" s="61">
        <v>175</v>
      </c>
      <c r="F7" s="61">
        <v>175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45806</v>
      </c>
      <c r="P7" s="63">
        <v>3236</v>
      </c>
    </row>
    <row r="8" spans="1:21" ht="15" customHeight="1" x14ac:dyDescent="0.3">
      <c r="A8" s="65">
        <v>3237</v>
      </c>
      <c r="B8" s="53">
        <v>45774</v>
      </c>
      <c r="C8" s="8"/>
      <c r="D8" s="61">
        <v>4</v>
      </c>
      <c r="E8" s="61">
        <v>155</v>
      </c>
      <c r="F8" s="61">
        <v>20</v>
      </c>
      <c r="G8" s="61">
        <v>135</v>
      </c>
      <c r="H8" s="61">
        <v>3</v>
      </c>
      <c r="I8" s="57">
        <v>45785</v>
      </c>
      <c r="J8" s="61">
        <v>70</v>
      </c>
      <c r="K8" s="57">
        <v>45803</v>
      </c>
      <c r="L8" s="61">
        <v>65</v>
      </c>
      <c r="M8" s="22" t="s">
        <v>24</v>
      </c>
      <c r="N8" s="25" t="s">
        <v>14</v>
      </c>
      <c r="O8" s="53">
        <v>45803</v>
      </c>
      <c r="P8" s="63">
        <v>3237</v>
      </c>
    </row>
    <row r="9" spans="1:21" ht="15" customHeight="1" x14ac:dyDescent="0.3">
      <c r="A9" s="65">
        <v>3238</v>
      </c>
      <c r="B9" s="53">
        <v>45791</v>
      </c>
      <c r="C9" s="8"/>
      <c r="D9" s="61">
        <v>4</v>
      </c>
      <c r="E9" s="61">
        <v>89</v>
      </c>
      <c r="F9" s="61">
        <v>77</v>
      </c>
      <c r="G9" s="61">
        <v>12</v>
      </c>
      <c r="H9" s="61">
        <v>3</v>
      </c>
      <c r="I9" s="57">
        <v>45825</v>
      </c>
      <c r="J9" s="61">
        <v>165</v>
      </c>
      <c r="K9" s="57"/>
      <c r="L9" s="61"/>
      <c r="M9" s="22" t="s">
        <v>24</v>
      </c>
      <c r="N9" s="25" t="s">
        <v>14</v>
      </c>
      <c r="O9" s="53">
        <v>45825</v>
      </c>
      <c r="P9" s="63">
        <v>4338</v>
      </c>
    </row>
    <row r="10" spans="1:21" ht="15" customHeight="1" x14ac:dyDescent="0.3">
      <c r="A10" s="65">
        <v>3239</v>
      </c>
      <c r="B10" s="53">
        <v>45830</v>
      </c>
      <c r="C10" s="8"/>
      <c r="D10" s="61">
        <v>4</v>
      </c>
      <c r="E10" s="61">
        <v>435</v>
      </c>
      <c r="F10" s="61">
        <v>435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45830</v>
      </c>
      <c r="P10" s="63">
        <v>3239</v>
      </c>
    </row>
    <row r="11" spans="1:21" ht="15" customHeight="1" x14ac:dyDescent="0.3">
      <c r="A11" s="65">
        <v>3240</v>
      </c>
      <c r="B11" s="53">
        <v>45821</v>
      </c>
      <c r="C11" s="8"/>
      <c r="D11" s="61">
        <v>4</v>
      </c>
      <c r="E11" s="61">
        <v>301</v>
      </c>
      <c r="F11" s="61">
        <v>301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45821</v>
      </c>
      <c r="P11" s="63">
        <v>3240</v>
      </c>
    </row>
    <row r="12" spans="1:21" ht="15" customHeight="1" x14ac:dyDescent="0.3">
      <c r="A12" s="65">
        <v>3241</v>
      </c>
      <c r="B12" s="53">
        <v>45771</v>
      </c>
      <c r="C12" s="8"/>
      <c r="D12" s="61">
        <v>4</v>
      </c>
      <c r="E12" s="61">
        <v>205</v>
      </c>
      <c r="F12" s="61">
        <v>90</v>
      </c>
      <c r="G12" s="61">
        <v>115</v>
      </c>
      <c r="H12" s="61">
        <v>3</v>
      </c>
      <c r="I12" s="57">
        <v>45805</v>
      </c>
      <c r="J12" s="61">
        <v>115</v>
      </c>
      <c r="K12" s="57"/>
      <c r="L12" s="61"/>
      <c r="M12" s="22" t="s">
        <v>24</v>
      </c>
      <c r="N12" s="25" t="s">
        <v>14</v>
      </c>
      <c r="O12" s="53">
        <v>45805</v>
      </c>
      <c r="P12" s="63">
        <v>3241</v>
      </c>
      <c r="R12" s="5"/>
    </row>
    <row r="13" spans="1:21" ht="15" customHeight="1" x14ac:dyDescent="0.3">
      <c r="A13" s="65">
        <v>3242</v>
      </c>
      <c r="B13" s="53">
        <v>45764</v>
      </c>
      <c r="C13" s="8"/>
      <c r="D13" s="61">
        <v>4</v>
      </c>
      <c r="E13" s="61">
        <v>360</v>
      </c>
      <c r="F13" s="61">
        <v>360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45764</v>
      </c>
      <c r="P13" s="63">
        <v>3242</v>
      </c>
    </row>
    <row r="14" spans="1:21" ht="15" customHeight="1" x14ac:dyDescent="0.3">
      <c r="A14" s="65">
        <v>3243</v>
      </c>
      <c r="B14" s="53">
        <v>45797</v>
      </c>
      <c r="C14" s="8"/>
      <c r="D14" s="61">
        <v>4</v>
      </c>
      <c r="E14" s="61">
        <v>384</v>
      </c>
      <c r="F14" s="61">
        <v>384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45797</v>
      </c>
      <c r="P14" s="63">
        <v>3243</v>
      </c>
      <c r="R14" s="5"/>
    </row>
    <row r="15" spans="1:21" ht="15" customHeight="1" x14ac:dyDescent="0.3">
      <c r="A15" s="65">
        <v>3244</v>
      </c>
      <c r="B15" s="53">
        <v>45776</v>
      </c>
      <c r="C15" s="8"/>
      <c r="D15" s="61">
        <v>1</v>
      </c>
      <c r="E15" s="61">
        <v>213</v>
      </c>
      <c r="F15" s="61">
        <v>63</v>
      </c>
      <c r="G15" s="61">
        <v>150</v>
      </c>
      <c r="H15" s="61">
        <v>0</v>
      </c>
      <c r="I15" s="57">
        <v>45838</v>
      </c>
      <c r="J15" s="61">
        <v>105</v>
      </c>
      <c r="K15" s="57"/>
      <c r="L15" s="61"/>
      <c r="M15" s="22" t="s">
        <v>24</v>
      </c>
      <c r="N15" s="25" t="s">
        <v>14</v>
      </c>
      <c r="O15" s="53">
        <v>45809</v>
      </c>
      <c r="P15" s="63">
        <v>3244</v>
      </c>
    </row>
    <row r="16" spans="1:21" ht="15" customHeight="1" x14ac:dyDescent="0.3">
      <c r="A16" s="67">
        <v>3245</v>
      </c>
      <c r="B16" s="53">
        <v>45776</v>
      </c>
      <c r="C16" s="8" t="s">
        <v>28</v>
      </c>
      <c r="D16" s="61">
        <v>4</v>
      </c>
      <c r="E16" s="61">
        <v>105</v>
      </c>
      <c r="F16" s="61">
        <v>105</v>
      </c>
      <c r="G16" s="61">
        <v>0</v>
      </c>
      <c r="H16" s="61">
        <v>0</v>
      </c>
      <c r="I16" s="57"/>
      <c r="J16" s="61"/>
      <c r="K16" s="57"/>
      <c r="L16" s="61"/>
      <c r="M16" s="22" t="s">
        <v>24</v>
      </c>
      <c r="N16" s="25" t="s">
        <v>14</v>
      </c>
      <c r="O16" s="53">
        <v>45776</v>
      </c>
      <c r="P16" s="63">
        <v>3245</v>
      </c>
    </row>
    <row r="17" spans="1:18" ht="15" customHeight="1" x14ac:dyDescent="0.3">
      <c r="A17" s="65">
        <v>3246</v>
      </c>
      <c r="B17" s="53">
        <v>45781</v>
      </c>
      <c r="C17" s="8"/>
      <c r="D17" s="61">
        <v>4</v>
      </c>
      <c r="E17" s="61">
        <v>177</v>
      </c>
      <c r="F17" s="61">
        <v>14</v>
      </c>
      <c r="G17" s="61">
        <v>163</v>
      </c>
      <c r="H17" s="61">
        <v>3</v>
      </c>
      <c r="I17" s="57">
        <v>45833</v>
      </c>
      <c r="J17" s="61">
        <v>163</v>
      </c>
      <c r="K17" s="57"/>
      <c r="L17" s="61"/>
      <c r="M17" s="22" t="s">
        <v>24</v>
      </c>
      <c r="N17" s="25" t="s">
        <v>14</v>
      </c>
      <c r="O17" s="53">
        <v>45833</v>
      </c>
      <c r="P17" s="63">
        <v>3346</v>
      </c>
    </row>
    <row r="18" spans="1:18" ht="15" customHeight="1" x14ac:dyDescent="0.3">
      <c r="A18" s="67">
        <v>3247</v>
      </c>
      <c r="B18" s="53"/>
      <c r="C18" s="8"/>
      <c r="D18" s="61">
        <v>4</v>
      </c>
      <c r="E18" s="61">
        <v>0</v>
      </c>
      <c r="F18" s="61">
        <v>0</v>
      </c>
      <c r="G18" s="61">
        <v>0</v>
      </c>
      <c r="H18" s="61">
        <v>0</v>
      </c>
      <c r="I18" s="57"/>
      <c r="J18" s="61"/>
      <c r="K18" s="57"/>
      <c r="L18" s="61"/>
      <c r="M18" s="22"/>
      <c r="N18" s="25"/>
      <c r="O18" s="53"/>
      <c r="P18" s="63"/>
    </row>
    <row r="19" spans="1:18" ht="15" customHeight="1" x14ac:dyDescent="0.3">
      <c r="A19" s="65">
        <v>3248</v>
      </c>
      <c r="B19" s="53">
        <v>45834</v>
      </c>
      <c r="C19" s="8"/>
      <c r="D19" s="61">
        <v>4</v>
      </c>
      <c r="E19" s="61">
        <v>272</v>
      </c>
      <c r="F19" s="61">
        <v>272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45842</v>
      </c>
      <c r="P19" s="63">
        <v>3248</v>
      </c>
    </row>
    <row r="20" spans="1:18" ht="15" customHeight="1" x14ac:dyDescent="0.3">
      <c r="A20" s="65">
        <v>3250</v>
      </c>
      <c r="B20" s="53">
        <v>45783</v>
      </c>
      <c r="C20" s="8"/>
      <c r="D20" s="61">
        <v>4</v>
      </c>
      <c r="E20" s="61">
        <v>247</v>
      </c>
      <c r="F20" s="61">
        <v>205</v>
      </c>
      <c r="G20" s="61">
        <v>42</v>
      </c>
      <c r="H20" s="61">
        <v>2</v>
      </c>
      <c r="I20" s="57">
        <v>45828</v>
      </c>
      <c r="J20" s="61">
        <v>145</v>
      </c>
      <c r="K20" s="57"/>
      <c r="L20" s="61"/>
      <c r="M20" s="22" t="s">
        <v>24</v>
      </c>
      <c r="N20" s="25" t="s">
        <v>14</v>
      </c>
      <c r="O20" s="53">
        <v>45828</v>
      </c>
      <c r="P20" s="63">
        <v>3250</v>
      </c>
    </row>
    <row r="21" spans="1:18" ht="15" customHeight="1" x14ac:dyDescent="0.3">
      <c r="A21" s="66">
        <v>3251</v>
      </c>
      <c r="B21" s="53">
        <v>45778</v>
      </c>
      <c r="C21" s="8"/>
      <c r="D21" s="61">
        <v>4</v>
      </c>
      <c r="E21" s="61">
        <v>163</v>
      </c>
      <c r="F21" s="61">
        <v>113</v>
      </c>
      <c r="G21" s="61">
        <v>50</v>
      </c>
      <c r="H21" s="61">
        <v>2</v>
      </c>
      <c r="I21" s="57">
        <v>45819</v>
      </c>
      <c r="J21" s="61">
        <v>115</v>
      </c>
      <c r="K21" s="57"/>
      <c r="L21" s="61"/>
      <c r="M21" s="22" t="s">
        <v>24</v>
      </c>
      <c r="N21" s="25" t="s">
        <v>14</v>
      </c>
      <c r="O21" s="53">
        <v>45819</v>
      </c>
      <c r="P21" s="63">
        <v>3251</v>
      </c>
    </row>
    <row r="22" spans="1:18" ht="15" customHeight="1" x14ac:dyDescent="0.3">
      <c r="A22" s="68">
        <v>3252</v>
      </c>
      <c r="B22" s="53">
        <v>45816</v>
      </c>
      <c r="C22" s="8"/>
      <c r="D22" s="61">
        <v>4</v>
      </c>
      <c r="E22" s="61">
        <v>341</v>
      </c>
      <c r="F22" s="61">
        <v>284</v>
      </c>
      <c r="G22" s="61">
        <v>57</v>
      </c>
      <c r="H22" s="61">
        <v>1</v>
      </c>
      <c r="I22" s="57">
        <v>45819</v>
      </c>
      <c r="J22" s="61">
        <v>42</v>
      </c>
      <c r="K22" s="57">
        <v>45819</v>
      </c>
      <c r="L22" s="61">
        <v>104</v>
      </c>
      <c r="M22" s="22" t="s">
        <v>24</v>
      </c>
      <c r="N22" s="25" t="s">
        <v>14</v>
      </c>
      <c r="O22" s="53">
        <v>45819</v>
      </c>
      <c r="P22" s="63">
        <v>3352</v>
      </c>
    </row>
    <row r="23" spans="1:18" ht="15" customHeight="1" x14ac:dyDescent="0.3">
      <c r="A23" s="66">
        <v>3253</v>
      </c>
      <c r="B23" s="53"/>
      <c r="C23" s="8"/>
      <c r="D23" s="61">
        <v>4</v>
      </c>
      <c r="E23" s="61">
        <v>0</v>
      </c>
      <c r="F23" s="61">
        <v>0</v>
      </c>
      <c r="G23" s="61">
        <v>0</v>
      </c>
      <c r="H23" s="61">
        <v>0</v>
      </c>
      <c r="I23" s="57"/>
      <c r="J23" s="61"/>
      <c r="K23" s="57"/>
      <c r="L23" s="61"/>
      <c r="M23" s="22"/>
      <c r="N23" s="25"/>
      <c r="O23" s="53"/>
      <c r="P23" s="63"/>
    </row>
    <row r="24" spans="1:18" ht="15" customHeight="1" x14ac:dyDescent="0.3">
      <c r="A24" s="65">
        <v>3254</v>
      </c>
      <c r="B24" s="53">
        <v>45820</v>
      </c>
      <c r="C24" s="8"/>
      <c r="D24" s="61">
        <v>4</v>
      </c>
      <c r="E24" s="61">
        <v>488</v>
      </c>
      <c r="F24" s="61">
        <v>488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14</v>
      </c>
      <c r="O24" s="53">
        <v>45820</v>
      </c>
      <c r="P24" s="63">
        <v>3254</v>
      </c>
    </row>
    <row r="25" spans="1:18" ht="15" customHeight="1" x14ac:dyDescent="0.3">
      <c r="A25" s="67">
        <v>3255</v>
      </c>
      <c r="B25" s="53">
        <v>45795</v>
      </c>
      <c r="C25" s="8" t="s">
        <v>28</v>
      </c>
      <c r="D25" s="61">
        <v>4</v>
      </c>
      <c r="E25" s="61">
        <v>372</v>
      </c>
      <c r="F25" s="61">
        <v>352</v>
      </c>
      <c r="G25" s="61">
        <v>0</v>
      </c>
      <c r="H25" s="61">
        <v>1</v>
      </c>
      <c r="I25" s="57">
        <v>45795</v>
      </c>
      <c r="J25" s="61">
        <v>105</v>
      </c>
      <c r="K25" s="57">
        <v>45824</v>
      </c>
      <c r="L25" s="61">
        <v>52</v>
      </c>
      <c r="M25" s="22" t="s">
        <v>24</v>
      </c>
      <c r="N25" s="25" t="s">
        <v>14</v>
      </c>
      <c r="O25" s="53">
        <v>45824</v>
      </c>
      <c r="P25" s="63">
        <v>3255</v>
      </c>
    </row>
    <row r="26" spans="1:18" ht="15" customHeight="1" x14ac:dyDescent="0.3">
      <c r="A26" s="67">
        <v>3256</v>
      </c>
      <c r="B26" s="53">
        <v>45834</v>
      </c>
      <c r="C26" s="8" t="s">
        <v>28</v>
      </c>
      <c r="D26" s="61">
        <v>4</v>
      </c>
      <c r="E26" s="61">
        <v>324</v>
      </c>
      <c r="F26" s="61">
        <v>144</v>
      </c>
      <c r="G26" s="61">
        <v>180</v>
      </c>
      <c r="H26" s="61">
        <v>2</v>
      </c>
      <c r="I26" s="57">
        <v>45841</v>
      </c>
      <c r="J26" s="61">
        <v>87</v>
      </c>
      <c r="K26" s="57">
        <v>45842</v>
      </c>
      <c r="L26" s="61">
        <v>93</v>
      </c>
      <c r="M26" s="22" t="s">
        <v>24</v>
      </c>
      <c r="N26" s="25" t="s">
        <v>14</v>
      </c>
      <c r="O26" s="53">
        <v>45842</v>
      </c>
      <c r="P26" s="63">
        <v>3256</v>
      </c>
    </row>
    <row r="27" spans="1:18" ht="15" customHeight="1" x14ac:dyDescent="0.3">
      <c r="A27" s="65">
        <v>3258</v>
      </c>
      <c r="B27" s="53">
        <v>45803</v>
      </c>
      <c r="C27" s="8"/>
      <c r="D27" s="61">
        <v>4</v>
      </c>
      <c r="E27" s="61">
        <v>190</v>
      </c>
      <c r="F27" s="61">
        <v>190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45803</v>
      </c>
      <c r="P27" s="63">
        <v>3258</v>
      </c>
      <c r="R27" s="5"/>
    </row>
    <row r="28" spans="1:18" ht="15" customHeight="1" x14ac:dyDescent="0.3">
      <c r="A28" s="67">
        <v>3259</v>
      </c>
      <c r="B28" s="53">
        <v>45827</v>
      </c>
      <c r="C28" s="8" t="s">
        <v>28</v>
      </c>
      <c r="D28" s="61">
        <v>4</v>
      </c>
      <c r="E28" s="61">
        <v>458</v>
      </c>
      <c r="F28" s="61">
        <v>458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45827</v>
      </c>
      <c r="P28" s="63">
        <v>3259</v>
      </c>
    </row>
    <row r="29" spans="1:18" ht="15" customHeight="1" x14ac:dyDescent="0.3">
      <c r="A29" s="67">
        <v>3260</v>
      </c>
      <c r="B29" s="53"/>
      <c r="C29" s="8"/>
      <c r="D29" s="61">
        <v>4</v>
      </c>
      <c r="E29" s="61">
        <v>0</v>
      </c>
      <c r="F29" s="61">
        <v>0</v>
      </c>
      <c r="G29" s="61">
        <v>0</v>
      </c>
      <c r="H29" s="61">
        <v>0</v>
      </c>
      <c r="I29" s="57"/>
      <c r="J29" s="61"/>
      <c r="K29" s="57"/>
      <c r="L29" s="61"/>
      <c r="M29" s="22"/>
      <c r="N29" s="25"/>
      <c r="O29" s="53"/>
      <c r="P29" s="63"/>
      <c r="R29" s="1" t="s">
        <v>22</v>
      </c>
    </row>
    <row r="30" spans="1:18" ht="15" customHeight="1" x14ac:dyDescent="0.3">
      <c r="A30" s="65">
        <v>3261</v>
      </c>
      <c r="B30" s="53">
        <v>45796</v>
      </c>
      <c r="C30" s="8"/>
      <c r="D30" s="61">
        <v>4</v>
      </c>
      <c r="E30" s="61">
        <v>195</v>
      </c>
      <c r="F30" s="61">
        <v>195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45796</v>
      </c>
      <c r="P30" s="63">
        <v>3261</v>
      </c>
    </row>
    <row r="31" spans="1:18" ht="15" customHeight="1" x14ac:dyDescent="0.3">
      <c r="A31" s="65">
        <v>3262</v>
      </c>
      <c r="B31" s="53">
        <v>45761</v>
      </c>
      <c r="C31" s="8"/>
      <c r="D31" s="61">
        <v>4</v>
      </c>
      <c r="E31" s="61">
        <v>116</v>
      </c>
      <c r="F31" s="61">
        <v>116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45761</v>
      </c>
      <c r="P31" s="63"/>
    </row>
    <row r="32" spans="1:18" ht="15" customHeight="1" x14ac:dyDescent="0.3">
      <c r="A32" s="65">
        <v>3263</v>
      </c>
      <c r="B32" s="53">
        <v>45762</v>
      </c>
      <c r="C32" s="8"/>
      <c r="D32" s="61">
        <v>4</v>
      </c>
      <c r="E32" s="61">
        <v>59</v>
      </c>
      <c r="F32" s="61">
        <v>59</v>
      </c>
      <c r="G32" s="61">
        <v>0</v>
      </c>
      <c r="H32" s="61">
        <v>2</v>
      </c>
      <c r="I32" s="57">
        <v>45828</v>
      </c>
      <c r="J32" s="61">
        <v>42</v>
      </c>
      <c r="K32" s="57">
        <v>45833</v>
      </c>
      <c r="L32" s="61">
        <v>39</v>
      </c>
      <c r="M32" s="22" t="s">
        <v>24</v>
      </c>
      <c r="N32" s="25" t="s">
        <v>14</v>
      </c>
      <c r="O32" s="53">
        <v>45833</v>
      </c>
      <c r="P32" s="63">
        <v>3263</v>
      </c>
    </row>
    <row r="33" spans="1:19" ht="15" customHeight="1" x14ac:dyDescent="0.3">
      <c r="A33" s="65">
        <v>3264</v>
      </c>
      <c r="B33" s="53">
        <v>45784</v>
      </c>
      <c r="C33" s="8"/>
      <c r="D33" s="61">
        <v>4</v>
      </c>
      <c r="E33" s="61">
        <v>201</v>
      </c>
      <c r="F33" s="61">
        <v>201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45784</v>
      </c>
      <c r="P33" s="63">
        <v>3264</v>
      </c>
    </row>
    <row r="34" spans="1:19" ht="15" customHeight="1" x14ac:dyDescent="0.3">
      <c r="A34" s="65">
        <v>3265</v>
      </c>
      <c r="B34" s="53">
        <v>45823</v>
      </c>
      <c r="C34" s="8"/>
      <c r="D34" s="61">
        <v>4</v>
      </c>
      <c r="E34" s="61">
        <v>430</v>
      </c>
      <c r="F34" s="61">
        <v>359</v>
      </c>
      <c r="G34" s="61">
        <v>71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45823</v>
      </c>
      <c r="P34" s="63">
        <v>3265</v>
      </c>
    </row>
    <row r="35" spans="1:19" ht="15" customHeight="1" x14ac:dyDescent="0.3">
      <c r="A35" s="68">
        <v>3266</v>
      </c>
      <c r="B35" s="53">
        <v>45778</v>
      </c>
      <c r="C35" s="8"/>
      <c r="D35" s="61">
        <v>4</v>
      </c>
      <c r="E35" s="61">
        <v>167</v>
      </c>
      <c r="F35" s="61">
        <v>167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45778</v>
      </c>
      <c r="P35" s="63">
        <v>3266</v>
      </c>
    </row>
    <row r="36" spans="1:19" ht="15" customHeight="1" x14ac:dyDescent="0.3">
      <c r="A36" s="67">
        <v>3267</v>
      </c>
      <c r="B36" s="53">
        <v>45776</v>
      </c>
      <c r="C36" s="8" t="s">
        <v>28</v>
      </c>
      <c r="D36" s="61">
        <v>3</v>
      </c>
      <c r="E36" s="61">
        <v>177</v>
      </c>
      <c r="F36" s="61">
        <v>173</v>
      </c>
      <c r="G36" s="61">
        <v>4</v>
      </c>
      <c r="H36" s="61">
        <v>1</v>
      </c>
      <c r="I36" s="57"/>
      <c r="J36" s="61"/>
      <c r="K36" s="57"/>
      <c r="L36" s="61"/>
      <c r="M36" s="22" t="s">
        <v>24</v>
      </c>
      <c r="N36" s="25" t="s">
        <v>14</v>
      </c>
      <c r="O36" s="53"/>
      <c r="P36" s="63"/>
    </row>
    <row r="37" spans="1:19" ht="15" customHeight="1" x14ac:dyDescent="0.3">
      <c r="A37" s="65">
        <v>3299</v>
      </c>
      <c r="B37" s="53">
        <v>45788</v>
      </c>
      <c r="C37" s="8"/>
      <c r="D37" s="61">
        <v>4</v>
      </c>
      <c r="E37" s="61">
        <v>123</v>
      </c>
      <c r="F37" s="61">
        <v>123</v>
      </c>
      <c r="G37" s="61">
        <v>0</v>
      </c>
      <c r="H37" s="61">
        <v>2</v>
      </c>
      <c r="I37" s="57">
        <v>45820</v>
      </c>
      <c r="J37" s="61">
        <v>35</v>
      </c>
      <c r="K37" s="57"/>
      <c r="L37" s="61"/>
      <c r="M37" s="22" t="s">
        <v>24</v>
      </c>
      <c r="N37" s="25" t="s">
        <v>14</v>
      </c>
      <c r="O37" s="53">
        <v>45820</v>
      </c>
      <c r="P37" s="63">
        <v>3299</v>
      </c>
    </row>
    <row r="38" spans="1:19" ht="15" customHeight="1" x14ac:dyDescent="0.3">
      <c r="A38" s="65">
        <v>3531</v>
      </c>
      <c r="B38" s="53">
        <v>45790</v>
      </c>
      <c r="C38" s="8"/>
      <c r="D38" s="61">
        <v>3</v>
      </c>
      <c r="E38" s="61">
        <v>146</v>
      </c>
      <c r="F38" s="61">
        <v>105</v>
      </c>
      <c r="G38" s="61">
        <v>41</v>
      </c>
      <c r="H38" s="61">
        <v>2</v>
      </c>
      <c r="I38" s="57">
        <v>45832</v>
      </c>
      <c r="J38" s="61">
        <v>473</v>
      </c>
      <c r="K38" s="57"/>
      <c r="L38" s="61"/>
      <c r="M38" s="22" t="s">
        <v>24</v>
      </c>
      <c r="N38" s="25" t="s">
        <v>14</v>
      </c>
      <c r="O38" s="53">
        <v>45832</v>
      </c>
      <c r="P38" s="63">
        <v>3431</v>
      </c>
    </row>
    <row r="39" spans="1:19" ht="15" customHeight="1" x14ac:dyDescent="0.3">
      <c r="A39" s="67">
        <v>3532</v>
      </c>
      <c r="B39" s="53"/>
      <c r="C39" s="8"/>
      <c r="D39" s="61">
        <v>3</v>
      </c>
      <c r="E39" s="61">
        <v>0</v>
      </c>
      <c r="F39" s="61">
        <v>0</v>
      </c>
      <c r="G39" s="61">
        <v>0</v>
      </c>
      <c r="H39" s="61">
        <v>0</v>
      </c>
      <c r="I39" s="57"/>
      <c r="J39" s="61"/>
      <c r="K39" s="57"/>
      <c r="L39" s="61"/>
      <c r="M39" s="22"/>
      <c r="N39" s="25"/>
      <c r="O39" s="53"/>
      <c r="P39" s="63"/>
    </row>
    <row r="40" spans="1:19" ht="15" customHeight="1" x14ac:dyDescent="0.3">
      <c r="A40" s="67">
        <v>3533</v>
      </c>
      <c r="B40" s="53"/>
      <c r="C40" s="8"/>
      <c r="D40" s="61">
        <v>3</v>
      </c>
      <c r="E40" s="61">
        <v>0</v>
      </c>
      <c r="F40" s="61">
        <v>0</v>
      </c>
      <c r="G40" s="61">
        <v>0</v>
      </c>
      <c r="H40" s="61">
        <v>0</v>
      </c>
      <c r="I40" s="57"/>
      <c r="J40" s="61"/>
      <c r="K40" s="57"/>
      <c r="L40" s="61"/>
      <c r="M40" s="22"/>
      <c r="N40" s="25"/>
      <c r="O40" s="53"/>
      <c r="P40" s="63"/>
      <c r="S40" s="6"/>
    </row>
    <row r="41" spans="1:19" ht="15" customHeight="1" x14ac:dyDescent="0.3">
      <c r="A41" s="67">
        <v>3534</v>
      </c>
      <c r="B41" s="53">
        <v>45840</v>
      </c>
      <c r="C41" s="8" t="s">
        <v>28</v>
      </c>
      <c r="D41" s="61">
        <v>3</v>
      </c>
      <c r="E41" s="61">
        <v>0</v>
      </c>
      <c r="F41" s="61">
        <v>0</v>
      </c>
      <c r="G41" s="61">
        <v>0</v>
      </c>
      <c r="H41" s="61">
        <v>0</v>
      </c>
      <c r="I41" s="57"/>
      <c r="J41" s="61"/>
      <c r="K41" s="57"/>
      <c r="L41" s="61"/>
      <c r="M41" s="22" t="s">
        <v>24</v>
      </c>
      <c r="N41" s="25" t="s">
        <v>14</v>
      </c>
      <c r="O41" s="53">
        <v>45840</v>
      </c>
      <c r="P41" s="63"/>
    </row>
    <row r="42" spans="1:19" ht="15" customHeight="1" x14ac:dyDescent="0.3">
      <c r="A42" s="65">
        <v>3535</v>
      </c>
      <c r="B42" s="53">
        <v>45834</v>
      </c>
      <c r="C42" s="8"/>
      <c r="D42" s="61">
        <v>2</v>
      </c>
      <c r="E42" s="61">
        <v>158</v>
      </c>
      <c r="F42" s="61">
        <v>158</v>
      </c>
      <c r="G42" s="61">
        <v>0</v>
      </c>
      <c r="H42" s="61">
        <v>1</v>
      </c>
      <c r="I42" s="57">
        <v>45839</v>
      </c>
      <c r="J42" s="61">
        <v>40</v>
      </c>
      <c r="K42" s="57"/>
      <c r="L42" s="61"/>
      <c r="M42" s="22" t="s">
        <v>24</v>
      </c>
      <c r="N42" s="25" t="s">
        <v>14</v>
      </c>
      <c r="O42" s="53">
        <v>45834</v>
      </c>
      <c r="P42" s="63">
        <v>3535</v>
      </c>
    </row>
    <row r="43" spans="1:19" ht="15" customHeight="1" x14ac:dyDescent="0.3">
      <c r="A43" s="68">
        <v>3536</v>
      </c>
      <c r="B43" s="53">
        <v>45804</v>
      </c>
      <c r="C43" s="8"/>
      <c r="D43" s="61">
        <v>3</v>
      </c>
      <c r="E43" s="61">
        <v>276</v>
      </c>
      <c r="F43" s="61">
        <v>276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45804</v>
      </c>
      <c r="P43" s="63">
        <v>3536</v>
      </c>
    </row>
    <row r="44" spans="1:19" ht="15" customHeight="1" x14ac:dyDescent="0.3">
      <c r="A44" s="65">
        <v>3537</v>
      </c>
      <c r="B44" s="53">
        <v>45810</v>
      </c>
      <c r="C44" s="8"/>
      <c r="D44" s="61">
        <v>3</v>
      </c>
      <c r="E44" s="61">
        <v>188</v>
      </c>
      <c r="F44" s="61">
        <v>95</v>
      </c>
      <c r="G44" s="61">
        <v>93</v>
      </c>
      <c r="H44" s="61">
        <v>2</v>
      </c>
      <c r="I44" s="57">
        <v>45824</v>
      </c>
      <c r="J44" s="61">
        <v>144</v>
      </c>
      <c r="K44" s="57"/>
      <c r="L44" s="61"/>
      <c r="M44" s="22" t="s">
        <v>24</v>
      </c>
      <c r="N44" s="25" t="s">
        <v>14</v>
      </c>
      <c r="O44" s="53">
        <v>45824</v>
      </c>
      <c r="P44" s="63">
        <v>3437</v>
      </c>
    </row>
    <row r="45" spans="1:19" ht="15" customHeight="1" x14ac:dyDescent="0.3">
      <c r="A45" s="65">
        <v>3538</v>
      </c>
      <c r="B45" s="53">
        <v>45777</v>
      </c>
      <c r="C45" s="8"/>
      <c r="D45" s="61">
        <v>3</v>
      </c>
      <c r="E45" s="61">
        <v>265</v>
      </c>
      <c r="F45" s="61">
        <v>195</v>
      </c>
      <c r="G45" s="61">
        <v>70</v>
      </c>
      <c r="H45" s="61">
        <v>1</v>
      </c>
      <c r="I45" s="57">
        <v>45840</v>
      </c>
      <c r="J45" s="61">
        <v>55</v>
      </c>
      <c r="K45" s="57"/>
      <c r="L45" s="61"/>
      <c r="M45" s="22" t="s">
        <v>24</v>
      </c>
      <c r="N45" s="25" t="s">
        <v>14</v>
      </c>
      <c r="O45" s="53">
        <v>45777</v>
      </c>
      <c r="P45" s="63">
        <v>3538</v>
      </c>
    </row>
    <row r="46" spans="1:19" ht="15" customHeight="1" x14ac:dyDescent="0.3">
      <c r="A46" s="66">
        <v>3540</v>
      </c>
      <c r="B46" s="53">
        <v>45769</v>
      </c>
      <c r="C46" s="8"/>
      <c r="D46" s="61">
        <v>3</v>
      </c>
      <c r="E46" s="61">
        <v>30</v>
      </c>
      <c r="F46" s="61">
        <v>30</v>
      </c>
      <c r="G46" s="61">
        <v>0</v>
      </c>
      <c r="H46" s="61">
        <v>2</v>
      </c>
      <c r="I46" s="57">
        <v>45844</v>
      </c>
      <c r="J46" s="61">
        <v>162</v>
      </c>
      <c r="K46" s="57"/>
      <c r="L46" s="61"/>
      <c r="M46" s="22" t="s">
        <v>24</v>
      </c>
      <c r="N46" s="25" t="s">
        <v>14</v>
      </c>
      <c r="O46" s="53">
        <v>45844</v>
      </c>
      <c r="P46" s="63">
        <v>3540</v>
      </c>
    </row>
    <row r="47" spans="1:19" ht="15" customHeight="1" x14ac:dyDescent="0.3">
      <c r="A47" s="65">
        <v>3541</v>
      </c>
      <c r="B47" s="53">
        <v>45774</v>
      </c>
      <c r="C47" s="8"/>
      <c r="D47" s="61">
        <v>3</v>
      </c>
      <c r="E47" s="61">
        <v>356</v>
      </c>
      <c r="F47" s="61">
        <v>356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45774</v>
      </c>
      <c r="P47" s="63">
        <v>3541</v>
      </c>
    </row>
    <row r="48" spans="1:19" ht="15" customHeight="1" x14ac:dyDescent="0.3">
      <c r="A48" s="65">
        <v>3542</v>
      </c>
      <c r="B48" s="53">
        <v>45764</v>
      </c>
      <c r="C48" s="8"/>
      <c r="D48" s="61">
        <v>3</v>
      </c>
      <c r="E48" s="61">
        <v>283</v>
      </c>
      <c r="F48" s="61">
        <v>283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45764</v>
      </c>
      <c r="P48" s="63">
        <v>3542</v>
      </c>
    </row>
    <row r="49" spans="1:16" ht="15" customHeight="1" x14ac:dyDescent="0.3">
      <c r="A49" s="65">
        <v>3543</v>
      </c>
      <c r="B49" s="53">
        <v>45760</v>
      </c>
      <c r="C49" s="8"/>
      <c r="D49" s="61">
        <v>3</v>
      </c>
      <c r="E49" s="61">
        <v>61</v>
      </c>
      <c r="F49" s="61">
        <v>61</v>
      </c>
      <c r="G49" s="61">
        <v>13</v>
      </c>
      <c r="H49" s="61">
        <v>2</v>
      </c>
      <c r="I49" s="57">
        <v>45812</v>
      </c>
      <c r="J49" s="61">
        <v>13</v>
      </c>
      <c r="K49" s="57"/>
      <c r="L49" s="61"/>
      <c r="M49" s="22" t="s">
        <v>24</v>
      </c>
      <c r="N49" s="25" t="s">
        <v>14</v>
      </c>
      <c r="O49" s="53">
        <v>45812</v>
      </c>
      <c r="P49" s="63">
        <v>3543</v>
      </c>
    </row>
    <row r="50" spans="1:16" ht="15" customHeight="1" x14ac:dyDescent="0.3">
      <c r="A50" s="67">
        <v>3544</v>
      </c>
      <c r="B50" s="53">
        <v>45769</v>
      </c>
      <c r="C50" s="8" t="s">
        <v>28</v>
      </c>
      <c r="D50" s="61">
        <v>3</v>
      </c>
      <c r="E50" s="61">
        <v>265</v>
      </c>
      <c r="F50" s="61">
        <v>220</v>
      </c>
      <c r="G50" s="61">
        <v>45</v>
      </c>
      <c r="H50" s="61">
        <v>1</v>
      </c>
      <c r="I50" s="57">
        <v>45817</v>
      </c>
      <c r="J50" s="61">
        <v>97</v>
      </c>
      <c r="K50" s="57">
        <v>45819</v>
      </c>
      <c r="L50" s="61">
        <v>12</v>
      </c>
      <c r="M50" s="22" t="s">
        <v>24</v>
      </c>
      <c r="N50" s="25" t="s">
        <v>14</v>
      </c>
      <c r="O50" s="53">
        <v>45819</v>
      </c>
      <c r="P50" s="63">
        <v>3544</v>
      </c>
    </row>
    <row r="51" spans="1:16" ht="15" customHeight="1" x14ac:dyDescent="0.3">
      <c r="A51" s="65">
        <v>3545</v>
      </c>
      <c r="B51" s="53">
        <v>45783</v>
      </c>
      <c r="C51" s="8"/>
      <c r="D51" s="61">
        <v>3</v>
      </c>
      <c r="E51" s="61">
        <v>141</v>
      </c>
      <c r="F51" s="61">
        <v>141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45783</v>
      </c>
      <c r="P51" s="63">
        <v>3545</v>
      </c>
    </row>
    <row r="52" spans="1:16" ht="15" customHeight="1" x14ac:dyDescent="0.3">
      <c r="A52" s="65">
        <v>3546</v>
      </c>
      <c r="B52" s="53">
        <v>45812</v>
      </c>
      <c r="C52" s="8"/>
      <c r="D52" s="61">
        <v>3</v>
      </c>
      <c r="E52" s="61">
        <v>235</v>
      </c>
      <c r="F52" s="61">
        <v>95</v>
      </c>
      <c r="G52" s="61">
        <v>140</v>
      </c>
      <c r="H52" s="61">
        <v>2</v>
      </c>
      <c r="I52" s="57">
        <v>45827</v>
      </c>
      <c r="J52" s="61">
        <v>240</v>
      </c>
      <c r="K52" s="57"/>
      <c r="L52" s="61"/>
      <c r="M52" s="22" t="s">
        <v>24</v>
      </c>
      <c r="N52" s="25" t="s">
        <v>14</v>
      </c>
      <c r="O52" s="53">
        <v>45812</v>
      </c>
      <c r="P52" s="63">
        <v>3546</v>
      </c>
    </row>
    <row r="53" spans="1:16" ht="15" customHeight="1" x14ac:dyDescent="0.3">
      <c r="A53" s="65">
        <v>3547</v>
      </c>
      <c r="B53" s="53">
        <v>45782</v>
      </c>
      <c r="C53" s="8"/>
      <c r="D53" s="61">
        <v>3</v>
      </c>
      <c r="E53" s="61">
        <v>315</v>
      </c>
      <c r="F53" s="61">
        <v>315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45782</v>
      </c>
      <c r="P53" s="63">
        <v>3547</v>
      </c>
    </row>
    <row r="54" spans="1:16" ht="15" customHeight="1" x14ac:dyDescent="0.3">
      <c r="A54" s="65">
        <v>3548</v>
      </c>
      <c r="B54" s="53">
        <v>45768</v>
      </c>
      <c r="C54" s="8"/>
      <c r="D54" s="61">
        <v>3</v>
      </c>
      <c r="E54" s="61">
        <v>276</v>
      </c>
      <c r="F54" s="61">
        <v>276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45768</v>
      </c>
      <c r="P54" s="63">
        <v>3548</v>
      </c>
    </row>
    <row r="55" spans="1:16" ht="15" customHeight="1" x14ac:dyDescent="0.3">
      <c r="A55" s="65">
        <v>3549</v>
      </c>
      <c r="B55" s="53">
        <v>45771</v>
      </c>
      <c r="C55" s="8"/>
      <c r="D55" s="61">
        <v>3</v>
      </c>
      <c r="E55" s="61">
        <v>210</v>
      </c>
      <c r="F55" s="61">
        <v>135</v>
      </c>
      <c r="G55" s="61">
        <v>75</v>
      </c>
      <c r="H55" s="61">
        <v>2</v>
      </c>
      <c r="I55" s="57">
        <v>45794</v>
      </c>
      <c r="J55" s="61">
        <v>61</v>
      </c>
      <c r="K55" s="57">
        <v>45838</v>
      </c>
      <c r="L55" s="61">
        <v>115</v>
      </c>
      <c r="M55" s="22" t="s">
        <v>24</v>
      </c>
      <c r="N55" s="25" t="s">
        <v>14</v>
      </c>
      <c r="O55" s="53">
        <v>45794</v>
      </c>
      <c r="P55" s="63">
        <v>3549</v>
      </c>
    </row>
    <row r="56" spans="1:16" ht="15" customHeight="1" x14ac:dyDescent="0.3">
      <c r="A56" s="65">
        <v>3550</v>
      </c>
      <c r="B56" s="53">
        <v>45819</v>
      </c>
      <c r="C56" s="8"/>
      <c r="D56" s="61">
        <v>3</v>
      </c>
      <c r="E56" s="61">
        <v>466</v>
      </c>
      <c r="F56" s="61">
        <v>398</v>
      </c>
      <c r="G56" s="61">
        <v>68</v>
      </c>
      <c r="H56" s="61">
        <v>2</v>
      </c>
      <c r="I56" s="57">
        <v>45842</v>
      </c>
      <c r="J56" s="61">
        <v>48</v>
      </c>
      <c r="K56" s="57"/>
      <c r="L56" s="61"/>
      <c r="M56" s="22" t="s">
        <v>24</v>
      </c>
      <c r="N56" s="25" t="s">
        <v>14</v>
      </c>
      <c r="O56" s="53">
        <v>45819</v>
      </c>
      <c r="P56" s="63">
        <v>3550</v>
      </c>
    </row>
    <row r="57" spans="1:16" ht="15" customHeight="1" x14ac:dyDescent="0.3">
      <c r="A57" s="66">
        <v>3551</v>
      </c>
      <c r="B57" s="53">
        <v>45799</v>
      </c>
      <c r="C57" s="8"/>
      <c r="D57" s="61">
        <v>3</v>
      </c>
      <c r="E57" s="61">
        <v>192</v>
      </c>
      <c r="F57" s="61">
        <v>192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45799</v>
      </c>
      <c r="P57" s="63">
        <v>3551</v>
      </c>
    </row>
    <row r="58" spans="1:16" ht="15" customHeight="1" x14ac:dyDescent="0.3">
      <c r="A58" s="65">
        <v>3552</v>
      </c>
      <c r="B58" s="53">
        <v>45824</v>
      </c>
      <c r="C58" s="8"/>
      <c r="D58" s="61">
        <v>3</v>
      </c>
      <c r="E58" s="61">
        <v>422</v>
      </c>
      <c r="F58" s="61">
        <v>386</v>
      </c>
      <c r="G58" s="61">
        <v>36</v>
      </c>
      <c r="H58" s="61">
        <v>2</v>
      </c>
      <c r="I58" s="57">
        <v>45856</v>
      </c>
      <c r="J58" s="61">
        <v>48</v>
      </c>
      <c r="K58" s="57"/>
      <c r="L58" s="61"/>
      <c r="M58" s="22" t="s">
        <v>24</v>
      </c>
      <c r="N58" s="25" t="s">
        <v>14</v>
      </c>
      <c r="O58" s="53">
        <v>45856</v>
      </c>
      <c r="P58" s="63">
        <v>3552</v>
      </c>
    </row>
    <row r="59" spans="1:16" ht="15" customHeight="1" x14ac:dyDescent="0.3">
      <c r="A59" s="65">
        <v>3553</v>
      </c>
      <c r="B59" s="53">
        <v>45762</v>
      </c>
      <c r="C59" s="8"/>
      <c r="D59" s="61">
        <v>3</v>
      </c>
      <c r="E59" s="61">
        <v>281</v>
      </c>
      <c r="F59" s="61">
        <v>122</v>
      </c>
      <c r="G59" s="61">
        <v>159</v>
      </c>
      <c r="H59" s="61">
        <v>2</v>
      </c>
      <c r="I59" s="57">
        <v>45835</v>
      </c>
      <c r="J59" s="61">
        <v>351</v>
      </c>
      <c r="K59" s="57"/>
      <c r="L59" s="61"/>
      <c r="M59" s="22" t="s">
        <v>24</v>
      </c>
      <c r="N59" s="25" t="s">
        <v>14</v>
      </c>
      <c r="O59" s="53">
        <v>45835</v>
      </c>
      <c r="P59" s="63">
        <v>3553</v>
      </c>
    </row>
    <row r="60" spans="1:16" ht="15" customHeight="1" x14ac:dyDescent="0.3">
      <c r="A60" s="67">
        <v>3554</v>
      </c>
      <c r="B60" s="53">
        <v>45781</v>
      </c>
      <c r="C60" s="8" t="s">
        <v>28</v>
      </c>
      <c r="D60" s="61">
        <v>3</v>
      </c>
      <c r="E60" s="61">
        <v>219</v>
      </c>
      <c r="F60" s="61">
        <v>219</v>
      </c>
      <c r="G60" s="61">
        <v>0</v>
      </c>
      <c r="H60" s="61">
        <v>0</v>
      </c>
      <c r="I60" s="57"/>
      <c r="J60" s="61"/>
      <c r="K60" s="57"/>
      <c r="L60" s="61"/>
      <c r="M60" s="22" t="s">
        <v>24</v>
      </c>
      <c r="N60" s="25" t="s">
        <v>14</v>
      </c>
      <c r="O60" s="53">
        <v>45781</v>
      </c>
      <c r="P60" s="63">
        <v>3554</v>
      </c>
    </row>
    <row r="61" spans="1:16" ht="15" customHeight="1" x14ac:dyDescent="0.3">
      <c r="A61" s="65">
        <v>3555</v>
      </c>
      <c r="B61" s="53">
        <v>45825</v>
      </c>
      <c r="C61" s="8"/>
      <c r="D61" s="61">
        <v>3</v>
      </c>
      <c r="E61" s="61">
        <v>352</v>
      </c>
      <c r="F61" s="61">
        <v>352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45781</v>
      </c>
      <c r="P61" s="63">
        <v>3555</v>
      </c>
    </row>
    <row r="62" spans="1:16" ht="15" customHeight="1" x14ac:dyDescent="0.3">
      <c r="A62" s="65">
        <v>3556</v>
      </c>
      <c r="B62" s="53">
        <v>45823</v>
      </c>
      <c r="C62" s="8"/>
      <c r="D62" s="61">
        <v>1</v>
      </c>
      <c r="E62" s="61">
        <v>13</v>
      </c>
      <c r="F62" s="61">
        <v>0</v>
      </c>
      <c r="G62" s="61">
        <v>0</v>
      </c>
      <c r="H62" s="61">
        <v>1</v>
      </c>
      <c r="I62" s="57">
        <v>45848</v>
      </c>
      <c r="J62" s="61">
        <v>8</v>
      </c>
      <c r="K62" s="57"/>
      <c r="L62" s="61"/>
      <c r="M62" s="22" t="s">
        <v>24</v>
      </c>
      <c r="N62" s="25" t="s">
        <v>14</v>
      </c>
      <c r="O62" s="53">
        <v>45823</v>
      </c>
      <c r="P62" s="63">
        <v>3556</v>
      </c>
    </row>
    <row r="63" spans="1:16" ht="15" customHeight="1" x14ac:dyDescent="0.3">
      <c r="A63" s="65">
        <v>3557</v>
      </c>
      <c r="B63" s="53">
        <v>45760</v>
      </c>
      <c r="C63" s="8"/>
      <c r="D63" s="61">
        <v>3</v>
      </c>
      <c r="E63" s="61">
        <v>97</v>
      </c>
      <c r="F63" s="61">
        <v>97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45760</v>
      </c>
      <c r="P63" s="63">
        <v>3557</v>
      </c>
    </row>
    <row r="64" spans="1:16" ht="15" customHeight="1" x14ac:dyDescent="0.3">
      <c r="A64" s="65">
        <v>3558</v>
      </c>
      <c r="B64" s="53">
        <v>45763</v>
      </c>
      <c r="C64" s="8"/>
      <c r="D64" s="61">
        <v>3</v>
      </c>
      <c r="E64" s="61">
        <v>302</v>
      </c>
      <c r="F64" s="61">
        <v>145</v>
      </c>
      <c r="G64" s="61">
        <v>157</v>
      </c>
      <c r="H64" s="61">
        <v>2</v>
      </c>
      <c r="I64" s="57">
        <v>45830</v>
      </c>
      <c r="J64" s="61">
        <v>116</v>
      </c>
      <c r="K64" s="57">
        <v>45831</v>
      </c>
      <c r="L64" s="61">
        <v>226</v>
      </c>
      <c r="M64" s="22" t="s">
        <v>24</v>
      </c>
      <c r="N64" s="25" t="s">
        <v>14</v>
      </c>
      <c r="O64" s="53">
        <v>45831</v>
      </c>
      <c r="P64" s="63">
        <v>3558</v>
      </c>
    </row>
    <row r="65" spans="1:16" ht="15" customHeight="1" x14ac:dyDescent="0.3">
      <c r="A65" s="65">
        <v>3559</v>
      </c>
      <c r="B65" s="53">
        <v>45761</v>
      </c>
      <c r="C65" s="8"/>
      <c r="D65" s="61">
        <v>3</v>
      </c>
      <c r="E65" s="61">
        <v>202</v>
      </c>
      <c r="F65" s="61">
        <v>108</v>
      </c>
      <c r="G65" s="61">
        <v>94</v>
      </c>
      <c r="H65" s="61">
        <v>1</v>
      </c>
      <c r="I65" s="57">
        <v>45823</v>
      </c>
      <c r="J65" s="61">
        <v>97</v>
      </c>
      <c r="K65" s="57"/>
      <c r="L65" s="61"/>
      <c r="M65" s="22" t="s">
        <v>24</v>
      </c>
      <c r="N65" s="25" t="s">
        <v>14</v>
      </c>
      <c r="O65" s="53">
        <v>45823</v>
      </c>
      <c r="P65" s="63">
        <v>3559</v>
      </c>
    </row>
    <row r="66" spans="1:16" ht="15" customHeight="1" x14ac:dyDescent="0.3">
      <c r="A66" s="65">
        <v>3560</v>
      </c>
      <c r="B66" s="53">
        <v>45798</v>
      </c>
      <c r="C66" s="8"/>
      <c r="D66" s="61">
        <v>3</v>
      </c>
      <c r="E66" s="61">
        <v>237</v>
      </c>
      <c r="F66" s="61">
        <v>237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45798</v>
      </c>
      <c r="P66" s="63">
        <v>3560</v>
      </c>
    </row>
    <row r="67" spans="1:16" ht="15" customHeight="1" x14ac:dyDescent="0.3">
      <c r="A67" s="67">
        <v>3561</v>
      </c>
      <c r="B67" s="53">
        <v>45792</v>
      </c>
      <c r="C67" s="8" t="s">
        <v>28</v>
      </c>
      <c r="D67" s="61">
        <v>3</v>
      </c>
      <c r="E67" s="61">
        <v>267</v>
      </c>
      <c r="F67" s="61">
        <v>95</v>
      </c>
      <c r="G67" s="61">
        <v>172</v>
      </c>
      <c r="H67" s="61">
        <v>2</v>
      </c>
      <c r="I67" s="57">
        <v>45809</v>
      </c>
      <c r="J67" s="61">
        <v>172</v>
      </c>
      <c r="K67" s="57"/>
      <c r="L67" s="61"/>
      <c r="M67" s="22" t="s">
        <v>24</v>
      </c>
      <c r="N67" s="25" t="s">
        <v>14</v>
      </c>
      <c r="O67" s="53">
        <v>45809</v>
      </c>
      <c r="P67" s="63">
        <v>3561</v>
      </c>
    </row>
    <row r="68" spans="1:16" ht="18.75" x14ac:dyDescent="0.3">
      <c r="A68" s="67">
        <v>3562</v>
      </c>
      <c r="B68" s="53">
        <v>45775</v>
      </c>
      <c r="C68" s="8" t="s">
        <v>28</v>
      </c>
      <c r="D68" s="61">
        <v>3</v>
      </c>
      <c r="E68" s="61">
        <v>190</v>
      </c>
      <c r="F68" s="61">
        <v>140</v>
      </c>
      <c r="G68" s="61">
        <v>50</v>
      </c>
      <c r="H68" s="61">
        <v>1</v>
      </c>
      <c r="I68" s="57">
        <v>45826</v>
      </c>
      <c r="J68" s="61">
        <v>59</v>
      </c>
      <c r="K68" s="57"/>
      <c r="L68" s="61"/>
      <c r="M68" s="22" t="s">
        <v>24</v>
      </c>
      <c r="N68" s="25" t="s">
        <v>14</v>
      </c>
      <c r="O68" s="53">
        <v>45826</v>
      </c>
      <c r="P68" s="63">
        <v>3562</v>
      </c>
    </row>
    <row r="69" spans="1:16" ht="18.75" x14ac:dyDescent="0.3">
      <c r="A69" s="65">
        <v>3563</v>
      </c>
      <c r="B69" s="53">
        <v>45806</v>
      </c>
      <c r="C69" s="8"/>
      <c r="D69" s="61">
        <v>3</v>
      </c>
      <c r="E69" s="61">
        <v>14</v>
      </c>
      <c r="F69" s="61">
        <v>14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45806</v>
      </c>
      <c r="P69" s="63">
        <v>3563</v>
      </c>
    </row>
    <row r="70" spans="1:16" ht="18.75" x14ac:dyDescent="0.3">
      <c r="A70" s="65">
        <v>3564</v>
      </c>
      <c r="B70" s="53">
        <v>45802</v>
      </c>
      <c r="C70" s="8"/>
      <c r="D70" s="61">
        <v>3</v>
      </c>
      <c r="E70" s="61">
        <v>212</v>
      </c>
      <c r="F70" s="61">
        <v>212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45802</v>
      </c>
      <c r="P70" s="63">
        <v>3564</v>
      </c>
    </row>
    <row r="71" spans="1:16" ht="18.75" x14ac:dyDescent="0.3">
      <c r="A71" s="65">
        <v>3565</v>
      </c>
      <c r="B71" s="53">
        <v>45790</v>
      </c>
      <c r="C71" s="8"/>
      <c r="D71" s="61">
        <v>3</v>
      </c>
      <c r="E71" s="61">
        <v>234</v>
      </c>
      <c r="F71" s="61">
        <v>234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45790</v>
      </c>
      <c r="P71" s="63">
        <v>3565</v>
      </c>
    </row>
    <row r="72" spans="1:16" ht="18.75" x14ac:dyDescent="0.3">
      <c r="A72" s="65">
        <v>3566</v>
      </c>
      <c r="B72" s="53">
        <v>45821</v>
      </c>
      <c r="C72" s="8"/>
      <c r="D72" s="61">
        <v>3</v>
      </c>
      <c r="E72" s="61">
        <v>339</v>
      </c>
      <c r="F72" s="61">
        <v>339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45821</v>
      </c>
      <c r="P72" s="63">
        <v>3566</v>
      </c>
    </row>
    <row r="73" spans="1:16" ht="18.75" x14ac:dyDescent="0.3">
      <c r="A73" s="69">
        <v>3567</v>
      </c>
      <c r="B73" s="53">
        <v>45788</v>
      </c>
      <c r="C73" s="8"/>
      <c r="D73" s="61">
        <v>3</v>
      </c>
      <c r="E73" s="61">
        <v>136</v>
      </c>
      <c r="F73" s="61">
        <v>98</v>
      </c>
      <c r="G73" s="61">
        <v>38</v>
      </c>
      <c r="H73" s="61">
        <v>2</v>
      </c>
      <c r="I73" s="57">
        <v>45818</v>
      </c>
      <c r="J73" s="61">
        <v>214</v>
      </c>
      <c r="K73" s="57"/>
      <c r="L73" s="61"/>
      <c r="M73" s="22" t="s">
        <v>24</v>
      </c>
      <c r="N73" s="25" t="s">
        <v>14</v>
      </c>
      <c r="O73" s="53">
        <v>45818</v>
      </c>
      <c r="P73" s="63">
        <v>3567</v>
      </c>
    </row>
    <row r="75" spans="1:16" x14ac:dyDescent="0.25">
      <c r="A75" s="27" t="s">
        <v>20</v>
      </c>
      <c r="B75" s="28"/>
    </row>
    <row r="76" spans="1:16" ht="30" x14ac:dyDescent="0.25">
      <c r="A76" s="26"/>
      <c r="B76" s="20" t="s">
        <v>21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28" workbookViewId="0">
      <selection activeCell="D41" sqref="D41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33" t="s">
        <v>0</v>
      </c>
      <c r="B1" s="43" t="s">
        <v>1</v>
      </c>
      <c r="C1" s="43" t="s">
        <v>26</v>
      </c>
      <c r="D1" s="44" t="s">
        <v>2</v>
      </c>
      <c r="E1" s="44" t="s">
        <v>3</v>
      </c>
      <c r="F1" s="44" t="s">
        <v>4</v>
      </c>
      <c r="G1" s="44" t="s">
        <v>5</v>
      </c>
      <c r="H1" s="44" t="s">
        <v>6</v>
      </c>
      <c r="I1" s="56" t="s">
        <v>7</v>
      </c>
      <c r="J1" s="45" t="s">
        <v>8</v>
      </c>
      <c r="K1" s="58" t="s">
        <v>9</v>
      </c>
      <c r="L1" s="46" t="s">
        <v>27</v>
      </c>
      <c r="M1" s="47" t="s">
        <v>10</v>
      </c>
      <c r="N1" s="48" t="s">
        <v>11</v>
      </c>
      <c r="O1" s="49" t="s">
        <v>12</v>
      </c>
      <c r="P1" s="50" t="s">
        <v>13</v>
      </c>
    </row>
    <row r="2" spans="1:21" ht="15" customHeight="1" x14ac:dyDescent="0.3">
      <c r="A2" s="65">
        <v>3231</v>
      </c>
      <c r="B2" s="57">
        <v>45825</v>
      </c>
      <c r="C2" s="8"/>
      <c r="D2" s="61">
        <v>4</v>
      </c>
      <c r="E2" s="61">
        <v>113</v>
      </c>
      <c r="F2" s="61">
        <v>113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14</v>
      </c>
      <c r="O2" s="53">
        <v>45825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7">
        <v>45850</v>
      </c>
      <c r="C3" s="8"/>
      <c r="D3" s="61">
        <v>1</v>
      </c>
      <c r="E3" s="61">
        <v>20</v>
      </c>
      <c r="F3" s="61">
        <v>20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45850</v>
      </c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65">
        <v>3233</v>
      </c>
      <c r="B4" s="57">
        <v>45834</v>
      </c>
      <c r="C4" s="8"/>
      <c r="D4" s="61">
        <v>2</v>
      </c>
      <c r="E4" s="61">
        <v>33</v>
      </c>
      <c r="F4" s="61">
        <v>33</v>
      </c>
      <c r="G4" s="61">
        <v>0</v>
      </c>
      <c r="H4" s="61">
        <v>0</v>
      </c>
      <c r="I4" s="57"/>
      <c r="J4" s="61"/>
      <c r="K4" s="57"/>
      <c r="L4" s="61"/>
      <c r="M4" s="22" t="s">
        <v>24</v>
      </c>
      <c r="N4" s="25" t="s">
        <v>14</v>
      </c>
      <c r="O4" s="53">
        <v>45834</v>
      </c>
      <c r="P4" s="63">
        <v>3233</v>
      </c>
      <c r="R4" s="14">
        <v>36</v>
      </c>
      <c r="S4" s="15">
        <f>COUNTA(A:A)-1</f>
        <v>72</v>
      </c>
      <c r="T4" s="15">
        <f>COUNTA(O:O)-1</f>
        <v>63</v>
      </c>
      <c r="U4" s="16">
        <f>T4/S4</f>
        <v>0.875</v>
      </c>
    </row>
    <row r="5" spans="1:21" ht="15" customHeight="1" x14ac:dyDescent="0.3">
      <c r="A5" s="65">
        <v>3234</v>
      </c>
      <c r="B5" s="57">
        <v>45839</v>
      </c>
      <c r="C5" s="8"/>
      <c r="D5" s="61">
        <v>3</v>
      </c>
      <c r="E5" s="61">
        <v>91</v>
      </c>
      <c r="F5" s="61">
        <v>91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>
        <v>45839</v>
      </c>
      <c r="P5" s="63"/>
    </row>
    <row r="6" spans="1:21" ht="15" customHeight="1" x14ac:dyDescent="0.3">
      <c r="A6" s="65">
        <v>3235</v>
      </c>
      <c r="B6" s="57">
        <v>45875</v>
      </c>
      <c r="C6" s="8"/>
      <c r="D6" s="61">
        <v>1</v>
      </c>
      <c r="E6" s="61">
        <v>5</v>
      </c>
      <c r="F6" s="61">
        <v>5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45875</v>
      </c>
      <c r="P6" s="63">
        <v>3235</v>
      </c>
    </row>
    <row r="7" spans="1:21" ht="15" customHeight="1" x14ac:dyDescent="0.3">
      <c r="A7" s="65">
        <v>3236</v>
      </c>
      <c r="B7" s="57">
        <v>45837</v>
      </c>
      <c r="C7" s="8"/>
      <c r="D7" s="61">
        <v>3</v>
      </c>
      <c r="E7" s="61">
        <v>80</v>
      </c>
      <c r="F7" s="61">
        <v>80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45837</v>
      </c>
      <c r="P7" s="63">
        <v>3236</v>
      </c>
    </row>
    <row r="8" spans="1:21" ht="15" customHeight="1" x14ac:dyDescent="0.3">
      <c r="A8" s="65">
        <v>3237</v>
      </c>
      <c r="B8" s="57">
        <v>45803</v>
      </c>
      <c r="C8" s="8"/>
      <c r="D8" s="61">
        <v>3</v>
      </c>
      <c r="E8" s="61">
        <v>52</v>
      </c>
      <c r="F8" s="61">
        <v>52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45803</v>
      </c>
      <c r="P8" s="63">
        <v>3237</v>
      </c>
    </row>
    <row r="9" spans="1:21" ht="15" customHeight="1" x14ac:dyDescent="0.3">
      <c r="A9" s="65">
        <v>3238</v>
      </c>
      <c r="B9" s="57">
        <v>45825</v>
      </c>
      <c r="C9" s="8"/>
      <c r="D9" s="61">
        <v>1</v>
      </c>
      <c r="E9" s="61">
        <v>15</v>
      </c>
      <c r="F9" s="61">
        <v>15</v>
      </c>
      <c r="G9" s="61">
        <v>0</v>
      </c>
      <c r="H9" s="61">
        <v>3</v>
      </c>
      <c r="I9" s="57">
        <v>45833</v>
      </c>
      <c r="J9" s="61">
        <v>51</v>
      </c>
      <c r="K9" s="57"/>
      <c r="L9" s="61"/>
      <c r="M9" s="22" t="s">
        <v>24</v>
      </c>
      <c r="N9" s="25" t="s">
        <v>14</v>
      </c>
      <c r="O9" s="53">
        <v>45833</v>
      </c>
      <c r="P9" s="63">
        <v>3238</v>
      </c>
    </row>
    <row r="10" spans="1:21" ht="15" customHeight="1" x14ac:dyDescent="0.3">
      <c r="A10" s="65">
        <v>3239</v>
      </c>
      <c r="B10" s="57">
        <v>45903</v>
      </c>
      <c r="C10" s="8"/>
      <c r="D10" s="61">
        <v>1</v>
      </c>
      <c r="E10" s="61">
        <v>18</v>
      </c>
      <c r="F10" s="61">
        <v>18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45903</v>
      </c>
      <c r="P10" s="63">
        <v>3239</v>
      </c>
    </row>
    <row r="11" spans="1:21" ht="15" customHeight="1" x14ac:dyDescent="0.3">
      <c r="A11" s="65">
        <v>3240</v>
      </c>
      <c r="B11" s="57">
        <v>45832</v>
      </c>
      <c r="C11" s="8"/>
      <c r="D11" s="61">
        <v>1</v>
      </c>
      <c r="E11" s="61">
        <v>28</v>
      </c>
      <c r="F11" s="61">
        <v>28</v>
      </c>
      <c r="G11" s="61">
        <v>0</v>
      </c>
      <c r="H11" s="61">
        <v>3</v>
      </c>
      <c r="I11" s="57">
        <v>45851</v>
      </c>
      <c r="J11" s="61">
        <v>95</v>
      </c>
      <c r="K11" s="57"/>
      <c r="L11" s="61"/>
      <c r="M11" s="22" t="s">
        <v>24</v>
      </c>
      <c r="N11" s="25" t="s">
        <v>14</v>
      </c>
      <c r="O11" s="53">
        <v>45832</v>
      </c>
      <c r="P11" s="63">
        <v>3240</v>
      </c>
    </row>
    <row r="12" spans="1:21" ht="15" customHeight="1" x14ac:dyDescent="0.3">
      <c r="A12" s="65">
        <v>3241</v>
      </c>
      <c r="B12" s="57">
        <v>45805</v>
      </c>
      <c r="C12" s="8"/>
      <c r="D12" s="61">
        <v>1</v>
      </c>
      <c r="E12" s="61">
        <v>30</v>
      </c>
      <c r="F12" s="61">
        <v>30</v>
      </c>
      <c r="G12" s="61">
        <v>0</v>
      </c>
      <c r="H12" s="61">
        <v>0</v>
      </c>
      <c r="I12" s="57">
        <v>45831</v>
      </c>
      <c r="J12" s="61">
        <v>12</v>
      </c>
      <c r="K12" s="57">
        <v>45834</v>
      </c>
      <c r="L12" s="61">
        <v>5</v>
      </c>
      <c r="M12" s="22" t="s">
        <v>24</v>
      </c>
      <c r="N12" s="25" t="s">
        <v>14</v>
      </c>
      <c r="O12" s="53">
        <v>45834</v>
      </c>
      <c r="P12" s="63">
        <v>3341</v>
      </c>
    </row>
    <row r="13" spans="1:21" ht="15" customHeight="1" x14ac:dyDescent="0.3">
      <c r="A13" s="65">
        <v>3242</v>
      </c>
      <c r="B13" s="57">
        <v>45811</v>
      </c>
      <c r="C13" s="8"/>
      <c r="D13" s="61">
        <v>4</v>
      </c>
      <c r="E13" s="61">
        <v>190</v>
      </c>
      <c r="F13" s="61">
        <v>190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45811</v>
      </c>
      <c r="P13" s="63">
        <v>3224</v>
      </c>
    </row>
    <row r="14" spans="1:21" ht="15" customHeight="1" x14ac:dyDescent="0.3">
      <c r="A14" s="65">
        <v>3243</v>
      </c>
      <c r="B14" s="57">
        <v>45824</v>
      </c>
      <c r="C14" s="8"/>
      <c r="D14" s="61">
        <v>3</v>
      </c>
      <c r="E14" s="61">
        <v>117</v>
      </c>
      <c r="F14" s="61">
        <v>117</v>
      </c>
      <c r="G14" s="61">
        <v>0</v>
      </c>
      <c r="H14" s="61">
        <v>1</v>
      </c>
      <c r="I14" s="57">
        <v>45846</v>
      </c>
      <c r="J14" s="61">
        <v>2</v>
      </c>
      <c r="K14" s="57"/>
      <c r="L14" s="61"/>
      <c r="M14" s="22" t="s">
        <v>24</v>
      </c>
      <c r="N14" s="25" t="s">
        <v>14</v>
      </c>
      <c r="O14" s="53">
        <v>45824</v>
      </c>
      <c r="P14" s="63"/>
    </row>
    <row r="15" spans="1:21" ht="15" customHeight="1" x14ac:dyDescent="0.3">
      <c r="A15" s="65">
        <v>3244</v>
      </c>
      <c r="B15" s="57">
        <v>45809</v>
      </c>
      <c r="C15" s="8"/>
      <c r="D15" s="61">
        <v>3</v>
      </c>
      <c r="E15" s="61">
        <v>46</v>
      </c>
      <c r="F15" s="61">
        <v>46</v>
      </c>
      <c r="G15" s="61">
        <v>0</v>
      </c>
      <c r="H15" s="61">
        <v>0</v>
      </c>
      <c r="I15" s="57">
        <v>45838</v>
      </c>
      <c r="J15" s="61">
        <v>57</v>
      </c>
      <c r="K15" s="57"/>
      <c r="L15" s="61"/>
      <c r="M15" s="22" t="s">
        <v>24</v>
      </c>
      <c r="N15" s="25" t="s">
        <v>14</v>
      </c>
      <c r="O15" s="53">
        <v>45809</v>
      </c>
      <c r="P15" s="63">
        <v>3244</v>
      </c>
    </row>
    <row r="16" spans="1:21" ht="15" customHeight="1" x14ac:dyDescent="0.3">
      <c r="A16" s="67">
        <v>3245</v>
      </c>
      <c r="B16" s="57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7">
        <v>45833</v>
      </c>
      <c r="C17" s="8"/>
      <c r="D17" s="61">
        <v>3</v>
      </c>
      <c r="E17" s="61">
        <v>100</v>
      </c>
      <c r="F17" s="61">
        <v>100</v>
      </c>
      <c r="G17" s="61">
        <v>0</v>
      </c>
      <c r="H17" s="61">
        <v>1</v>
      </c>
      <c r="I17" s="57">
        <v>45840</v>
      </c>
      <c r="J17" s="61">
        <v>24</v>
      </c>
      <c r="K17" s="57"/>
      <c r="L17" s="61"/>
      <c r="M17" s="22" t="s">
        <v>24</v>
      </c>
      <c r="N17" s="25" t="s">
        <v>14</v>
      </c>
      <c r="O17" s="53">
        <v>45833</v>
      </c>
      <c r="P17" s="63">
        <v>3246</v>
      </c>
    </row>
    <row r="18" spans="1:16" ht="15" customHeight="1" x14ac:dyDescent="0.3">
      <c r="A18" s="67">
        <v>3247</v>
      </c>
      <c r="B18" s="57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7">
        <v>45855</v>
      </c>
      <c r="C19" s="8"/>
      <c r="D19" s="61">
        <v>1</v>
      </c>
      <c r="E19" s="61">
        <v>6</v>
      </c>
      <c r="F19" s="61">
        <v>6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45855</v>
      </c>
      <c r="P19" s="63">
        <v>3248</v>
      </c>
    </row>
    <row r="20" spans="1:16" ht="15" customHeight="1" x14ac:dyDescent="0.3">
      <c r="A20" s="65">
        <v>3250</v>
      </c>
      <c r="B20" s="57">
        <v>45828</v>
      </c>
      <c r="C20" s="8"/>
      <c r="D20" s="61">
        <v>2</v>
      </c>
      <c r="E20" s="61">
        <v>259</v>
      </c>
      <c r="F20" s="61">
        <v>259</v>
      </c>
      <c r="G20" s="61">
        <v>0</v>
      </c>
      <c r="H20" s="61">
        <v>0</v>
      </c>
      <c r="I20" s="57"/>
      <c r="J20" s="61"/>
      <c r="K20" s="57"/>
      <c r="L20" s="61"/>
      <c r="M20" s="22" t="s">
        <v>24</v>
      </c>
      <c r="N20" s="25" t="s">
        <v>14</v>
      </c>
      <c r="O20" s="53">
        <v>45828</v>
      </c>
      <c r="P20" s="63"/>
    </row>
    <row r="21" spans="1:16" ht="15" customHeight="1" x14ac:dyDescent="0.3">
      <c r="A21" s="65">
        <v>3251</v>
      </c>
      <c r="B21" s="57">
        <v>45819</v>
      </c>
      <c r="C21" s="8"/>
      <c r="D21" s="61">
        <v>1</v>
      </c>
      <c r="E21" s="61">
        <v>18</v>
      </c>
      <c r="F21" s="61">
        <v>18</v>
      </c>
      <c r="G21" s="61">
        <v>0</v>
      </c>
      <c r="H21" s="61">
        <v>0</v>
      </c>
      <c r="I21" s="57">
        <v>45831</v>
      </c>
      <c r="J21" s="61">
        <v>92</v>
      </c>
      <c r="K21" s="57"/>
      <c r="L21" s="61"/>
      <c r="M21" s="22" t="s">
        <v>24</v>
      </c>
      <c r="N21" s="25" t="s">
        <v>14</v>
      </c>
      <c r="O21" s="53">
        <v>45831</v>
      </c>
      <c r="P21" s="63">
        <v>3251</v>
      </c>
    </row>
    <row r="22" spans="1:16" ht="15" customHeight="1" x14ac:dyDescent="0.3">
      <c r="A22" s="68">
        <v>3252</v>
      </c>
      <c r="B22" s="57">
        <v>45874</v>
      </c>
      <c r="C22" s="8"/>
      <c r="D22" s="61">
        <v>2</v>
      </c>
      <c r="E22" s="61">
        <v>13</v>
      </c>
      <c r="F22" s="61">
        <v>13</v>
      </c>
      <c r="G22" s="61">
        <v>0</v>
      </c>
      <c r="H22" s="61">
        <v>0</v>
      </c>
      <c r="I22" s="57"/>
      <c r="J22" s="61"/>
      <c r="K22" s="57"/>
      <c r="L22" s="61"/>
      <c r="M22" s="22" t="s">
        <v>24</v>
      </c>
      <c r="N22" s="25" t="s">
        <v>14</v>
      </c>
      <c r="O22" s="53">
        <v>45874</v>
      </c>
      <c r="P22" s="63">
        <v>3252</v>
      </c>
    </row>
    <row r="23" spans="1:16" ht="15" customHeight="1" x14ac:dyDescent="0.3">
      <c r="A23" s="66">
        <v>3253</v>
      </c>
      <c r="B23" s="57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7">
        <v>45866</v>
      </c>
      <c r="C24" s="8"/>
      <c r="D24" s="61">
        <v>1</v>
      </c>
      <c r="E24" s="61">
        <v>20</v>
      </c>
      <c r="F24" s="61">
        <v>20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14</v>
      </c>
      <c r="O24" s="53">
        <v>45866</v>
      </c>
      <c r="P24" s="63">
        <v>3254</v>
      </c>
    </row>
    <row r="25" spans="1:16" ht="15" customHeight="1" x14ac:dyDescent="0.3">
      <c r="A25" s="65">
        <v>3255</v>
      </c>
      <c r="B25" s="57">
        <v>45824</v>
      </c>
      <c r="C25" s="8"/>
      <c r="D25" s="61">
        <v>3</v>
      </c>
      <c r="E25" s="61">
        <v>86</v>
      </c>
      <c r="F25" s="61">
        <v>86</v>
      </c>
      <c r="G25" s="61">
        <v>0</v>
      </c>
      <c r="H25" s="61">
        <v>0</v>
      </c>
      <c r="I25" s="57"/>
      <c r="J25" s="61"/>
      <c r="K25" s="57"/>
      <c r="L25" s="61"/>
      <c r="M25" s="22" t="s">
        <v>24</v>
      </c>
      <c r="N25" s="25" t="s">
        <v>14</v>
      </c>
      <c r="O25" s="53">
        <v>45824</v>
      </c>
      <c r="P25" s="63">
        <v>3255</v>
      </c>
    </row>
    <row r="26" spans="1:16" ht="15" customHeight="1" x14ac:dyDescent="0.3">
      <c r="A26" s="65">
        <v>3256</v>
      </c>
      <c r="B26" s="57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7">
        <v>45823</v>
      </c>
      <c r="C27" s="8"/>
      <c r="D27" s="61">
        <v>4</v>
      </c>
      <c r="E27" s="61">
        <v>37</v>
      </c>
      <c r="F27" s="61">
        <v>37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45823</v>
      </c>
      <c r="P27" s="63"/>
    </row>
    <row r="28" spans="1:16" ht="15" customHeight="1" x14ac:dyDescent="0.3">
      <c r="A28" s="65">
        <v>3259</v>
      </c>
      <c r="B28" s="57">
        <v>45831</v>
      </c>
      <c r="C28" s="8"/>
      <c r="D28" s="61">
        <v>2</v>
      </c>
      <c r="E28" s="61">
        <v>30</v>
      </c>
      <c r="F28" s="61">
        <v>30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45831</v>
      </c>
      <c r="P28" s="63"/>
    </row>
    <row r="29" spans="1:16" ht="15" customHeight="1" x14ac:dyDescent="0.3">
      <c r="A29" s="65">
        <v>3260</v>
      </c>
      <c r="B29" s="57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7">
        <v>45834</v>
      </c>
      <c r="C30" s="8"/>
      <c r="D30" s="61">
        <v>1</v>
      </c>
      <c r="E30" s="61">
        <v>34</v>
      </c>
      <c r="F30" s="61">
        <v>34</v>
      </c>
      <c r="G30" s="61">
        <v>0</v>
      </c>
      <c r="H30" s="61">
        <v>3</v>
      </c>
      <c r="I30" s="57">
        <v>45840</v>
      </c>
      <c r="J30" s="61">
        <v>174</v>
      </c>
      <c r="K30" s="57"/>
      <c r="L30" s="61"/>
      <c r="M30" s="22" t="s">
        <v>24</v>
      </c>
      <c r="N30" s="25" t="s">
        <v>14</v>
      </c>
      <c r="O30" s="53">
        <v>45840</v>
      </c>
      <c r="P30" s="63">
        <v>3261</v>
      </c>
    </row>
    <row r="31" spans="1:16" ht="15" customHeight="1" x14ac:dyDescent="0.3">
      <c r="A31" s="65">
        <v>3262</v>
      </c>
      <c r="B31" s="57">
        <v>45819</v>
      </c>
      <c r="C31" s="8"/>
      <c r="D31" s="61">
        <v>4</v>
      </c>
      <c r="E31" s="61">
        <v>86</v>
      </c>
      <c r="F31" s="61">
        <v>33</v>
      </c>
      <c r="G31" s="61">
        <v>53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45819</v>
      </c>
      <c r="P31" s="63">
        <v>3262</v>
      </c>
    </row>
    <row r="32" spans="1:16" ht="15" customHeight="1" x14ac:dyDescent="0.3">
      <c r="A32" s="65">
        <v>3263</v>
      </c>
      <c r="B32" s="57">
        <v>45833</v>
      </c>
      <c r="C32" s="8"/>
      <c r="D32" s="61">
        <v>3</v>
      </c>
      <c r="E32" s="61">
        <v>196</v>
      </c>
      <c r="F32" s="61">
        <v>196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45833</v>
      </c>
      <c r="P32" s="63">
        <v>3263</v>
      </c>
    </row>
    <row r="33" spans="1:16" ht="15" customHeight="1" x14ac:dyDescent="0.3">
      <c r="A33" s="65">
        <v>3264</v>
      </c>
      <c r="B33" s="57">
        <v>45826</v>
      </c>
      <c r="C33" s="8"/>
      <c r="D33" s="61">
        <v>4</v>
      </c>
      <c r="E33" s="61">
        <v>121</v>
      </c>
      <c r="F33" s="61">
        <v>121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45826</v>
      </c>
      <c r="P33" s="63"/>
    </row>
    <row r="34" spans="1:16" ht="15" customHeight="1" x14ac:dyDescent="0.3">
      <c r="A34" s="65">
        <v>3265</v>
      </c>
      <c r="B34" s="57">
        <v>45834</v>
      </c>
      <c r="C34" s="8"/>
      <c r="D34" s="61">
        <v>4</v>
      </c>
      <c r="E34" s="61">
        <v>100</v>
      </c>
      <c r="F34" s="61">
        <v>100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45773</v>
      </c>
      <c r="P34" s="63"/>
    </row>
    <row r="35" spans="1:16" ht="15" customHeight="1" x14ac:dyDescent="0.3">
      <c r="A35" s="65">
        <v>3266</v>
      </c>
      <c r="B35" s="57">
        <v>45813</v>
      </c>
      <c r="C35" s="8"/>
      <c r="D35" s="61">
        <v>4</v>
      </c>
      <c r="E35" s="61">
        <v>92</v>
      </c>
      <c r="F35" s="61">
        <v>92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45813</v>
      </c>
      <c r="P35" s="63"/>
    </row>
    <row r="36" spans="1:16" ht="15" customHeight="1" x14ac:dyDescent="0.3">
      <c r="A36" s="67">
        <v>3267</v>
      </c>
      <c r="B36" s="57">
        <v>45945</v>
      </c>
      <c r="C36" s="8"/>
      <c r="D36" s="61">
        <v>1</v>
      </c>
      <c r="E36" s="61">
        <v>7</v>
      </c>
      <c r="F36" s="61">
        <v>7</v>
      </c>
      <c r="G36" s="61">
        <v>0</v>
      </c>
      <c r="H36" s="61">
        <v>0</v>
      </c>
      <c r="I36" s="57"/>
      <c r="J36" s="61"/>
      <c r="K36" s="57"/>
      <c r="L36" s="61"/>
      <c r="M36" s="22" t="s">
        <v>24</v>
      </c>
      <c r="N36" s="25" t="s">
        <v>14</v>
      </c>
      <c r="O36" s="53">
        <v>45945</v>
      </c>
      <c r="P36" s="63">
        <v>3267</v>
      </c>
    </row>
    <row r="37" spans="1:16" ht="15" customHeight="1" x14ac:dyDescent="0.3">
      <c r="A37" s="65">
        <v>3299</v>
      </c>
      <c r="B37" s="57">
        <v>45820</v>
      </c>
      <c r="C37" s="8"/>
      <c r="D37" s="61">
        <v>2</v>
      </c>
      <c r="E37" s="61">
        <v>50</v>
      </c>
      <c r="F37" s="61">
        <v>50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45820</v>
      </c>
      <c r="P37" s="63"/>
    </row>
    <row r="38" spans="1:16" ht="15" customHeight="1" x14ac:dyDescent="0.3">
      <c r="A38" s="65">
        <v>3531</v>
      </c>
      <c r="B38" s="57">
        <v>45832</v>
      </c>
      <c r="C38" s="8"/>
      <c r="D38" s="61">
        <v>1</v>
      </c>
      <c r="E38" s="61">
        <v>86</v>
      </c>
      <c r="F38" s="61">
        <v>86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45832</v>
      </c>
      <c r="P38" s="63">
        <v>3531</v>
      </c>
    </row>
    <row r="39" spans="1:16" ht="15" customHeight="1" x14ac:dyDescent="0.3">
      <c r="A39" s="67">
        <v>3532</v>
      </c>
      <c r="B39" s="57"/>
      <c r="C39" s="8"/>
      <c r="D39" s="61">
        <v>3</v>
      </c>
      <c r="E39" s="61">
        <v>0</v>
      </c>
      <c r="F39" s="61">
        <v>0</v>
      </c>
      <c r="G39" s="61">
        <v>0</v>
      </c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7"/>
      <c r="C40" s="8"/>
      <c r="D40" s="61">
        <v>3</v>
      </c>
      <c r="E40" s="61">
        <v>0</v>
      </c>
      <c r="F40" s="61">
        <v>0</v>
      </c>
      <c r="G40" s="61">
        <v>0</v>
      </c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7">
        <v>3534</v>
      </c>
      <c r="B41" s="57"/>
      <c r="C41" s="8"/>
      <c r="D41" s="61">
        <v>3</v>
      </c>
      <c r="E41" s="61">
        <v>0</v>
      </c>
      <c r="F41" s="61">
        <v>0</v>
      </c>
      <c r="G41" s="61">
        <v>0</v>
      </c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7">
        <v>45839</v>
      </c>
      <c r="C42" s="8"/>
      <c r="D42" s="61">
        <v>1</v>
      </c>
      <c r="E42" s="61">
        <v>45</v>
      </c>
      <c r="F42" s="61">
        <v>45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14</v>
      </c>
      <c r="O42" s="53">
        <v>45839</v>
      </c>
      <c r="P42" s="63">
        <v>3535</v>
      </c>
    </row>
    <row r="43" spans="1:16" ht="15" customHeight="1" x14ac:dyDescent="0.3">
      <c r="A43" s="65">
        <v>3536</v>
      </c>
      <c r="B43" s="57">
        <v>45831</v>
      </c>
      <c r="C43" s="8"/>
      <c r="D43" s="61">
        <v>1</v>
      </c>
      <c r="E43" s="61">
        <v>3</v>
      </c>
      <c r="F43" s="61">
        <v>3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45831</v>
      </c>
      <c r="P43" s="63">
        <v>3536</v>
      </c>
    </row>
    <row r="44" spans="1:16" ht="15" customHeight="1" x14ac:dyDescent="0.3">
      <c r="A44" s="65">
        <v>3537</v>
      </c>
      <c r="B44" s="57">
        <v>45844</v>
      </c>
      <c r="C44" s="8"/>
      <c r="D44" s="61">
        <v>3</v>
      </c>
      <c r="E44" s="61">
        <v>59</v>
      </c>
      <c r="F44" s="61">
        <v>59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45844</v>
      </c>
      <c r="P44" s="63">
        <v>3537</v>
      </c>
    </row>
    <row r="45" spans="1:16" ht="15" customHeight="1" x14ac:dyDescent="0.3">
      <c r="A45" s="65">
        <v>3538</v>
      </c>
      <c r="B45" s="57">
        <v>45840</v>
      </c>
      <c r="C45" s="8"/>
      <c r="D45" s="61">
        <v>2</v>
      </c>
      <c r="E45" s="61">
        <v>195</v>
      </c>
      <c r="F45" s="61">
        <v>147</v>
      </c>
      <c r="G45" s="61">
        <v>48</v>
      </c>
      <c r="H45" s="61">
        <v>1</v>
      </c>
      <c r="I45" s="57">
        <v>45847</v>
      </c>
      <c r="J45" s="61">
        <v>48</v>
      </c>
      <c r="K45" s="57"/>
      <c r="L45" s="61"/>
      <c r="M45" s="22" t="s">
        <v>24</v>
      </c>
      <c r="N45" s="25" t="s">
        <v>14</v>
      </c>
      <c r="O45" s="53">
        <v>45840</v>
      </c>
      <c r="P45" s="63"/>
    </row>
    <row r="46" spans="1:16" ht="15" customHeight="1" x14ac:dyDescent="0.3">
      <c r="A46" s="66">
        <v>3540</v>
      </c>
      <c r="B46" s="57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7">
        <v>45829</v>
      </c>
      <c r="C47" s="8"/>
      <c r="D47" s="61">
        <v>3</v>
      </c>
      <c r="E47" s="61">
        <v>271</v>
      </c>
      <c r="F47" s="61">
        <v>271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45829</v>
      </c>
      <c r="P47" s="63">
        <v>3541</v>
      </c>
    </row>
    <row r="48" spans="1:16" ht="15" customHeight="1" x14ac:dyDescent="0.3">
      <c r="A48" s="65">
        <v>3542</v>
      </c>
      <c r="B48" s="57">
        <v>45785</v>
      </c>
      <c r="C48" s="8"/>
      <c r="D48" s="61">
        <v>3</v>
      </c>
      <c r="E48" s="61">
        <v>120</v>
      </c>
      <c r="F48" s="61">
        <v>120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45785</v>
      </c>
      <c r="P48" s="63">
        <v>3542</v>
      </c>
    </row>
    <row r="49" spans="1:16" ht="15" customHeight="1" x14ac:dyDescent="0.3">
      <c r="A49" s="65">
        <v>3543</v>
      </c>
      <c r="B49" s="57">
        <v>45824</v>
      </c>
      <c r="C49" s="8"/>
      <c r="D49" s="61">
        <v>3</v>
      </c>
      <c r="E49" s="61">
        <v>117</v>
      </c>
      <c r="F49" s="61">
        <v>177</v>
      </c>
      <c r="G49" s="61">
        <v>0</v>
      </c>
      <c r="H49" s="61">
        <v>0</v>
      </c>
      <c r="I49" s="57"/>
      <c r="J49" s="61"/>
      <c r="K49" s="57"/>
      <c r="L49" s="61"/>
      <c r="M49" s="22" t="s">
        <v>24</v>
      </c>
      <c r="N49" s="25" t="s">
        <v>14</v>
      </c>
      <c r="O49" s="53">
        <v>45824</v>
      </c>
      <c r="P49" s="63"/>
    </row>
    <row r="50" spans="1:16" ht="15" customHeight="1" x14ac:dyDescent="0.3">
      <c r="A50" s="67">
        <v>3544</v>
      </c>
      <c r="B50" s="57">
        <v>45817</v>
      </c>
      <c r="C50" s="8" t="s">
        <v>28</v>
      </c>
      <c r="D50" s="61">
        <v>2</v>
      </c>
      <c r="E50" s="61">
        <v>142</v>
      </c>
      <c r="F50" s="61">
        <v>130</v>
      </c>
      <c r="G50" s="61">
        <v>12</v>
      </c>
      <c r="H50" s="61">
        <v>0</v>
      </c>
      <c r="I50" s="57"/>
      <c r="J50" s="61"/>
      <c r="K50" s="57"/>
      <c r="L50" s="61"/>
      <c r="M50" s="22" t="s">
        <v>24</v>
      </c>
      <c r="N50" s="25" t="s">
        <v>14</v>
      </c>
      <c r="O50" s="53">
        <v>45817</v>
      </c>
      <c r="P50" s="63">
        <v>3544</v>
      </c>
    </row>
    <row r="51" spans="1:16" ht="15" customHeight="1" x14ac:dyDescent="0.3">
      <c r="A51" s="65">
        <v>3545</v>
      </c>
      <c r="B51" s="57">
        <v>45823</v>
      </c>
      <c r="C51" s="8"/>
      <c r="D51" s="61">
        <v>3</v>
      </c>
      <c r="E51" s="61">
        <v>108</v>
      </c>
      <c r="F51" s="61">
        <v>108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45823</v>
      </c>
      <c r="P51" s="63">
        <v>3545</v>
      </c>
    </row>
    <row r="52" spans="1:16" ht="15" customHeight="1" x14ac:dyDescent="0.3">
      <c r="A52" s="65">
        <v>3546</v>
      </c>
      <c r="B52" s="57">
        <v>45860</v>
      </c>
      <c r="C52" s="8"/>
      <c r="D52" s="61">
        <v>2</v>
      </c>
      <c r="E52" s="61">
        <v>56</v>
      </c>
      <c r="F52" s="61">
        <v>56</v>
      </c>
      <c r="G52" s="61">
        <v>0</v>
      </c>
      <c r="H52" s="61">
        <v>0</v>
      </c>
      <c r="I52" s="57"/>
      <c r="J52" s="61"/>
      <c r="K52" s="57"/>
      <c r="L52" s="61"/>
      <c r="M52" s="22" t="s">
        <v>24</v>
      </c>
      <c r="N52" s="25" t="s">
        <v>14</v>
      </c>
      <c r="O52" s="53">
        <v>45860</v>
      </c>
      <c r="P52" s="63">
        <v>3546</v>
      </c>
    </row>
    <row r="53" spans="1:16" ht="15" customHeight="1" x14ac:dyDescent="0.3">
      <c r="A53" s="65">
        <v>3547</v>
      </c>
      <c r="B53" s="57">
        <v>45830</v>
      </c>
      <c r="C53" s="8"/>
      <c r="D53" s="61">
        <v>3</v>
      </c>
      <c r="E53" s="61">
        <v>99</v>
      </c>
      <c r="F53" s="61">
        <v>99</v>
      </c>
      <c r="G53" s="61">
        <v>20</v>
      </c>
      <c r="H53" s="61">
        <v>1</v>
      </c>
      <c r="I53" s="57">
        <v>45838</v>
      </c>
      <c r="J53" s="61">
        <v>44</v>
      </c>
      <c r="K53" s="57"/>
      <c r="L53" s="61"/>
      <c r="M53" s="22" t="s">
        <v>24</v>
      </c>
      <c r="N53" s="25" t="s">
        <v>14</v>
      </c>
      <c r="O53" s="53">
        <v>45838</v>
      </c>
      <c r="P53" s="63">
        <v>3547</v>
      </c>
    </row>
    <row r="54" spans="1:16" ht="15" customHeight="1" x14ac:dyDescent="0.3">
      <c r="A54" s="65">
        <v>3548</v>
      </c>
      <c r="B54" s="57">
        <v>45833</v>
      </c>
      <c r="C54" s="8"/>
      <c r="D54" s="61">
        <v>3</v>
      </c>
      <c r="E54" s="61">
        <v>126</v>
      </c>
      <c r="F54" s="61">
        <v>126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45833</v>
      </c>
      <c r="P54" s="63">
        <v>3548</v>
      </c>
    </row>
    <row r="55" spans="1:16" ht="15" customHeight="1" x14ac:dyDescent="0.3">
      <c r="A55" s="65">
        <v>3549</v>
      </c>
      <c r="B55" s="57">
        <v>45818</v>
      </c>
      <c r="C55" s="8"/>
      <c r="D55" s="61">
        <v>2</v>
      </c>
      <c r="E55" s="61">
        <v>285</v>
      </c>
      <c r="F55" s="61">
        <v>277</v>
      </c>
      <c r="G55" s="61">
        <v>8</v>
      </c>
      <c r="H55" s="61">
        <v>1</v>
      </c>
      <c r="I55" s="57">
        <v>45858</v>
      </c>
      <c r="J55" s="61">
        <v>12</v>
      </c>
      <c r="K55" s="57"/>
      <c r="L55" s="61"/>
      <c r="M55" s="22" t="s">
        <v>24</v>
      </c>
      <c r="N55" s="25" t="s">
        <v>14</v>
      </c>
      <c r="O55" s="53">
        <v>45858</v>
      </c>
      <c r="P55" s="63">
        <v>3549</v>
      </c>
    </row>
    <row r="56" spans="1:16" ht="15" customHeight="1" x14ac:dyDescent="0.3">
      <c r="A56" s="65">
        <v>3550</v>
      </c>
      <c r="B56" s="57">
        <v>45842</v>
      </c>
      <c r="C56" s="8"/>
      <c r="D56" s="61">
        <v>1</v>
      </c>
      <c r="E56" s="61">
        <v>8</v>
      </c>
      <c r="F56" s="61">
        <v>8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14</v>
      </c>
      <c r="O56" s="53">
        <v>45842</v>
      </c>
      <c r="P56" s="63"/>
    </row>
    <row r="57" spans="1:16" ht="15" customHeight="1" x14ac:dyDescent="0.3">
      <c r="A57" s="70">
        <v>3551</v>
      </c>
      <c r="B57" s="57">
        <v>45831</v>
      </c>
      <c r="C57" s="8"/>
      <c r="D57" s="61">
        <v>3</v>
      </c>
      <c r="E57" s="61">
        <v>92</v>
      </c>
      <c r="F57" s="61">
        <v>47</v>
      </c>
      <c r="G57" s="61">
        <v>25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45831</v>
      </c>
      <c r="P57" s="63">
        <v>3551</v>
      </c>
    </row>
    <row r="58" spans="1:16" ht="15" customHeight="1" x14ac:dyDescent="0.3">
      <c r="A58" s="65">
        <v>3552</v>
      </c>
      <c r="B58" s="57">
        <v>45856</v>
      </c>
      <c r="C58" s="8"/>
      <c r="D58" s="61">
        <v>1</v>
      </c>
      <c r="E58" s="61">
        <v>49</v>
      </c>
      <c r="F58" s="61">
        <v>49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45856</v>
      </c>
      <c r="P58" s="63">
        <v>3552</v>
      </c>
    </row>
    <row r="59" spans="1:16" ht="15" customHeight="1" x14ac:dyDescent="0.3">
      <c r="A59" s="65">
        <v>3553</v>
      </c>
      <c r="B59" s="57">
        <v>45835</v>
      </c>
      <c r="C59" s="8"/>
      <c r="D59" s="61">
        <v>1</v>
      </c>
      <c r="E59" s="61">
        <v>104</v>
      </c>
      <c r="F59" s="61">
        <v>104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45835</v>
      </c>
      <c r="P59" s="63">
        <v>3553</v>
      </c>
    </row>
    <row r="60" spans="1:16" ht="15" customHeight="1" x14ac:dyDescent="0.3">
      <c r="A60" s="67">
        <v>3554</v>
      </c>
      <c r="B60" s="57">
        <v>45810</v>
      </c>
      <c r="C60" s="8" t="s">
        <v>28</v>
      </c>
      <c r="D60" s="61">
        <v>3</v>
      </c>
      <c r="E60" s="61">
        <v>108</v>
      </c>
      <c r="F60" s="61">
        <v>108</v>
      </c>
      <c r="G60" s="61">
        <v>0</v>
      </c>
      <c r="H60" s="61">
        <v>0</v>
      </c>
      <c r="I60" s="57"/>
      <c r="J60" s="61"/>
      <c r="K60" s="57"/>
      <c r="L60" s="61"/>
      <c r="M60" s="22" t="s">
        <v>24</v>
      </c>
      <c r="N60" s="25" t="s">
        <v>14</v>
      </c>
      <c r="O60" s="53">
        <v>45810</v>
      </c>
      <c r="P60" s="63">
        <v>3554</v>
      </c>
    </row>
    <row r="61" spans="1:16" ht="15" customHeight="1" x14ac:dyDescent="0.3">
      <c r="A61" s="65">
        <v>3555</v>
      </c>
      <c r="B61" s="57">
        <v>45832</v>
      </c>
      <c r="C61" s="8"/>
      <c r="D61" s="61">
        <v>2</v>
      </c>
      <c r="E61" s="61">
        <v>16</v>
      </c>
      <c r="F61" s="61">
        <v>16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45832</v>
      </c>
      <c r="P61" s="63">
        <v>3555</v>
      </c>
    </row>
    <row r="62" spans="1:16" ht="15" customHeight="1" x14ac:dyDescent="0.3">
      <c r="A62" s="65">
        <v>3556</v>
      </c>
      <c r="B62" s="57">
        <v>45848</v>
      </c>
      <c r="C62" s="8"/>
      <c r="D62" s="61">
        <v>1</v>
      </c>
      <c r="E62" s="61">
        <v>81</v>
      </c>
      <c r="F62" s="61">
        <v>81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14</v>
      </c>
      <c r="O62" s="53">
        <v>45848</v>
      </c>
      <c r="P62" s="63"/>
    </row>
    <row r="63" spans="1:16" ht="15" customHeight="1" x14ac:dyDescent="0.3">
      <c r="A63" s="65">
        <v>3557</v>
      </c>
      <c r="B63" s="57">
        <v>45819</v>
      </c>
      <c r="C63" s="8"/>
      <c r="D63" s="61">
        <v>3</v>
      </c>
      <c r="E63" s="61">
        <v>362</v>
      </c>
      <c r="F63" s="61">
        <v>362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45819</v>
      </c>
      <c r="P63" s="63">
        <v>3557</v>
      </c>
    </row>
    <row r="64" spans="1:16" ht="15" customHeight="1" x14ac:dyDescent="0.3">
      <c r="A64" s="65">
        <v>3558</v>
      </c>
      <c r="B64" s="57">
        <v>45831</v>
      </c>
      <c r="C64" s="8"/>
      <c r="D64" s="61">
        <v>1</v>
      </c>
      <c r="E64" s="61">
        <v>114</v>
      </c>
      <c r="F64" s="61">
        <v>114</v>
      </c>
      <c r="G64" s="61">
        <v>0</v>
      </c>
      <c r="H64" s="61">
        <v>2</v>
      </c>
      <c r="I64" s="57">
        <v>45840</v>
      </c>
      <c r="J64" s="61">
        <v>68</v>
      </c>
      <c r="K64" s="57"/>
      <c r="L64" s="61"/>
      <c r="M64" s="22" t="s">
        <v>24</v>
      </c>
      <c r="N64" s="25" t="s">
        <v>14</v>
      </c>
      <c r="O64" s="53">
        <v>45831</v>
      </c>
      <c r="P64" s="63">
        <v>3558</v>
      </c>
    </row>
    <row r="65" spans="1:16" ht="15" customHeight="1" x14ac:dyDescent="0.3">
      <c r="A65" s="65">
        <v>3559</v>
      </c>
      <c r="B65" s="57">
        <v>45823</v>
      </c>
      <c r="C65" s="8"/>
      <c r="D65" s="61">
        <v>2</v>
      </c>
      <c r="E65" s="61">
        <v>67</v>
      </c>
      <c r="F65" s="61">
        <v>67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45823</v>
      </c>
      <c r="P65" s="63">
        <v>3559</v>
      </c>
    </row>
    <row r="66" spans="1:16" ht="15" customHeight="1" x14ac:dyDescent="0.3">
      <c r="A66" s="65">
        <v>3560</v>
      </c>
      <c r="B66" s="57">
        <v>45838</v>
      </c>
      <c r="C66" s="8"/>
      <c r="D66" s="61">
        <v>3</v>
      </c>
      <c r="E66" s="61">
        <v>277</v>
      </c>
      <c r="F66" s="61">
        <v>277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45838</v>
      </c>
      <c r="P66" s="63">
        <v>3560</v>
      </c>
    </row>
    <row r="67" spans="1:16" ht="15" customHeight="1" x14ac:dyDescent="0.3">
      <c r="A67" s="67">
        <v>3561</v>
      </c>
      <c r="B67" s="57">
        <v>45809</v>
      </c>
      <c r="C67" s="8" t="s">
        <v>28</v>
      </c>
      <c r="D67" s="61">
        <v>3</v>
      </c>
      <c r="E67" s="61">
        <v>57</v>
      </c>
      <c r="F67" s="61">
        <v>10</v>
      </c>
      <c r="G67" s="61">
        <v>47</v>
      </c>
      <c r="H67" s="61">
        <v>2</v>
      </c>
      <c r="I67" s="57">
        <v>45833</v>
      </c>
      <c r="J67" s="61">
        <v>47</v>
      </c>
      <c r="K67" s="57"/>
      <c r="L67" s="61"/>
      <c r="M67" s="22" t="s">
        <v>24</v>
      </c>
      <c r="N67" s="25" t="s">
        <v>14</v>
      </c>
      <c r="O67" s="53">
        <v>45833</v>
      </c>
      <c r="P67" s="63">
        <v>3561</v>
      </c>
    </row>
    <row r="68" spans="1:16" ht="18.75" x14ac:dyDescent="0.3">
      <c r="A68" s="67">
        <v>3562</v>
      </c>
      <c r="B68" s="57">
        <v>45826</v>
      </c>
      <c r="C68" s="8" t="s">
        <v>28</v>
      </c>
      <c r="D68" s="61">
        <v>2</v>
      </c>
      <c r="E68" s="61">
        <v>253</v>
      </c>
      <c r="F68" s="61">
        <v>253</v>
      </c>
      <c r="G68" s="61">
        <v>0</v>
      </c>
      <c r="H68" s="61">
        <v>0</v>
      </c>
      <c r="I68" s="57">
        <v>45851</v>
      </c>
      <c r="J68" s="61">
        <v>32</v>
      </c>
      <c r="K68" s="57"/>
      <c r="L68" s="61"/>
      <c r="M68" s="22" t="s">
        <v>24</v>
      </c>
      <c r="N68" s="25" t="s">
        <v>14</v>
      </c>
      <c r="O68" s="53">
        <v>45826</v>
      </c>
      <c r="P68" s="63">
        <v>3562</v>
      </c>
    </row>
    <row r="69" spans="1:16" ht="18.75" x14ac:dyDescent="0.3">
      <c r="A69" s="65">
        <v>3563</v>
      </c>
      <c r="B69" s="57">
        <v>45837</v>
      </c>
      <c r="C69" s="8"/>
      <c r="D69" s="61">
        <v>2</v>
      </c>
      <c r="E69" s="61">
        <v>75</v>
      </c>
      <c r="F69" s="61">
        <v>75</v>
      </c>
      <c r="G69" s="61">
        <v>0</v>
      </c>
      <c r="H69" s="61">
        <v>1</v>
      </c>
      <c r="I69" s="57">
        <v>45847</v>
      </c>
      <c r="J69" s="61">
        <v>5</v>
      </c>
      <c r="K69" s="57"/>
      <c r="L69" s="61"/>
      <c r="M69" s="22" t="s">
        <v>24</v>
      </c>
      <c r="N69" s="25" t="s">
        <v>14</v>
      </c>
      <c r="O69" s="53">
        <v>45837</v>
      </c>
      <c r="P69" s="63">
        <v>3563</v>
      </c>
    </row>
    <row r="70" spans="1:16" ht="18.75" x14ac:dyDescent="0.3">
      <c r="A70" s="65">
        <v>3564</v>
      </c>
      <c r="B70" s="57">
        <v>45827</v>
      </c>
      <c r="C70" s="8"/>
      <c r="D70" s="61">
        <v>2</v>
      </c>
      <c r="E70" s="61">
        <v>127</v>
      </c>
      <c r="F70" s="61">
        <v>127</v>
      </c>
      <c r="G70" s="61">
        <v>0</v>
      </c>
      <c r="H70" s="61">
        <v>1</v>
      </c>
      <c r="I70" s="57">
        <v>45844</v>
      </c>
      <c r="J70" s="61">
        <v>3</v>
      </c>
      <c r="K70" s="57"/>
      <c r="L70" s="61"/>
      <c r="M70" s="22" t="s">
        <v>24</v>
      </c>
      <c r="N70" s="25" t="s">
        <v>14</v>
      </c>
      <c r="O70" s="53">
        <v>45827</v>
      </c>
      <c r="P70" s="63">
        <v>3564</v>
      </c>
    </row>
    <row r="71" spans="1:16" ht="18.75" x14ac:dyDescent="0.3">
      <c r="A71" s="65">
        <v>3565</v>
      </c>
      <c r="B71" s="57">
        <v>45833</v>
      </c>
      <c r="C71" s="8"/>
      <c r="D71" s="61">
        <v>3</v>
      </c>
      <c r="E71" s="61">
        <v>63</v>
      </c>
      <c r="F71" s="61">
        <v>23</v>
      </c>
      <c r="G71" s="61">
        <v>40</v>
      </c>
      <c r="H71" s="61">
        <v>1</v>
      </c>
      <c r="I71" s="57">
        <v>45837</v>
      </c>
      <c r="J71" s="61">
        <v>59</v>
      </c>
      <c r="K71" s="57"/>
      <c r="L71" s="61"/>
      <c r="M71" s="22" t="s">
        <v>24</v>
      </c>
      <c r="N71" s="25" t="s">
        <v>14</v>
      </c>
      <c r="O71" s="53">
        <v>45837</v>
      </c>
      <c r="P71" s="63">
        <v>3565</v>
      </c>
    </row>
    <row r="72" spans="1:16" ht="18.75" x14ac:dyDescent="0.3">
      <c r="A72" s="65">
        <v>3566</v>
      </c>
      <c r="B72" s="57">
        <v>45824</v>
      </c>
      <c r="C72" s="8"/>
      <c r="D72" s="61">
        <v>3</v>
      </c>
      <c r="E72" s="61">
        <v>94</v>
      </c>
      <c r="F72" s="61">
        <v>94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45824</v>
      </c>
      <c r="P72" s="63">
        <v>3565</v>
      </c>
    </row>
    <row r="73" spans="1:16" ht="18.75" x14ac:dyDescent="0.3">
      <c r="A73" s="69">
        <v>3567</v>
      </c>
      <c r="B73" s="57">
        <v>45818</v>
      </c>
      <c r="C73" s="8"/>
      <c r="D73" s="61">
        <v>1</v>
      </c>
      <c r="E73" s="61">
        <v>32</v>
      </c>
      <c r="F73" s="61">
        <v>32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45818</v>
      </c>
      <c r="P73" s="63">
        <v>3567</v>
      </c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D11" sqref="D11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33" t="s">
        <v>0</v>
      </c>
      <c r="B1" s="42" t="s">
        <v>1</v>
      </c>
      <c r="C1" s="42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59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65">
        <v>3231</v>
      </c>
      <c r="B2" s="53">
        <v>45854</v>
      </c>
      <c r="C2" s="8"/>
      <c r="D2" s="61">
        <v>4</v>
      </c>
      <c r="E2" s="61">
        <v>99</v>
      </c>
      <c r="F2" s="61">
        <v>55</v>
      </c>
      <c r="G2" s="61">
        <v>44</v>
      </c>
      <c r="H2" s="61">
        <v>3</v>
      </c>
      <c r="I2" s="57">
        <v>45883</v>
      </c>
      <c r="J2" s="61">
        <v>105</v>
      </c>
      <c r="K2" s="57"/>
      <c r="L2" s="61"/>
      <c r="M2" s="22" t="s">
        <v>24</v>
      </c>
      <c r="N2" s="25" t="s">
        <v>14</v>
      </c>
      <c r="O2" s="53">
        <v>45883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45858</v>
      </c>
      <c r="C3" s="8"/>
      <c r="D3" s="61">
        <v>4</v>
      </c>
      <c r="E3" s="61">
        <v>52</v>
      </c>
      <c r="F3" s="61">
        <v>48</v>
      </c>
      <c r="G3" s="61">
        <v>4</v>
      </c>
      <c r="H3" s="61">
        <v>1</v>
      </c>
      <c r="I3" s="57">
        <v>45859</v>
      </c>
      <c r="J3" s="61">
        <v>4</v>
      </c>
      <c r="K3" s="57"/>
      <c r="L3" s="61"/>
      <c r="M3" s="22" t="s">
        <v>24</v>
      </c>
      <c r="N3" s="25" t="s">
        <v>14</v>
      </c>
      <c r="O3" s="53">
        <v>45859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65">
        <v>3233</v>
      </c>
      <c r="B4" s="53">
        <v>45887</v>
      </c>
      <c r="C4" s="8"/>
      <c r="D4" s="61">
        <v>2</v>
      </c>
      <c r="E4" s="61">
        <v>7</v>
      </c>
      <c r="F4" s="61">
        <v>7</v>
      </c>
      <c r="G4" s="61">
        <v>0</v>
      </c>
      <c r="H4" s="61">
        <v>0</v>
      </c>
      <c r="I4" s="57"/>
      <c r="J4" s="61"/>
      <c r="K4" s="57"/>
      <c r="L4" s="61"/>
      <c r="M4" s="22" t="s">
        <v>24</v>
      </c>
      <c r="N4" s="25" t="s">
        <v>30</v>
      </c>
      <c r="O4" s="53">
        <v>45887</v>
      </c>
      <c r="P4" s="63">
        <v>3233</v>
      </c>
      <c r="R4" s="14">
        <v>36</v>
      </c>
      <c r="S4" s="15">
        <f>COUNTA(A:A)-1</f>
        <v>72</v>
      </c>
      <c r="T4" s="15">
        <f>COUNTA(O:O)-1</f>
        <v>56</v>
      </c>
      <c r="U4" s="16">
        <f>T4/S4</f>
        <v>0.77777777777777779</v>
      </c>
    </row>
    <row r="5" spans="1:21" ht="15" customHeight="1" x14ac:dyDescent="0.3">
      <c r="A5" s="65">
        <v>3234</v>
      </c>
      <c r="B5" s="53">
        <v>45858</v>
      </c>
      <c r="C5" s="8"/>
      <c r="D5" s="61">
        <v>1</v>
      </c>
      <c r="E5" s="61">
        <v>4</v>
      </c>
      <c r="F5" s="61">
        <v>4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 t="s">
        <v>25</v>
      </c>
      <c r="P5" s="63">
        <v>3234</v>
      </c>
    </row>
    <row r="6" spans="1:21" ht="15" customHeight="1" x14ac:dyDescent="0.3">
      <c r="A6" s="65">
        <v>3235</v>
      </c>
      <c r="B6" s="53">
        <v>45900</v>
      </c>
      <c r="C6" s="8"/>
      <c r="D6" s="61">
        <v>1</v>
      </c>
      <c r="E6" s="61">
        <v>4</v>
      </c>
      <c r="F6" s="61">
        <v>4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30</v>
      </c>
      <c r="O6" s="53">
        <v>45900</v>
      </c>
      <c r="P6" s="63">
        <v>3235</v>
      </c>
    </row>
    <row r="7" spans="1:21" ht="15" customHeight="1" x14ac:dyDescent="0.3">
      <c r="A7" s="65">
        <v>3236</v>
      </c>
      <c r="B7" s="53">
        <v>45867</v>
      </c>
      <c r="C7" s="8"/>
      <c r="D7" s="61">
        <v>2</v>
      </c>
      <c r="E7" s="61">
        <v>10</v>
      </c>
      <c r="F7" s="61">
        <v>10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45867</v>
      </c>
      <c r="P7" s="63"/>
    </row>
    <row r="8" spans="1:21" ht="15" customHeight="1" x14ac:dyDescent="0.3">
      <c r="A8" s="65">
        <v>3237</v>
      </c>
      <c r="B8" s="53">
        <v>45844</v>
      </c>
      <c r="C8" s="8"/>
      <c r="D8" s="61">
        <v>4</v>
      </c>
      <c r="E8" s="61">
        <v>98</v>
      </c>
      <c r="F8" s="61">
        <v>98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45844</v>
      </c>
      <c r="P8" s="63">
        <v>3237</v>
      </c>
    </row>
    <row r="9" spans="1:21" ht="15" customHeight="1" x14ac:dyDescent="0.3">
      <c r="A9" s="65">
        <v>3238</v>
      </c>
      <c r="B9" s="53">
        <v>45834</v>
      </c>
      <c r="C9" s="8"/>
      <c r="D9" s="61">
        <v>2</v>
      </c>
      <c r="E9" s="61">
        <v>14</v>
      </c>
      <c r="F9" s="61">
        <v>14</v>
      </c>
      <c r="G9" s="61">
        <v>0</v>
      </c>
      <c r="H9" s="61">
        <v>1</v>
      </c>
      <c r="I9" s="57">
        <v>45843</v>
      </c>
      <c r="J9" s="61">
        <v>14</v>
      </c>
      <c r="K9" s="57"/>
      <c r="L9" s="61"/>
      <c r="M9" s="22" t="s">
        <v>24</v>
      </c>
      <c r="N9" s="25" t="s">
        <v>14</v>
      </c>
      <c r="O9" s="53">
        <v>45843</v>
      </c>
      <c r="P9" s="63">
        <v>3238</v>
      </c>
    </row>
    <row r="10" spans="1:21" ht="15" customHeight="1" x14ac:dyDescent="0.3">
      <c r="A10" s="65">
        <v>3239</v>
      </c>
      <c r="B10" s="53">
        <v>45933</v>
      </c>
      <c r="C10" s="8"/>
      <c r="D10" s="61">
        <v>3</v>
      </c>
      <c r="E10" s="61">
        <v>17</v>
      </c>
      <c r="F10" s="61">
        <v>17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45933</v>
      </c>
      <c r="P10" s="63">
        <v>3239</v>
      </c>
    </row>
    <row r="11" spans="1:21" ht="15" customHeight="1" x14ac:dyDescent="0.3">
      <c r="A11" s="65">
        <v>3240</v>
      </c>
      <c r="B11" s="53">
        <v>45851</v>
      </c>
      <c r="C11" s="8"/>
      <c r="D11" s="61">
        <v>1</v>
      </c>
      <c r="E11" s="61">
        <v>27</v>
      </c>
      <c r="F11" s="61">
        <v>27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45851</v>
      </c>
      <c r="P11" s="63"/>
    </row>
    <row r="12" spans="1:21" ht="15" customHeight="1" x14ac:dyDescent="0.3">
      <c r="A12" s="65">
        <v>3241</v>
      </c>
      <c r="B12" s="53">
        <v>45831</v>
      </c>
      <c r="C12" s="8"/>
      <c r="D12" s="61">
        <v>3</v>
      </c>
      <c r="E12" s="61">
        <v>12</v>
      </c>
      <c r="F12" s="61">
        <v>12</v>
      </c>
      <c r="G12" s="61">
        <v>0</v>
      </c>
      <c r="H12" s="61">
        <v>0</v>
      </c>
      <c r="I12" s="57"/>
      <c r="J12" s="61"/>
      <c r="K12" s="57"/>
      <c r="L12" s="61"/>
      <c r="M12" s="22" t="s">
        <v>24</v>
      </c>
      <c r="N12" s="25" t="s">
        <v>14</v>
      </c>
      <c r="O12" s="53">
        <v>45831</v>
      </c>
      <c r="P12" s="63">
        <v>3241</v>
      </c>
    </row>
    <row r="13" spans="1:21" ht="15" customHeight="1" x14ac:dyDescent="0.3">
      <c r="A13" s="65">
        <v>3242</v>
      </c>
      <c r="B13" s="53">
        <v>45833</v>
      </c>
      <c r="C13" s="8"/>
      <c r="D13" s="61">
        <v>4</v>
      </c>
      <c r="E13" s="61">
        <v>58</v>
      </c>
      <c r="F13" s="61">
        <v>58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45833</v>
      </c>
      <c r="P13" s="63">
        <v>3242</v>
      </c>
    </row>
    <row r="14" spans="1:21" ht="15" customHeight="1" x14ac:dyDescent="0.3">
      <c r="A14" s="65">
        <v>3243</v>
      </c>
      <c r="B14" s="53">
        <v>45846</v>
      </c>
      <c r="C14" s="8"/>
      <c r="D14" s="61">
        <v>3</v>
      </c>
      <c r="E14" s="61">
        <v>16</v>
      </c>
      <c r="F14" s="61">
        <v>16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45846</v>
      </c>
      <c r="P14" s="63">
        <v>3243</v>
      </c>
    </row>
    <row r="15" spans="1:21" ht="15" customHeight="1" x14ac:dyDescent="0.3">
      <c r="A15" s="65">
        <v>3244</v>
      </c>
      <c r="B15" s="53">
        <v>45838</v>
      </c>
      <c r="C15" s="8"/>
      <c r="D15" s="61">
        <v>1</v>
      </c>
      <c r="E15" s="61">
        <v>27</v>
      </c>
      <c r="F15" s="61">
        <v>27</v>
      </c>
      <c r="G15" s="61">
        <v>0</v>
      </c>
      <c r="H15" s="61">
        <v>3</v>
      </c>
      <c r="I15" s="57">
        <v>45851</v>
      </c>
      <c r="J15" s="61">
        <v>192</v>
      </c>
      <c r="K15" s="57"/>
      <c r="L15" s="61"/>
      <c r="M15" s="22" t="s">
        <v>24</v>
      </c>
      <c r="N15" s="25" t="s">
        <v>14</v>
      </c>
      <c r="O15" s="53">
        <v>45851</v>
      </c>
      <c r="P15" s="63">
        <v>3244</v>
      </c>
    </row>
    <row r="16" spans="1:21" ht="15" customHeight="1" x14ac:dyDescent="0.3">
      <c r="A16" s="67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3">
        <v>45876</v>
      </c>
      <c r="C17" s="8"/>
      <c r="D17" s="61">
        <v>1</v>
      </c>
      <c r="E17" s="61">
        <v>75</v>
      </c>
      <c r="F17" s="61">
        <v>75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14</v>
      </c>
      <c r="O17" s="53">
        <v>45876</v>
      </c>
      <c r="P17" s="63">
        <v>3246</v>
      </c>
    </row>
    <row r="18" spans="1:16" ht="15" customHeight="1" x14ac:dyDescent="0.3">
      <c r="A18" s="67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3">
        <v>45868</v>
      </c>
      <c r="C19" s="8"/>
      <c r="D19" s="61">
        <v>2</v>
      </c>
      <c r="E19" s="61">
        <v>7</v>
      </c>
      <c r="F19" s="61">
        <v>7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45868</v>
      </c>
      <c r="P19" s="63">
        <v>3248</v>
      </c>
    </row>
    <row r="20" spans="1:16" ht="15" customHeight="1" x14ac:dyDescent="0.3">
      <c r="A20" s="65">
        <v>3250</v>
      </c>
      <c r="B20" s="53">
        <v>45897</v>
      </c>
      <c r="C20" s="8"/>
      <c r="D20" s="61">
        <v>1</v>
      </c>
      <c r="E20" s="61">
        <v>5</v>
      </c>
      <c r="F20" s="61">
        <v>5</v>
      </c>
      <c r="G20" s="61">
        <v>0</v>
      </c>
      <c r="H20" s="61">
        <v>0</v>
      </c>
      <c r="I20" s="57"/>
      <c r="J20" s="61"/>
      <c r="K20" s="57"/>
      <c r="L20" s="61"/>
      <c r="M20" s="22" t="s">
        <v>24</v>
      </c>
      <c r="N20" s="25" t="s">
        <v>30</v>
      </c>
      <c r="O20" s="53">
        <v>45897</v>
      </c>
      <c r="P20" s="63">
        <v>3250</v>
      </c>
    </row>
    <row r="21" spans="1:16" ht="15" customHeight="1" x14ac:dyDescent="0.3">
      <c r="A21" s="6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68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x14ac:dyDescent="0.3">
      <c r="A23" s="6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3">
        <v>45902</v>
      </c>
      <c r="C24" s="8"/>
      <c r="D24" s="61">
        <v>2</v>
      </c>
      <c r="E24" s="61">
        <v>18</v>
      </c>
      <c r="F24" s="61">
        <v>18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30</v>
      </c>
      <c r="O24" s="53">
        <v>45902</v>
      </c>
      <c r="P24" s="63">
        <v>3254</v>
      </c>
    </row>
    <row r="25" spans="1:16" ht="15" customHeight="1" x14ac:dyDescent="0.3">
      <c r="A25" s="65">
        <v>3255</v>
      </c>
      <c r="B25" s="53">
        <v>45894</v>
      </c>
      <c r="C25" s="8"/>
      <c r="D25" s="61">
        <v>2</v>
      </c>
      <c r="E25" s="61">
        <v>37</v>
      </c>
      <c r="F25" s="61">
        <v>37</v>
      </c>
      <c r="G25" s="61">
        <v>0</v>
      </c>
      <c r="H25" s="61">
        <v>0</v>
      </c>
      <c r="I25" s="57"/>
      <c r="J25" s="61"/>
      <c r="K25" s="57"/>
      <c r="L25" s="61"/>
      <c r="M25" s="22" t="s">
        <v>24</v>
      </c>
      <c r="N25" s="25" t="s">
        <v>32</v>
      </c>
      <c r="O25" s="53">
        <v>45894</v>
      </c>
      <c r="P25" s="63">
        <v>3255</v>
      </c>
    </row>
    <row r="26" spans="1:16" ht="15" customHeight="1" x14ac:dyDescent="0.3">
      <c r="A26" s="6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3">
        <v>45844</v>
      </c>
      <c r="C27" s="8"/>
      <c r="D27" s="61">
        <v>1</v>
      </c>
      <c r="E27" s="61">
        <v>5</v>
      </c>
      <c r="F27" s="61">
        <v>5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45844</v>
      </c>
      <c r="P27" s="63">
        <v>3258</v>
      </c>
    </row>
    <row r="28" spans="1:16" ht="15" customHeight="1" x14ac:dyDescent="0.3">
      <c r="A28" s="65">
        <v>3259</v>
      </c>
      <c r="B28" s="53">
        <v>45862</v>
      </c>
      <c r="C28" s="8"/>
      <c r="D28" s="61">
        <v>2</v>
      </c>
      <c r="E28" s="61">
        <v>98</v>
      </c>
      <c r="F28" s="61">
        <v>98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45862</v>
      </c>
      <c r="P28" s="63">
        <v>3259</v>
      </c>
    </row>
    <row r="29" spans="1:16" ht="15" customHeight="1" x14ac:dyDescent="0.3">
      <c r="A29" s="6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3">
        <v>45847</v>
      </c>
      <c r="C30" s="8"/>
      <c r="D30" s="61">
        <v>2</v>
      </c>
      <c r="E30" s="61">
        <v>17</v>
      </c>
      <c r="F30" s="61">
        <v>17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45847</v>
      </c>
      <c r="P30" s="63"/>
    </row>
    <row r="31" spans="1:16" ht="15" customHeight="1" x14ac:dyDescent="0.3">
      <c r="A31" s="65">
        <v>3262</v>
      </c>
      <c r="B31" s="53">
        <v>45832</v>
      </c>
      <c r="C31" s="8"/>
      <c r="D31" s="61">
        <v>4</v>
      </c>
      <c r="E31" s="61">
        <v>160</v>
      </c>
      <c r="F31" s="61">
        <v>160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45832</v>
      </c>
      <c r="P31" s="63"/>
    </row>
    <row r="32" spans="1:16" ht="15" customHeight="1" x14ac:dyDescent="0.3">
      <c r="A32" s="65">
        <v>3263</v>
      </c>
      <c r="B32" s="53">
        <v>45846</v>
      </c>
      <c r="C32" s="8"/>
      <c r="D32" s="61">
        <v>1</v>
      </c>
      <c r="E32" s="61">
        <v>12</v>
      </c>
      <c r="F32" s="61">
        <v>12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45846</v>
      </c>
      <c r="P32" s="63"/>
    </row>
    <row r="33" spans="1:16" ht="15" customHeight="1" x14ac:dyDescent="0.3">
      <c r="A33" s="65">
        <v>3264</v>
      </c>
      <c r="B33" s="53">
        <v>45813</v>
      </c>
      <c r="C33" s="8"/>
      <c r="D33" s="61">
        <v>1</v>
      </c>
      <c r="E33" s="61">
        <v>26</v>
      </c>
      <c r="F33" s="61">
        <v>26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45813</v>
      </c>
      <c r="P33" s="63"/>
    </row>
    <row r="34" spans="1:16" ht="15" customHeight="1" x14ac:dyDescent="0.3">
      <c r="A34" s="65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65">
        <v>3266</v>
      </c>
      <c r="B35" s="53">
        <v>45823</v>
      </c>
      <c r="C35" s="8"/>
      <c r="D35" s="61">
        <v>2</v>
      </c>
      <c r="E35" s="61">
        <v>22</v>
      </c>
      <c r="F35" s="61">
        <v>22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45823</v>
      </c>
      <c r="P35" s="63"/>
    </row>
    <row r="36" spans="1:16" ht="15" customHeight="1" x14ac:dyDescent="0.3">
      <c r="A36" s="67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65">
        <v>3299</v>
      </c>
      <c r="B37" s="53">
        <v>45860</v>
      </c>
      <c r="C37" s="8"/>
      <c r="D37" s="61">
        <v>4</v>
      </c>
      <c r="E37" s="61">
        <v>56</v>
      </c>
      <c r="F37" s="61">
        <v>56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45860</v>
      </c>
      <c r="P37" s="63">
        <v>3299</v>
      </c>
    </row>
    <row r="38" spans="1:16" ht="15" customHeight="1" x14ac:dyDescent="0.3">
      <c r="A38" s="65">
        <v>3531</v>
      </c>
      <c r="B38" s="53">
        <v>45857</v>
      </c>
      <c r="C38" s="8"/>
      <c r="D38" s="61">
        <v>3</v>
      </c>
      <c r="E38" s="61">
        <v>59</v>
      </c>
      <c r="F38" s="61">
        <v>59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45857</v>
      </c>
      <c r="P38" s="63">
        <v>3531</v>
      </c>
    </row>
    <row r="39" spans="1:16" ht="15" customHeight="1" x14ac:dyDescent="0.3">
      <c r="A39" s="67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7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3">
        <v>45869</v>
      </c>
      <c r="C42" s="8"/>
      <c r="D42" s="61">
        <v>3</v>
      </c>
      <c r="E42" s="61">
        <v>64</v>
      </c>
      <c r="F42" s="61">
        <v>64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14</v>
      </c>
      <c r="O42" s="53">
        <v>45869</v>
      </c>
      <c r="P42" s="63">
        <v>3535</v>
      </c>
    </row>
    <row r="43" spans="1:16" ht="15" customHeight="1" x14ac:dyDescent="0.3">
      <c r="A43" s="65">
        <v>3536</v>
      </c>
      <c r="B43" s="53">
        <v>45931</v>
      </c>
      <c r="C43" s="8"/>
      <c r="D43" s="61">
        <v>3</v>
      </c>
      <c r="E43" s="61">
        <v>69</v>
      </c>
      <c r="F43" s="61">
        <v>69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45931</v>
      </c>
      <c r="P43" s="63">
        <v>3536</v>
      </c>
    </row>
    <row r="44" spans="1:16" ht="15" customHeight="1" x14ac:dyDescent="0.3">
      <c r="A44" s="65">
        <v>3537</v>
      </c>
      <c r="B44" s="53">
        <v>45850</v>
      </c>
      <c r="C44" s="8"/>
      <c r="D44" s="61">
        <v>1</v>
      </c>
      <c r="E44" s="61">
        <v>9</v>
      </c>
      <c r="F44" s="61">
        <v>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45850</v>
      </c>
      <c r="P44" s="63"/>
    </row>
    <row r="45" spans="1:16" ht="15" customHeight="1" x14ac:dyDescent="0.3">
      <c r="A45" s="65">
        <v>3538</v>
      </c>
      <c r="B45" s="53">
        <v>45847</v>
      </c>
      <c r="C45" s="8"/>
      <c r="D45" s="61">
        <v>1</v>
      </c>
      <c r="E45" s="61">
        <v>8</v>
      </c>
      <c r="F45" s="61">
        <v>8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45847</v>
      </c>
      <c r="P45" s="63"/>
    </row>
    <row r="46" spans="1:16" ht="15" customHeight="1" x14ac:dyDescent="0.3">
      <c r="A46" s="66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3">
        <v>45848</v>
      </c>
      <c r="C47" s="8"/>
      <c r="D47" s="61">
        <v>3</v>
      </c>
      <c r="E47" s="61">
        <v>166</v>
      </c>
      <c r="F47" s="61">
        <v>166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45848</v>
      </c>
      <c r="P47" s="63">
        <v>3541</v>
      </c>
    </row>
    <row r="48" spans="1:16" ht="15" customHeight="1" x14ac:dyDescent="0.3">
      <c r="A48" s="65">
        <v>3542</v>
      </c>
      <c r="B48" s="53">
        <v>45828</v>
      </c>
      <c r="C48" s="8"/>
      <c r="D48" s="61">
        <v>3</v>
      </c>
      <c r="E48" s="61">
        <v>198</v>
      </c>
      <c r="F48" s="61">
        <v>198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45828</v>
      </c>
      <c r="P48" s="63">
        <v>3542</v>
      </c>
    </row>
    <row r="49" spans="1:19" ht="15" customHeight="1" x14ac:dyDescent="0.3">
      <c r="A49" s="6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9" ht="15" customHeight="1" x14ac:dyDescent="0.3">
      <c r="A50" s="67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9" ht="15" customHeight="1" x14ac:dyDescent="0.3">
      <c r="A51" s="65">
        <v>3545</v>
      </c>
      <c r="B51" s="53">
        <v>45862</v>
      </c>
      <c r="C51" s="8"/>
      <c r="D51" s="61">
        <v>2</v>
      </c>
      <c r="E51" s="61">
        <v>86</v>
      </c>
      <c r="F51" s="61">
        <v>86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45862</v>
      </c>
      <c r="P51" s="63">
        <v>3545</v>
      </c>
    </row>
    <row r="52" spans="1:19" ht="15" customHeight="1" x14ac:dyDescent="0.3">
      <c r="A52" s="65">
        <v>3546</v>
      </c>
      <c r="B52" s="53">
        <v>45880</v>
      </c>
      <c r="C52" s="8"/>
      <c r="D52" s="61">
        <v>3</v>
      </c>
      <c r="E52" s="61">
        <v>29</v>
      </c>
      <c r="F52" s="61">
        <v>29</v>
      </c>
      <c r="G52" s="61">
        <v>0</v>
      </c>
      <c r="H52" s="61">
        <v>0</v>
      </c>
      <c r="I52" s="57"/>
      <c r="J52" s="61"/>
      <c r="K52" s="57"/>
      <c r="L52" s="61"/>
      <c r="M52" s="22" t="s">
        <v>24</v>
      </c>
      <c r="N52" s="25" t="s">
        <v>14</v>
      </c>
      <c r="O52" s="53">
        <v>45880</v>
      </c>
      <c r="P52" s="63">
        <v>3546</v>
      </c>
    </row>
    <row r="53" spans="1:19" ht="15" customHeight="1" x14ac:dyDescent="0.3">
      <c r="A53" s="65">
        <v>3547</v>
      </c>
      <c r="B53" s="53">
        <v>45838</v>
      </c>
      <c r="C53" s="8"/>
      <c r="D53" s="61">
        <v>3</v>
      </c>
      <c r="E53" s="61">
        <v>57</v>
      </c>
      <c r="F53" s="61">
        <v>40</v>
      </c>
      <c r="G53" s="61">
        <v>17</v>
      </c>
      <c r="H53" s="61">
        <v>2</v>
      </c>
      <c r="I53" s="57">
        <v>45850</v>
      </c>
      <c r="J53" s="61">
        <v>17</v>
      </c>
      <c r="K53" s="57"/>
      <c r="L53" s="61"/>
      <c r="M53" s="22" t="s">
        <v>24</v>
      </c>
      <c r="N53" s="25" t="s">
        <v>14</v>
      </c>
      <c r="O53" s="53">
        <v>45838</v>
      </c>
      <c r="P53" s="63">
        <v>3547</v>
      </c>
    </row>
    <row r="54" spans="1:19" ht="15" customHeight="1" x14ac:dyDescent="0.3">
      <c r="A54" s="65">
        <v>3548</v>
      </c>
      <c r="B54" s="53">
        <v>45840</v>
      </c>
      <c r="C54" s="8"/>
      <c r="D54" s="61">
        <v>1</v>
      </c>
      <c r="E54" s="61">
        <v>24</v>
      </c>
      <c r="F54" s="61">
        <v>24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45840</v>
      </c>
      <c r="P54" s="63"/>
    </row>
    <row r="55" spans="1:19" ht="15" customHeight="1" x14ac:dyDescent="0.3">
      <c r="A55" s="65">
        <v>3549</v>
      </c>
      <c r="B55" s="53">
        <v>45838</v>
      </c>
      <c r="C55" s="8"/>
      <c r="D55" s="61">
        <v>2</v>
      </c>
      <c r="E55" s="61">
        <v>112</v>
      </c>
      <c r="F55" s="61">
        <v>60</v>
      </c>
      <c r="G55" s="61">
        <v>52</v>
      </c>
      <c r="H55" s="61">
        <v>1</v>
      </c>
      <c r="I55" s="57">
        <v>45839</v>
      </c>
      <c r="J55" s="61">
        <v>52</v>
      </c>
      <c r="K55" s="57"/>
      <c r="L55" s="61"/>
      <c r="M55" s="22" t="s">
        <v>24</v>
      </c>
      <c r="N55" s="25" t="s">
        <v>14</v>
      </c>
      <c r="O55" s="53">
        <v>45839</v>
      </c>
      <c r="P55" s="63">
        <v>3549</v>
      </c>
    </row>
    <row r="56" spans="1:19" ht="15" customHeight="1" x14ac:dyDescent="0.3">
      <c r="A56" s="65">
        <v>3550</v>
      </c>
      <c r="B56" s="53">
        <v>45861</v>
      </c>
      <c r="C56" s="8"/>
      <c r="D56" s="61">
        <v>2</v>
      </c>
      <c r="E56" s="61">
        <v>25</v>
      </c>
      <c r="F56" s="61">
        <v>25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14</v>
      </c>
      <c r="O56" s="53">
        <v>45861</v>
      </c>
      <c r="P56" s="63">
        <v>3550</v>
      </c>
    </row>
    <row r="57" spans="1:19" ht="15" customHeight="1" x14ac:dyDescent="0.3">
      <c r="A57" s="70">
        <v>3551</v>
      </c>
      <c r="B57" s="53">
        <v>45861</v>
      </c>
      <c r="C57" s="8"/>
      <c r="D57" s="61">
        <v>3</v>
      </c>
      <c r="E57" s="61">
        <v>100</v>
      </c>
      <c r="F57" s="61">
        <v>100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45861</v>
      </c>
      <c r="P57" s="63">
        <v>3551</v>
      </c>
    </row>
    <row r="58" spans="1:19" ht="15" customHeight="1" x14ac:dyDescent="0.3">
      <c r="A58" s="65">
        <v>3552</v>
      </c>
      <c r="B58" s="53">
        <v>45875</v>
      </c>
      <c r="C58" s="8"/>
      <c r="D58" s="61">
        <v>2</v>
      </c>
      <c r="E58" s="61">
        <v>61</v>
      </c>
      <c r="F58" s="61">
        <v>61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45875</v>
      </c>
      <c r="P58" s="63">
        <v>3552</v>
      </c>
    </row>
    <row r="59" spans="1:19" ht="15" customHeight="1" x14ac:dyDescent="0.3">
      <c r="A59" s="65">
        <v>3553</v>
      </c>
      <c r="B59" s="53">
        <v>45842</v>
      </c>
      <c r="C59" s="8"/>
      <c r="D59" s="61">
        <v>1</v>
      </c>
      <c r="E59" s="61">
        <v>33</v>
      </c>
      <c r="F59" s="61">
        <v>33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45842</v>
      </c>
      <c r="P59" s="63">
        <v>3553</v>
      </c>
    </row>
    <row r="60" spans="1:19" ht="15" customHeight="1" x14ac:dyDescent="0.3">
      <c r="A60" s="67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9" ht="15" customHeight="1" x14ac:dyDescent="0.3">
      <c r="A61" s="65">
        <v>3555</v>
      </c>
      <c r="B61" s="53">
        <v>45876</v>
      </c>
      <c r="C61" s="8"/>
      <c r="D61" s="61">
        <v>3</v>
      </c>
      <c r="E61" s="61">
        <v>57</v>
      </c>
      <c r="F61" s="61">
        <v>57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45876</v>
      </c>
      <c r="P61" s="63">
        <v>3555</v>
      </c>
      <c r="S61" s="1" t="s">
        <v>22</v>
      </c>
    </row>
    <row r="62" spans="1:19" ht="15" customHeight="1" x14ac:dyDescent="0.3">
      <c r="A62" s="65">
        <v>3556</v>
      </c>
      <c r="B62" s="53">
        <v>45874</v>
      </c>
      <c r="C62" s="8"/>
      <c r="D62" s="61">
        <v>2</v>
      </c>
      <c r="E62" s="61">
        <v>12</v>
      </c>
      <c r="F62" s="61">
        <v>12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14</v>
      </c>
      <c r="O62" s="53">
        <v>45874</v>
      </c>
      <c r="P62" s="63">
        <v>3556</v>
      </c>
    </row>
    <row r="63" spans="1:19" ht="15" customHeight="1" x14ac:dyDescent="0.3">
      <c r="A63" s="65">
        <v>3557</v>
      </c>
      <c r="B63" s="53">
        <v>45832</v>
      </c>
      <c r="C63" s="8"/>
      <c r="D63" s="61">
        <v>3</v>
      </c>
      <c r="E63" s="61">
        <v>112</v>
      </c>
      <c r="F63" s="61">
        <v>112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45832</v>
      </c>
      <c r="P63" s="63">
        <v>3557</v>
      </c>
    </row>
    <row r="64" spans="1:19" ht="15" customHeight="1" x14ac:dyDescent="0.3">
      <c r="A64" s="65">
        <v>3558</v>
      </c>
      <c r="B64" s="53">
        <v>45846</v>
      </c>
      <c r="C64" s="8"/>
      <c r="D64" s="61">
        <v>3</v>
      </c>
      <c r="E64" s="61">
        <v>65</v>
      </c>
      <c r="F64" s="61">
        <v>65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45846</v>
      </c>
      <c r="P64" s="63"/>
    </row>
    <row r="65" spans="1:16" ht="15" customHeight="1" x14ac:dyDescent="0.3">
      <c r="A65" s="65">
        <v>3559</v>
      </c>
      <c r="B65" s="53">
        <v>45834</v>
      </c>
      <c r="C65" s="8"/>
      <c r="D65" s="61">
        <v>3</v>
      </c>
      <c r="E65" s="61">
        <v>13</v>
      </c>
      <c r="F65" s="61">
        <v>13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45834</v>
      </c>
      <c r="P65" s="63">
        <v>3559</v>
      </c>
    </row>
    <row r="66" spans="1:16" ht="15" customHeight="1" x14ac:dyDescent="0.3">
      <c r="A66" s="65">
        <v>3560</v>
      </c>
      <c r="B66" s="53">
        <v>45849</v>
      </c>
      <c r="C66" s="8"/>
      <c r="D66" s="61">
        <v>3</v>
      </c>
      <c r="E66" s="61">
        <v>149</v>
      </c>
      <c r="F66" s="61">
        <v>63</v>
      </c>
      <c r="G66" s="61">
        <v>86</v>
      </c>
      <c r="H66" s="61">
        <v>2</v>
      </c>
      <c r="I66" s="57">
        <v>45851</v>
      </c>
      <c r="J66" s="61">
        <v>74</v>
      </c>
      <c r="K66" s="57">
        <v>45852</v>
      </c>
      <c r="L66" s="61">
        <v>18</v>
      </c>
      <c r="M66" s="22" t="s">
        <v>24</v>
      </c>
      <c r="N66" s="25" t="s">
        <v>14</v>
      </c>
      <c r="O66" s="53">
        <v>45852</v>
      </c>
      <c r="P66" s="63">
        <v>3560</v>
      </c>
    </row>
    <row r="67" spans="1:16" ht="15" customHeight="1" x14ac:dyDescent="0.3">
      <c r="A67" s="67">
        <v>3561</v>
      </c>
      <c r="B67" s="53">
        <v>45833</v>
      </c>
      <c r="C67" s="8"/>
      <c r="D67" s="61">
        <v>3</v>
      </c>
      <c r="E67" s="61">
        <v>94</v>
      </c>
      <c r="F67" s="61">
        <v>94</v>
      </c>
      <c r="G67" s="61">
        <v>28</v>
      </c>
      <c r="H67" s="61">
        <v>1</v>
      </c>
      <c r="I67" s="57">
        <v>45842</v>
      </c>
      <c r="J67" s="61">
        <v>28</v>
      </c>
      <c r="K67" s="57"/>
      <c r="L67" s="61"/>
      <c r="M67" s="22" t="s">
        <v>24</v>
      </c>
      <c r="N67" s="25" t="s">
        <v>14</v>
      </c>
      <c r="O67" s="53">
        <v>45842</v>
      </c>
      <c r="P67" s="63">
        <v>3561</v>
      </c>
    </row>
    <row r="68" spans="1:16" ht="18.75" x14ac:dyDescent="0.3">
      <c r="A68" s="67">
        <v>3562</v>
      </c>
      <c r="B68" s="53">
        <v>45851</v>
      </c>
      <c r="C68" s="8"/>
      <c r="D68" s="61">
        <v>2</v>
      </c>
      <c r="E68" s="61">
        <v>77</v>
      </c>
      <c r="F68" s="61">
        <v>77</v>
      </c>
      <c r="G68" s="61">
        <v>0</v>
      </c>
      <c r="H68" s="61">
        <v>0</v>
      </c>
      <c r="I68" s="57"/>
      <c r="J68" s="61"/>
      <c r="K68" s="57"/>
      <c r="L68" s="61"/>
      <c r="M68" s="22" t="s">
        <v>24</v>
      </c>
      <c r="N68" s="25" t="s">
        <v>14</v>
      </c>
      <c r="O68" s="53">
        <v>45851</v>
      </c>
      <c r="P68" s="63">
        <v>3562</v>
      </c>
    </row>
    <row r="69" spans="1:16" ht="18.75" x14ac:dyDescent="0.3">
      <c r="A69" s="65">
        <v>3563</v>
      </c>
      <c r="B69" s="53">
        <v>45875</v>
      </c>
      <c r="C69" s="8"/>
      <c r="D69" s="61">
        <v>2</v>
      </c>
      <c r="E69" s="61">
        <v>44</v>
      </c>
      <c r="F69" s="61">
        <v>44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45875</v>
      </c>
      <c r="P69" s="63">
        <v>3563</v>
      </c>
    </row>
    <row r="70" spans="1:16" ht="18.75" x14ac:dyDescent="0.3">
      <c r="A70" s="65">
        <v>3564</v>
      </c>
      <c r="B70" s="53">
        <v>45831</v>
      </c>
      <c r="C70" s="8"/>
      <c r="D70" s="61">
        <v>1</v>
      </c>
      <c r="E70" s="61">
        <v>22</v>
      </c>
      <c r="F70" s="61">
        <v>22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45831</v>
      </c>
      <c r="P70" s="63">
        <v>3564</v>
      </c>
    </row>
    <row r="71" spans="1:16" ht="18.75" x14ac:dyDescent="0.3">
      <c r="A71" s="65">
        <v>3565</v>
      </c>
      <c r="B71" s="53">
        <v>45846</v>
      </c>
      <c r="C71" s="8"/>
      <c r="D71" s="61">
        <v>2</v>
      </c>
      <c r="E71" s="61">
        <v>47</v>
      </c>
      <c r="F71" s="61">
        <v>47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45846</v>
      </c>
      <c r="P71" s="63"/>
    </row>
    <row r="72" spans="1:16" ht="18.75" x14ac:dyDescent="0.3">
      <c r="A72" s="65">
        <v>3566</v>
      </c>
      <c r="B72" s="53">
        <v>45832</v>
      </c>
      <c r="C72" s="8"/>
      <c r="D72" s="61">
        <v>1</v>
      </c>
      <c r="E72" s="61">
        <v>17</v>
      </c>
      <c r="F72" s="61">
        <v>17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45832</v>
      </c>
      <c r="P72" s="63"/>
    </row>
    <row r="73" spans="1:16" ht="18.75" x14ac:dyDescent="0.3">
      <c r="A73" s="69">
        <v>3567</v>
      </c>
      <c r="B73" s="53">
        <v>45831</v>
      </c>
      <c r="C73" s="8"/>
      <c r="D73" s="61">
        <v>1</v>
      </c>
      <c r="E73" s="61">
        <v>29</v>
      </c>
      <c r="F73" s="61">
        <v>29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45831</v>
      </c>
      <c r="P73" s="63">
        <v>3567</v>
      </c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I16" sqref="I1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60.75" thickBot="1" x14ac:dyDescent="0.3">
      <c r="A1" s="80" t="s">
        <v>0</v>
      </c>
      <c r="B1" s="42" t="s">
        <v>1</v>
      </c>
      <c r="C1" s="42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65">
        <v>3231</v>
      </c>
      <c r="B2" s="53">
        <v>45898</v>
      </c>
      <c r="C2" s="8"/>
      <c r="D2" s="61">
        <v>1</v>
      </c>
      <c r="E2" s="61">
        <v>17</v>
      </c>
      <c r="F2" s="61">
        <v>17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30</v>
      </c>
      <c r="O2" s="53">
        <v>45898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45859</v>
      </c>
      <c r="C3" s="8"/>
      <c r="D3" s="61">
        <v>1</v>
      </c>
      <c r="E3" s="61">
        <v>4</v>
      </c>
      <c r="F3" s="61">
        <v>4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45859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0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49</v>
      </c>
      <c r="U4" s="16">
        <f>T4/S4</f>
        <v>0.68055555555555558</v>
      </c>
    </row>
    <row r="5" spans="1:21" ht="15" customHeight="1" x14ac:dyDescent="0.3">
      <c r="A5" s="65">
        <v>3234</v>
      </c>
      <c r="B5" s="53">
        <v>45893</v>
      </c>
      <c r="C5" s="8"/>
      <c r="D5" s="61">
        <v>2</v>
      </c>
      <c r="E5" s="61">
        <v>16</v>
      </c>
      <c r="F5" s="61">
        <v>16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31</v>
      </c>
      <c r="O5" s="53">
        <v>45893</v>
      </c>
      <c r="P5" s="63">
        <v>3234</v>
      </c>
    </row>
    <row r="6" spans="1:21" ht="15" customHeight="1" x14ac:dyDescent="0.3">
      <c r="A6" s="65">
        <v>3235</v>
      </c>
      <c r="B6" s="53">
        <v>45932</v>
      </c>
      <c r="C6" s="8"/>
      <c r="D6" s="61">
        <v>2</v>
      </c>
      <c r="E6" s="61">
        <v>6</v>
      </c>
      <c r="F6" s="61">
        <v>6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45932</v>
      </c>
      <c r="P6" s="63">
        <v>3235</v>
      </c>
    </row>
    <row r="7" spans="1:21" ht="15" customHeight="1" x14ac:dyDescent="0.3">
      <c r="A7" s="65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65">
        <v>3237</v>
      </c>
      <c r="B8" s="53">
        <v>45880</v>
      </c>
      <c r="C8" s="8"/>
      <c r="D8" s="61">
        <v>2</v>
      </c>
      <c r="E8" s="61">
        <v>23</v>
      </c>
      <c r="F8" s="61">
        <v>23</v>
      </c>
      <c r="G8" s="61">
        <v>0</v>
      </c>
      <c r="H8" s="61">
        <v>0</v>
      </c>
      <c r="I8" s="57"/>
      <c r="J8" s="61"/>
      <c r="K8" s="57"/>
      <c r="L8" s="61"/>
      <c r="M8" s="22" t="s">
        <v>29</v>
      </c>
      <c r="N8" s="25" t="s">
        <v>14</v>
      </c>
      <c r="O8" s="53">
        <v>45880</v>
      </c>
      <c r="P8" s="63">
        <v>3237</v>
      </c>
    </row>
    <row r="9" spans="1:21" ht="15" customHeight="1" x14ac:dyDescent="0.3">
      <c r="A9" s="65">
        <v>3238</v>
      </c>
      <c r="B9" s="53">
        <v>45853</v>
      </c>
      <c r="C9" s="8"/>
      <c r="D9" s="61">
        <v>2</v>
      </c>
      <c r="E9" s="61">
        <v>23</v>
      </c>
      <c r="F9" s="61">
        <v>23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14</v>
      </c>
      <c r="O9" s="53">
        <v>45853</v>
      </c>
      <c r="P9" s="63">
        <v>3238</v>
      </c>
    </row>
    <row r="10" spans="1:21" ht="15" customHeight="1" x14ac:dyDescent="0.3">
      <c r="A10" s="65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65">
        <v>3240</v>
      </c>
      <c r="B11" s="53">
        <v>45862</v>
      </c>
      <c r="C11" s="8"/>
      <c r="D11" s="61">
        <v>1</v>
      </c>
      <c r="E11" s="61">
        <v>8</v>
      </c>
      <c r="F11" s="61">
        <v>8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45862</v>
      </c>
      <c r="P11" s="63">
        <v>3240</v>
      </c>
    </row>
    <row r="12" spans="1:21" ht="15" customHeight="1" x14ac:dyDescent="0.3">
      <c r="A12" s="65">
        <v>3241</v>
      </c>
      <c r="B12" s="53">
        <v>45860</v>
      </c>
      <c r="C12" s="8"/>
      <c r="D12" s="61">
        <v>4</v>
      </c>
      <c r="E12" s="61">
        <v>39</v>
      </c>
      <c r="F12" s="61">
        <v>39</v>
      </c>
      <c r="G12" s="61">
        <v>0</v>
      </c>
      <c r="H12" s="61">
        <v>0</v>
      </c>
      <c r="I12" s="57"/>
      <c r="J12" s="61"/>
      <c r="K12" s="57"/>
      <c r="L12" s="61"/>
      <c r="M12" s="22" t="s">
        <v>24</v>
      </c>
      <c r="N12" s="25" t="s">
        <v>14</v>
      </c>
      <c r="O12" s="53">
        <v>45860</v>
      </c>
      <c r="P12" s="63">
        <v>3241</v>
      </c>
    </row>
    <row r="13" spans="1:21" ht="15" customHeight="1" x14ac:dyDescent="0.3">
      <c r="A13" s="65">
        <v>3242</v>
      </c>
      <c r="B13" s="53">
        <v>45884</v>
      </c>
      <c r="C13" s="8"/>
      <c r="D13" s="61">
        <v>3</v>
      </c>
      <c r="E13" s="61">
        <v>20</v>
      </c>
      <c r="F13" s="61">
        <v>20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45884</v>
      </c>
      <c r="P13" s="63">
        <v>3242</v>
      </c>
    </row>
    <row r="14" spans="1:21" ht="15" customHeight="1" x14ac:dyDescent="0.3">
      <c r="A14" s="65">
        <v>3243</v>
      </c>
      <c r="B14" s="53">
        <v>45856</v>
      </c>
      <c r="C14" s="8"/>
      <c r="D14" s="61">
        <v>3</v>
      </c>
      <c r="E14" s="61">
        <v>20</v>
      </c>
      <c r="F14" s="61">
        <v>20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45856</v>
      </c>
      <c r="P14" s="63">
        <v>3243</v>
      </c>
    </row>
    <row r="15" spans="1:21" ht="15" customHeight="1" x14ac:dyDescent="0.3">
      <c r="A15" s="65">
        <v>3244</v>
      </c>
      <c r="B15" s="53">
        <v>45881</v>
      </c>
      <c r="C15" s="8"/>
      <c r="D15" s="61">
        <v>2</v>
      </c>
      <c r="E15" s="61">
        <v>18</v>
      </c>
      <c r="F15" s="61">
        <v>18</v>
      </c>
      <c r="G15" s="61">
        <v>0</v>
      </c>
      <c r="H15" s="61">
        <v>0</v>
      </c>
      <c r="I15" s="57"/>
      <c r="J15" s="61"/>
      <c r="K15" s="57"/>
      <c r="L15" s="61"/>
      <c r="M15" s="22" t="s">
        <v>24</v>
      </c>
      <c r="N15" s="25" t="s">
        <v>14</v>
      </c>
      <c r="O15" s="53">
        <v>45881</v>
      </c>
      <c r="P15" s="63">
        <v>3244</v>
      </c>
    </row>
    <row r="16" spans="1:21" ht="15" customHeight="1" x14ac:dyDescent="0.3">
      <c r="A16" s="67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3">
        <v>45895</v>
      </c>
      <c r="C17" s="8"/>
      <c r="D17" s="61">
        <v>1</v>
      </c>
      <c r="E17" s="61">
        <v>5</v>
      </c>
      <c r="F17" s="61">
        <v>5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31</v>
      </c>
      <c r="O17" s="53">
        <v>45895</v>
      </c>
      <c r="P17" s="63">
        <v>3246</v>
      </c>
    </row>
    <row r="18" spans="1:16" ht="15" customHeight="1" x14ac:dyDescent="0.3">
      <c r="A18" s="67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3">
        <v>45887</v>
      </c>
      <c r="C19" s="8"/>
      <c r="D19" s="61">
        <v>1</v>
      </c>
      <c r="E19" s="61">
        <v>1</v>
      </c>
      <c r="F19" s="61">
        <v>1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30</v>
      </c>
      <c r="O19" s="53">
        <v>45887</v>
      </c>
      <c r="P19" s="63">
        <v>3248</v>
      </c>
    </row>
    <row r="20" spans="1:16" ht="15" customHeight="1" x14ac:dyDescent="0.3">
      <c r="A20" s="6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6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68">
        <v>3252</v>
      </c>
      <c r="B22" s="53">
        <v>45930</v>
      </c>
      <c r="C22" s="8"/>
      <c r="D22" s="61">
        <v>1</v>
      </c>
      <c r="E22" s="61">
        <v>5</v>
      </c>
      <c r="F22" s="61">
        <v>5</v>
      </c>
      <c r="G22" s="61">
        <v>0</v>
      </c>
      <c r="H22" s="61">
        <v>0</v>
      </c>
      <c r="I22" s="57"/>
      <c r="J22" s="61"/>
      <c r="K22" s="57"/>
      <c r="L22" s="61"/>
      <c r="M22" s="22" t="s">
        <v>24</v>
      </c>
      <c r="N22" s="25" t="s">
        <v>14</v>
      </c>
      <c r="O22" s="53">
        <v>45930</v>
      </c>
      <c r="P22" s="63">
        <v>3252</v>
      </c>
    </row>
    <row r="23" spans="1:16" ht="15" customHeight="1" x14ac:dyDescent="0.3">
      <c r="A23" s="67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6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6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3">
        <v>45858</v>
      </c>
      <c r="C27" s="8"/>
      <c r="D27" s="61">
        <v>1</v>
      </c>
      <c r="E27" s="61">
        <v>12</v>
      </c>
      <c r="F27" s="61">
        <v>12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45858</v>
      </c>
      <c r="P27" s="63">
        <v>3258</v>
      </c>
    </row>
    <row r="28" spans="1:16" ht="15" customHeight="1" x14ac:dyDescent="0.3">
      <c r="A28" s="6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67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3">
        <v>45869</v>
      </c>
      <c r="C30" s="8"/>
      <c r="D30" s="61">
        <v>1</v>
      </c>
      <c r="E30" s="61">
        <v>4</v>
      </c>
      <c r="F30" s="61">
        <v>4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45869</v>
      </c>
      <c r="P30" s="63"/>
    </row>
    <row r="31" spans="1:16" ht="15" customHeight="1" x14ac:dyDescent="0.3">
      <c r="A31" s="65">
        <v>3262</v>
      </c>
      <c r="B31" s="53">
        <v>45857</v>
      </c>
      <c r="C31" s="8"/>
      <c r="D31" s="61">
        <v>3</v>
      </c>
      <c r="E31" s="61">
        <v>14</v>
      </c>
      <c r="F31" s="61">
        <v>9</v>
      </c>
      <c r="G31" s="61">
        <v>5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45857</v>
      </c>
      <c r="P31" s="63">
        <v>3262</v>
      </c>
    </row>
    <row r="32" spans="1:16" ht="15" customHeight="1" x14ac:dyDescent="0.3">
      <c r="A32" s="65">
        <v>3263</v>
      </c>
      <c r="B32" s="53">
        <v>45875</v>
      </c>
      <c r="C32" s="8"/>
      <c r="D32" s="61">
        <v>1</v>
      </c>
      <c r="E32" s="61">
        <v>17</v>
      </c>
      <c r="F32" s="61">
        <v>17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45875</v>
      </c>
      <c r="P32" s="63">
        <v>3263</v>
      </c>
    </row>
    <row r="33" spans="1:16" ht="15" customHeight="1" x14ac:dyDescent="0.3">
      <c r="A33" s="65">
        <v>3264</v>
      </c>
      <c r="B33" s="53">
        <v>45875</v>
      </c>
      <c r="C33" s="8"/>
      <c r="D33" s="61">
        <v>2</v>
      </c>
      <c r="E33" s="61">
        <v>15</v>
      </c>
      <c r="F33" s="61">
        <v>15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45875</v>
      </c>
      <c r="P33" s="63">
        <v>3264</v>
      </c>
    </row>
    <row r="34" spans="1:16" ht="15" customHeight="1" x14ac:dyDescent="0.3">
      <c r="A34" s="65">
        <v>3265</v>
      </c>
      <c r="B34" s="53">
        <v>45872</v>
      </c>
      <c r="C34" s="8"/>
      <c r="D34" s="61">
        <v>3</v>
      </c>
      <c r="E34" s="61">
        <v>13</v>
      </c>
      <c r="F34" s="61">
        <v>13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45872</v>
      </c>
      <c r="P34" s="63">
        <v>3265</v>
      </c>
    </row>
    <row r="35" spans="1:16" ht="15" customHeight="1" x14ac:dyDescent="0.3">
      <c r="A35" s="65">
        <v>3266</v>
      </c>
      <c r="B35" s="53">
        <v>45859</v>
      </c>
      <c r="C35" s="8"/>
      <c r="D35" s="61">
        <v>2</v>
      </c>
      <c r="E35" s="61">
        <v>24</v>
      </c>
      <c r="F35" s="61">
        <v>24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45859</v>
      </c>
      <c r="P35" s="63">
        <v>3266</v>
      </c>
    </row>
    <row r="36" spans="1:16" ht="15" customHeight="1" x14ac:dyDescent="0.3">
      <c r="A36" s="67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65">
        <v>3299</v>
      </c>
      <c r="B37" s="53">
        <v>45887</v>
      </c>
      <c r="C37" s="8"/>
      <c r="D37" s="61">
        <v>2</v>
      </c>
      <c r="E37" s="61">
        <v>14</v>
      </c>
      <c r="F37" s="61">
        <v>14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30</v>
      </c>
      <c r="O37" s="53">
        <v>45887</v>
      </c>
      <c r="P37" s="63">
        <v>3299</v>
      </c>
    </row>
    <row r="38" spans="1:16" ht="15" customHeight="1" x14ac:dyDescent="0.3">
      <c r="A38" s="65">
        <v>3531</v>
      </c>
      <c r="B38" s="53">
        <v>45863</v>
      </c>
      <c r="C38" s="8"/>
      <c r="D38" s="61">
        <v>3</v>
      </c>
      <c r="E38" s="61">
        <v>115</v>
      </c>
      <c r="F38" s="61">
        <v>115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45863</v>
      </c>
      <c r="P38" s="63">
        <v>3531</v>
      </c>
    </row>
    <row r="39" spans="1:16" ht="15" customHeight="1" x14ac:dyDescent="0.3">
      <c r="A39" s="67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3">
        <v>45890</v>
      </c>
      <c r="C42" s="8"/>
      <c r="D42" s="61">
        <v>2</v>
      </c>
      <c r="E42" s="61">
        <v>6</v>
      </c>
      <c r="F42" s="61">
        <v>6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31</v>
      </c>
      <c r="O42" s="53">
        <v>45890</v>
      </c>
      <c r="P42" s="63">
        <v>3535</v>
      </c>
    </row>
    <row r="43" spans="1:16" ht="15" customHeight="1" x14ac:dyDescent="0.3">
      <c r="A43" s="65">
        <v>3536</v>
      </c>
      <c r="B43" s="53">
        <v>45942</v>
      </c>
      <c r="C43" s="8"/>
      <c r="D43" s="61">
        <v>2</v>
      </c>
      <c r="E43" s="61">
        <v>9</v>
      </c>
      <c r="F43" s="61">
        <v>9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45942</v>
      </c>
      <c r="P43" s="63">
        <v>3536</v>
      </c>
    </row>
    <row r="44" spans="1:16" ht="15" customHeight="1" x14ac:dyDescent="0.3">
      <c r="A44" s="65">
        <v>3537</v>
      </c>
      <c r="B44" s="53">
        <v>45858</v>
      </c>
      <c r="C44" s="8"/>
      <c r="D44" s="61">
        <v>1</v>
      </c>
      <c r="E44" s="61">
        <v>9</v>
      </c>
      <c r="F44" s="61">
        <v>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45858</v>
      </c>
      <c r="P44" s="63">
        <v>3537</v>
      </c>
    </row>
    <row r="45" spans="1:16" ht="15" customHeight="1" x14ac:dyDescent="0.3">
      <c r="A45" s="65">
        <v>3538</v>
      </c>
      <c r="B45" s="53">
        <v>45883</v>
      </c>
      <c r="C45" s="8"/>
      <c r="D45" s="61">
        <v>3</v>
      </c>
      <c r="E45" s="61">
        <v>28</v>
      </c>
      <c r="F45" s="61">
        <v>28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45883</v>
      </c>
      <c r="P45" s="63">
        <v>3538</v>
      </c>
    </row>
    <row r="46" spans="1:16" ht="15" customHeight="1" x14ac:dyDescent="0.3">
      <c r="A46" s="70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3">
        <v>45879</v>
      </c>
      <c r="C47" s="8"/>
      <c r="D47" s="61">
        <v>1</v>
      </c>
      <c r="E47" s="61">
        <v>19</v>
      </c>
      <c r="F47" s="61">
        <v>19</v>
      </c>
      <c r="G47" s="61">
        <v>0</v>
      </c>
      <c r="H47" s="61">
        <v>0</v>
      </c>
      <c r="I47" s="57"/>
      <c r="J47" s="61"/>
      <c r="K47" s="57"/>
      <c r="L47" s="61"/>
      <c r="M47" s="22" t="s">
        <v>29</v>
      </c>
      <c r="N47" s="25" t="s">
        <v>14</v>
      </c>
      <c r="O47" s="53">
        <v>45879</v>
      </c>
      <c r="P47" s="63">
        <v>3541</v>
      </c>
    </row>
    <row r="48" spans="1:16" ht="15" customHeight="1" x14ac:dyDescent="0.3">
      <c r="A48" s="65">
        <v>3542</v>
      </c>
      <c r="B48" s="53">
        <v>45834</v>
      </c>
      <c r="C48" s="8"/>
      <c r="D48" s="61">
        <v>3</v>
      </c>
      <c r="E48" s="61">
        <v>193</v>
      </c>
      <c r="F48" s="61">
        <v>193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45834</v>
      </c>
      <c r="P48" s="63">
        <v>3542</v>
      </c>
    </row>
    <row r="49" spans="1:16" ht="15" customHeight="1" x14ac:dyDescent="0.3">
      <c r="A49" s="67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67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65">
        <v>3545</v>
      </c>
      <c r="B51" s="53">
        <v>45872</v>
      </c>
      <c r="C51" s="8"/>
      <c r="D51" s="61">
        <v>1</v>
      </c>
      <c r="E51" s="61">
        <v>38</v>
      </c>
      <c r="F51" s="61">
        <v>38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45872</v>
      </c>
      <c r="P51" s="63">
        <v>3545</v>
      </c>
    </row>
    <row r="52" spans="1:16" ht="15" customHeight="1" x14ac:dyDescent="0.3">
      <c r="A52" s="6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65">
        <v>3547</v>
      </c>
      <c r="B53" s="53">
        <v>45859</v>
      </c>
      <c r="C53" s="8"/>
      <c r="D53" s="61">
        <v>1</v>
      </c>
      <c r="E53" s="61">
        <v>16</v>
      </c>
      <c r="F53" s="61">
        <v>16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45859</v>
      </c>
      <c r="P53" s="63">
        <v>3547</v>
      </c>
    </row>
    <row r="54" spans="1:16" ht="15" customHeight="1" x14ac:dyDescent="0.3">
      <c r="A54" s="65">
        <v>3548</v>
      </c>
      <c r="B54" s="53">
        <v>45859</v>
      </c>
      <c r="C54" s="8"/>
      <c r="D54" s="61">
        <v>2</v>
      </c>
      <c r="E54" s="61">
        <v>41</v>
      </c>
      <c r="F54" s="61">
        <v>41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45859</v>
      </c>
      <c r="P54" s="63">
        <v>3548</v>
      </c>
    </row>
    <row r="55" spans="1:16" ht="15" customHeight="1" x14ac:dyDescent="0.3">
      <c r="A55" s="65">
        <v>3549</v>
      </c>
      <c r="B55" s="53">
        <v>45858</v>
      </c>
      <c r="C55" s="8"/>
      <c r="D55" s="61">
        <v>2</v>
      </c>
      <c r="E55" s="61">
        <v>97</v>
      </c>
      <c r="F55" s="61">
        <v>97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45858</v>
      </c>
      <c r="P55" s="63">
        <v>3549</v>
      </c>
    </row>
    <row r="56" spans="1:16" ht="15" customHeight="1" x14ac:dyDescent="0.3">
      <c r="A56" s="65">
        <v>3550</v>
      </c>
      <c r="B56" s="53">
        <v>45887</v>
      </c>
      <c r="C56" s="8"/>
      <c r="D56" s="61">
        <v>3</v>
      </c>
      <c r="E56" s="61">
        <v>92</v>
      </c>
      <c r="F56" s="61">
        <v>92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30</v>
      </c>
      <c r="O56" s="53">
        <v>45887</v>
      </c>
      <c r="P56" s="63">
        <v>3550</v>
      </c>
    </row>
    <row r="57" spans="1:16" ht="15" customHeight="1" x14ac:dyDescent="0.3">
      <c r="A57" s="70">
        <v>3551</v>
      </c>
      <c r="B57" s="53">
        <v>45894</v>
      </c>
      <c r="C57" s="8"/>
      <c r="D57" s="61">
        <v>1</v>
      </c>
      <c r="E57" s="61">
        <v>6</v>
      </c>
      <c r="F57" s="61">
        <v>6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31</v>
      </c>
      <c r="O57" s="53">
        <v>45894</v>
      </c>
      <c r="P57" s="63">
        <v>3551</v>
      </c>
    </row>
    <row r="58" spans="1:16" ht="15" customHeight="1" x14ac:dyDescent="0.3">
      <c r="A58" s="65">
        <v>3552</v>
      </c>
      <c r="B58" s="53">
        <v>45888</v>
      </c>
      <c r="C58" s="8"/>
      <c r="D58" s="61">
        <v>1</v>
      </c>
      <c r="E58" s="61">
        <v>2</v>
      </c>
      <c r="F58" s="61">
        <v>2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30</v>
      </c>
      <c r="O58" s="53">
        <v>45888</v>
      </c>
      <c r="P58" s="63">
        <v>3552</v>
      </c>
    </row>
    <row r="59" spans="1:16" ht="15" customHeight="1" x14ac:dyDescent="0.3">
      <c r="A59" s="65">
        <v>3553</v>
      </c>
      <c r="B59" s="53">
        <v>45853</v>
      </c>
      <c r="C59" s="8"/>
      <c r="D59" s="61">
        <v>1</v>
      </c>
      <c r="E59" s="61">
        <v>35</v>
      </c>
      <c r="F59" s="61">
        <v>35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45853</v>
      </c>
      <c r="P59" s="63">
        <v>3553</v>
      </c>
    </row>
    <row r="60" spans="1:16" ht="15" customHeight="1" x14ac:dyDescent="0.3">
      <c r="A60" s="67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65">
        <v>3555</v>
      </c>
      <c r="B61" s="53">
        <v>45893</v>
      </c>
      <c r="C61" s="8"/>
      <c r="D61" s="61">
        <v>1</v>
      </c>
      <c r="E61" s="61">
        <v>18</v>
      </c>
      <c r="F61" s="61">
        <v>18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31</v>
      </c>
      <c r="O61" s="53">
        <v>45893</v>
      </c>
      <c r="P61" s="63">
        <v>3555</v>
      </c>
    </row>
    <row r="62" spans="1:16" ht="15" customHeight="1" x14ac:dyDescent="0.3">
      <c r="A62" s="65">
        <v>3556</v>
      </c>
      <c r="B62" s="53">
        <v>45896</v>
      </c>
      <c r="C62" s="8"/>
      <c r="D62" s="61">
        <v>3</v>
      </c>
      <c r="E62" s="61">
        <v>121</v>
      </c>
      <c r="F62" s="61">
        <v>121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31</v>
      </c>
      <c r="O62" s="53">
        <v>45896</v>
      </c>
      <c r="P62" s="63">
        <v>3556</v>
      </c>
    </row>
    <row r="63" spans="1:16" ht="15" customHeight="1" x14ac:dyDescent="0.3">
      <c r="A63" s="65">
        <v>3557</v>
      </c>
      <c r="B63" s="53">
        <v>45839</v>
      </c>
      <c r="C63" s="8"/>
      <c r="D63" s="61">
        <v>1</v>
      </c>
      <c r="E63" s="61">
        <v>16</v>
      </c>
      <c r="F63" s="61">
        <v>16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45839</v>
      </c>
      <c r="P63" s="63">
        <v>3557</v>
      </c>
    </row>
    <row r="64" spans="1:16" ht="15" customHeight="1" x14ac:dyDescent="0.3">
      <c r="A64" s="65">
        <v>3558</v>
      </c>
      <c r="B64" s="53">
        <v>45873</v>
      </c>
      <c r="C64" s="8"/>
      <c r="D64" s="61">
        <v>2</v>
      </c>
      <c r="E64" s="61">
        <v>36</v>
      </c>
      <c r="F64" s="61">
        <v>36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45873</v>
      </c>
      <c r="P64" s="63">
        <v>3558</v>
      </c>
    </row>
    <row r="65" spans="1:16" ht="15" customHeight="1" x14ac:dyDescent="0.3">
      <c r="A65" s="65">
        <v>3559</v>
      </c>
      <c r="B65" s="53">
        <v>45844</v>
      </c>
      <c r="C65" s="8"/>
      <c r="D65" s="61">
        <v>2</v>
      </c>
      <c r="E65" s="61">
        <v>63</v>
      </c>
      <c r="F65" s="61">
        <v>43</v>
      </c>
      <c r="G65" s="61">
        <v>20</v>
      </c>
      <c r="H65" s="61">
        <v>1</v>
      </c>
      <c r="I65" s="57">
        <v>45846</v>
      </c>
      <c r="J65" s="61">
        <v>20</v>
      </c>
      <c r="K65" s="57"/>
      <c r="L65" s="61"/>
      <c r="M65" s="22" t="s">
        <v>24</v>
      </c>
      <c r="N65" s="25" t="s">
        <v>14</v>
      </c>
      <c r="O65" s="53">
        <v>45846</v>
      </c>
      <c r="P65" s="63">
        <v>3559</v>
      </c>
    </row>
    <row r="66" spans="1:16" ht="15" customHeight="1" x14ac:dyDescent="0.3">
      <c r="A66" s="65">
        <v>3560</v>
      </c>
      <c r="B66" s="53">
        <v>45881</v>
      </c>
      <c r="C66" s="8"/>
      <c r="D66" s="61">
        <v>3</v>
      </c>
      <c r="E66" s="61">
        <v>40</v>
      </c>
      <c r="F66" s="61">
        <v>40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45881</v>
      </c>
      <c r="P66" s="63">
        <v>3560</v>
      </c>
    </row>
    <row r="67" spans="1:16" ht="15" customHeight="1" x14ac:dyDescent="0.3">
      <c r="A67" s="65">
        <v>3561</v>
      </c>
      <c r="B67" s="53">
        <v>45842</v>
      </c>
      <c r="C67" s="8"/>
      <c r="D67" s="61">
        <v>2</v>
      </c>
      <c r="E67" s="61">
        <v>11</v>
      </c>
      <c r="F67" s="61">
        <v>11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45842</v>
      </c>
      <c r="P67" s="63">
        <v>3561</v>
      </c>
    </row>
    <row r="68" spans="1:16" ht="18.75" x14ac:dyDescent="0.3">
      <c r="A68" s="65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65">
        <v>3563</v>
      </c>
      <c r="B69" s="53">
        <v>45916</v>
      </c>
      <c r="C69" s="8"/>
      <c r="D69" s="61">
        <v>3</v>
      </c>
      <c r="E69" s="61">
        <v>67</v>
      </c>
      <c r="F69" s="61">
        <v>67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45916</v>
      </c>
      <c r="P69" s="63">
        <v>3563</v>
      </c>
    </row>
    <row r="70" spans="1:16" ht="18.75" x14ac:dyDescent="0.3">
      <c r="A70" s="65">
        <v>3564</v>
      </c>
      <c r="B70" s="53">
        <v>45836</v>
      </c>
      <c r="C70" s="8"/>
      <c r="D70" s="61">
        <v>2</v>
      </c>
      <c r="E70" s="61">
        <v>15</v>
      </c>
      <c r="F70" s="61">
        <v>15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45836</v>
      </c>
      <c r="P70" s="63">
        <v>3564</v>
      </c>
    </row>
    <row r="71" spans="1:16" ht="18.75" x14ac:dyDescent="0.3">
      <c r="A71" s="65">
        <v>3565</v>
      </c>
      <c r="B71" s="53">
        <v>45852</v>
      </c>
      <c r="C71" s="8"/>
      <c r="D71" s="61">
        <v>2</v>
      </c>
      <c r="E71" s="61">
        <v>23</v>
      </c>
      <c r="F71" s="61">
        <v>23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45852</v>
      </c>
      <c r="P71" s="63">
        <v>3565</v>
      </c>
    </row>
    <row r="72" spans="1:16" ht="18.75" x14ac:dyDescent="0.3">
      <c r="A72" s="65">
        <v>3566</v>
      </c>
      <c r="B72" s="53">
        <v>45862</v>
      </c>
      <c r="C72" s="8"/>
      <c r="D72" s="61">
        <v>3</v>
      </c>
      <c r="E72" s="61">
        <v>21</v>
      </c>
      <c r="F72" s="61">
        <v>21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45862</v>
      </c>
      <c r="P72" s="63">
        <v>3566</v>
      </c>
    </row>
    <row r="73" spans="1:16" ht="18.75" x14ac:dyDescent="0.3">
      <c r="A73" s="69">
        <v>3567</v>
      </c>
      <c r="B73" s="53">
        <v>45860</v>
      </c>
      <c r="C73" s="8"/>
      <c r="D73" s="61">
        <v>3</v>
      </c>
      <c r="E73" s="61">
        <v>51</v>
      </c>
      <c r="F73" s="61">
        <v>51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45860</v>
      </c>
      <c r="P73" s="63">
        <v>3567</v>
      </c>
    </row>
    <row r="74" spans="1:16" x14ac:dyDescent="0.25">
      <c r="P74" s="30"/>
    </row>
    <row r="75" spans="1:16" x14ac:dyDescent="0.25">
      <c r="P75" s="30"/>
    </row>
    <row r="76" spans="1:16" x14ac:dyDescent="0.25">
      <c r="P76" s="30"/>
    </row>
    <row r="77" spans="1:16" x14ac:dyDescent="0.25">
      <c r="P77" s="30"/>
    </row>
    <row r="78" spans="1:16" x14ac:dyDescent="0.25">
      <c r="P78" s="30"/>
    </row>
    <row r="79" spans="1:16" x14ac:dyDescent="0.25">
      <c r="P79" s="30"/>
    </row>
    <row r="80" spans="1:16" x14ac:dyDescent="0.25">
      <c r="P80" s="30"/>
    </row>
    <row r="81" spans="16:16" x14ac:dyDescent="0.25">
      <c r="P81" s="30"/>
    </row>
    <row r="82" spans="16:16" x14ac:dyDescent="0.25">
      <c r="P82" s="30"/>
    </row>
    <row r="83" spans="16:16" x14ac:dyDescent="0.25">
      <c r="P83" s="30"/>
    </row>
    <row r="84" spans="16:16" x14ac:dyDescent="0.25">
      <c r="P84" s="30"/>
    </row>
    <row r="85" spans="16:16" x14ac:dyDescent="0.25">
      <c r="P85" s="30"/>
    </row>
    <row r="86" spans="16:16" x14ac:dyDescent="0.25">
      <c r="P86" s="30"/>
    </row>
    <row r="87" spans="16:16" x14ac:dyDescent="0.25">
      <c r="P87" s="30"/>
    </row>
    <row r="88" spans="16:16" x14ac:dyDescent="0.25">
      <c r="P88" s="30"/>
    </row>
    <row r="89" spans="16:16" x14ac:dyDescent="0.25">
      <c r="P89" s="30"/>
    </row>
    <row r="90" spans="16:16" x14ac:dyDescent="0.25">
      <c r="P90" s="30"/>
    </row>
    <row r="91" spans="16:16" x14ac:dyDescent="0.25">
      <c r="P91" s="30"/>
    </row>
    <row r="92" spans="16:16" x14ac:dyDescent="0.25">
      <c r="P92" s="30"/>
    </row>
    <row r="93" spans="16:16" x14ac:dyDescent="0.25">
      <c r="P93" s="30"/>
    </row>
    <row r="94" spans="16:16" x14ac:dyDescent="0.25">
      <c r="P94" s="30"/>
    </row>
    <row r="95" spans="16:16" x14ac:dyDescent="0.25">
      <c r="P95" s="30"/>
    </row>
    <row r="96" spans="16:16" x14ac:dyDescent="0.25">
      <c r="P96" s="31"/>
    </row>
    <row r="97" spans="16:16" x14ac:dyDescent="0.25">
      <c r="P97" s="30"/>
    </row>
    <row r="98" spans="16:16" x14ac:dyDescent="0.25">
      <c r="P98" s="30"/>
    </row>
    <row r="99" spans="16:16" x14ac:dyDescent="0.25">
      <c r="P99" s="30"/>
    </row>
    <row r="100" spans="16:16" x14ac:dyDescent="0.25">
      <c r="P100" s="30"/>
    </row>
    <row r="101" spans="16:16" x14ac:dyDescent="0.25">
      <c r="P101" s="30"/>
    </row>
    <row r="102" spans="16:16" x14ac:dyDescent="0.25">
      <c r="P102" s="30"/>
    </row>
    <row r="103" spans="16:16" x14ac:dyDescent="0.25">
      <c r="P103" s="30"/>
    </row>
    <row r="104" spans="16:16" x14ac:dyDescent="0.25">
      <c r="P104" s="30"/>
    </row>
    <row r="105" spans="16:16" x14ac:dyDescent="0.25">
      <c r="P105" s="30"/>
    </row>
    <row r="106" spans="16:16" x14ac:dyDescent="0.25">
      <c r="P106" s="30"/>
    </row>
    <row r="107" spans="16:16" x14ac:dyDescent="0.25">
      <c r="P107" s="30"/>
    </row>
    <row r="108" spans="16:16" x14ac:dyDescent="0.25">
      <c r="P108" s="30"/>
    </row>
    <row r="109" spans="16:16" x14ac:dyDescent="0.25">
      <c r="P109" s="30"/>
    </row>
    <row r="110" spans="16:16" x14ac:dyDescent="0.25">
      <c r="P110" s="30"/>
    </row>
    <row r="111" spans="16:16" x14ac:dyDescent="0.25">
      <c r="P111" s="30"/>
    </row>
    <row r="112" spans="16:16" x14ac:dyDescent="0.25">
      <c r="P112" s="30"/>
    </row>
    <row r="113" spans="16:16" x14ac:dyDescent="0.25">
      <c r="P113" s="30"/>
    </row>
    <row r="114" spans="16:16" x14ac:dyDescent="0.25">
      <c r="P114" s="30"/>
    </row>
    <row r="115" spans="16:16" x14ac:dyDescent="0.25">
      <c r="P115" s="30"/>
    </row>
    <row r="116" spans="16:16" x14ac:dyDescent="0.25">
      <c r="P116" s="30"/>
    </row>
    <row r="117" spans="16:16" x14ac:dyDescent="0.25">
      <c r="P117" s="30"/>
    </row>
    <row r="118" spans="16:16" x14ac:dyDescent="0.25">
      <c r="P118" s="30"/>
    </row>
    <row r="119" spans="16:16" x14ac:dyDescent="0.25">
      <c r="P119" s="30"/>
    </row>
    <row r="120" spans="16:16" x14ac:dyDescent="0.25">
      <c r="P120" s="30"/>
    </row>
    <row r="121" spans="16:16" x14ac:dyDescent="0.25">
      <c r="P121" s="30"/>
    </row>
    <row r="122" spans="16:16" x14ac:dyDescent="0.25">
      <c r="P122" s="30"/>
    </row>
    <row r="123" spans="16:16" x14ac:dyDescent="0.25">
      <c r="P123" s="30"/>
    </row>
    <row r="124" spans="16:16" x14ac:dyDescent="0.25">
      <c r="P124" s="30"/>
    </row>
    <row r="125" spans="16:16" x14ac:dyDescent="0.25">
      <c r="P125" s="30"/>
    </row>
    <row r="126" spans="16:16" x14ac:dyDescent="0.25">
      <c r="P126" s="30"/>
    </row>
    <row r="127" spans="16:16" x14ac:dyDescent="0.25">
      <c r="P127" s="30"/>
    </row>
    <row r="128" spans="16:16" x14ac:dyDescent="0.25">
      <c r="P128" s="30"/>
    </row>
    <row r="129" spans="16:16" x14ac:dyDescent="0.25">
      <c r="P129" s="30"/>
    </row>
    <row r="130" spans="16:16" x14ac:dyDescent="0.25">
      <c r="P130" s="30"/>
    </row>
    <row r="131" spans="16:16" x14ac:dyDescent="0.25">
      <c r="P131" s="30"/>
    </row>
    <row r="132" spans="16:16" x14ac:dyDescent="0.25">
      <c r="P132" s="30"/>
    </row>
    <row r="133" spans="16:16" x14ac:dyDescent="0.25">
      <c r="P133" s="30"/>
    </row>
    <row r="134" spans="16:16" x14ac:dyDescent="0.25">
      <c r="P134" s="30"/>
    </row>
    <row r="135" spans="16:16" x14ac:dyDescent="0.25">
      <c r="P135" s="30"/>
    </row>
    <row r="136" spans="16:16" x14ac:dyDescent="0.25">
      <c r="P136" s="30"/>
    </row>
    <row r="137" spans="16:16" x14ac:dyDescent="0.25">
      <c r="P137" s="30"/>
    </row>
    <row r="138" spans="16:16" x14ac:dyDescent="0.25">
      <c r="P138" s="30"/>
    </row>
    <row r="139" spans="16:16" x14ac:dyDescent="0.25">
      <c r="P139" s="30"/>
    </row>
    <row r="140" spans="16:16" x14ac:dyDescent="0.25">
      <c r="P140" s="30"/>
    </row>
    <row r="141" spans="16:16" x14ac:dyDescent="0.25">
      <c r="P141" s="30"/>
    </row>
    <row r="142" spans="16:16" x14ac:dyDescent="0.25">
      <c r="P142" s="30"/>
    </row>
    <row r="143" spans="16:16" x14ac:dyDescent="0.25">
      <c r="P143" s="30"/>
    </row>
    <row r="144" spans="16:16" x14ac:dyDescent="0.25">
      <c r="P144" s="30"/>
    </row>
    <row r="145" spans="16:16" x14ac:dyDescent="0.25">
      <c r="P145" s="30"/>
    </row>
    <row r="146" spans="16:16" x14ac:dyDescent="0.25">
      <c r="P146" s="30"/>
    </row>
    <row r="147" spans="16:16" x14ac:dyDescent="0.25">
      <c r="P147" s="30"/>
    </row>
    <row r="148" spans="16:16" x14ac:dyDescent="0.25">
      <c r="P148" s="30"/>
    </row>
    <row r="149" spans="16:16" x14ac:dyDescent="0.25">
      <c r="P149" s="30"/>
    </row>
    <row r="150" spans="16:16" x14ac:dyDescent="0.25">
      <c r="P150" s="30"/>
    </row>
    <row r="151" spans="16:16" x14ac:dyDescent="0.25">
      <c r="P151" s="30"/>
    </row>
    <row r="152" spans="16:16" x14ac:dyDescent="0.25">
      <c r="P152" s="30"/>
    </row>
    <row r="153" spans="16:16" x14ac:dyDescent="0.25">
      <c r="P153" s="30"/>
    </row>
    <row r="154" spans="16:16" x14ac:dyDescent="0.25">
      <c r="P154" s="30"/>
    </row>
    <row r="155" spans="16:16" x14ac:dyDescent="0.25">
      <c r="P155" s="30"/>
    </row>
    <row r="156" spans="16:16" x14ac:dyDescent="0.25">
      <c r="P156" s="30"/>
    </row>
    <row r="157" spans="16:16" x14ac:dyDescent="0.25">
      <c r="P157" s="30"/>
    </row>
    <row r="158" spans="16:16" x14ac:dyDescent="0.25">
      <c r="P158" s="30"/>
    </row>
    <row r="159" spans="16:16" x14ac:dyDescent="0.25">
      <c r="P159" s="30"/>
    </row>
    <row r="160" spans="16:16" x14ac:dyDescent="0.25">
      <c r="P160" s="30"/>
    </row>
    <row r="161" spans="16:16" x14ac:dyDescent="0.25">
      <c r="P161" s="30"/>
    </row>
    <row r="162" spans="16:16" x14ac:dyDescent="0.25">
      <c r="P162" s="30"/>
    </row>
    <row r="163" spans="16:16" x14ac:dyDescent="0.25">
      <c r="P163" s="30"/>
    </row>
    <row r="164" spans="16:16" x14ac:dyDescent="0.25">
      <c r="P164" s="30"/>
    </row>
    <row r="165" spans="16:16" x14ac:dyDescent="0.25">
      <c r="P165" s="30"/>
    </row>
    <row r="166" spans="16:16" x14ac:dyDescent="0.25">
      <c r="P166" s="30"/>
    </row>
    <row r="167" spans="16:16" x14ac:dyDescent="0.25">
      <c r="P167" s="30"/>
    </row>
    <row r="168" spans="16:16" x14ac:dyDescent="0.25">
      <c r="P168" s="30"/>
    </row>
    <row r="169" spans="16:16" x14ac:dyDescent="0.25">
      <c r="P169" s="30"/>
    </row>
    <row r="170" spans="16:16" x14ac:dyDescent="0.25">
      <c r="P170" s="30"/>
    </row>
    <row r="171" spans="16:16" x14ac:dyDescent="0.25">
      <c r="P171" s="30"/>
    </row>
    <row r="172" spans="16:16" x14ac:dyDescent="0.25">
      <c r="P172" s="30"/>
    </row>
    <row r="173" spans="16:16" x14ac:dyDescent="0.25">
      <c r="P173" s="30"/>
    </row>
    <row r="174" spans="16:16" x14ac:dyDescent="0.25">
      <c r="P174" s="30"/>
    </row>
    <row r="175" spans="16:16" x14ac:dyDescent="0.25">
      <c r="P175" s="30"/>
    </row>
    <row r="176" spans="16:16" x14ac:dyDescent="0.25">
      <c r="P176" s="30"/>
    </row>
    <row r="177" spans="16:16" x14ac:dyDescent="0.25">
      <c r="P177" s="30"/>
    </row>
    <row r="178" spans="16:16" x14ac:dyDescent="0.25">
      <c r="P178" s="30"/>
    </row>
    <row r="179" spans="16:16" x14ac:dyDescent="0.25">
      <c r="P179" s="31"/>
    </row>
    <row r="180" spans="16:16" x14ac:dyDescent="0.25">
      <c r="P180" s="30"/>
    </row>
    <row r="181" spans="16:16" x14ac:dyDescent="0.25">
      <c r="P181" s="30"/>
    </row>
    <row r="182" spans="16:16" x14ac:dyDescent="0.25">
      <c r="P182" s="30"/>
    </row>
    <row r="183" spans="16:16" x14ac:dyDescent="0.25">
      <c r="P183" s="30"/>
    </row>
    <row r="184" spans="16:16" x14ac:dyDescent="0.25">
      <c r="P184" s="30"/>
    </row>
    <row r="185" spans="16:16" x14ac:dyDescent="0.25">
      <c r="P185" s="30"/>
    </row>
    <row r="186" spans="16:16" x14ac:dyDescent="0.25">
      <c r="P186" s="30"/>
    </row>
    <row r="187" spans="16:16" x14ac:dyDescent="0.25">
      <c r="P187" s="30"/>
    </row>
    <row r="188" spans="16:16" x14ac:dyDescent="0.25">
      <c r="P188" s="30"/>
    </row>
    <row r="189" spans="16:16" x14ac:dyDescent="0.25">
      <c r="P189" s="30"/>
    </row>
    <row r="190" spans="16:16" x14ac:dyDescent="0.25">
      <c r="P190" s="30"/>
    </row>
    <row r="191" spans="16:16" x14ac:dyDescent="0.25">
      <c r="P191" s="30"/>
    </row>
    <row r="192" spans="16:16" x14ac:dyDescent="0.25">
      <c r="P192" s="30"/>
    </row>
    <row r="193" spans="16:16" x14ac:dyDescent="0.25">
      <c r="P193" s="30"/>
    </row>
    <row r="194" spans="16:16" x14ac:dyDescent="0.25">
      <c r="P194" s="30"/>
    </row>
    <row r="195" spans="16:16" x14ac:dyDescent="0.25">
      <c r="P195" s="30"/>
    </row>
    <row r="196" spans="16:16" x14ac:dyDescent="0.25">
      <c r="P196" s="30"/>
    </row>
    <row r="197" spans="16:16" x14ac:dyDescent="0.25">
      <c r="P197" s="30"/>
    </row>
    <row r="198" spans="16:16" x14ac:dyDescent="0.25">
      <c r="P198" s="30"/>
    </row>
    <row r="199" spans="16:16" x14ac:dyDescent="0.25">
      <c r="P199" s="30"/>
    </row>
    <row r="200" spans="16:16" x14ac:dyDescent="0.25">
      <c r="P200" s="30"/>
    </row>
    <row r="201" spans="16:16" x14ac:dyDescent="0.25">
      <c r="P201" s="30"/>
    </row>
    <row r="202" spans="16:16" x14ac:dyDescent="0.25">
      <c r="P202" s="30"/>
    </row>
    <row r="203" spans="16:16" x14ac:dyDescent="0.25">
      <c r="P203" s="30"/>
    </row>
    <row r="204" spans="16:16" x14ac:dyDescent="0.25">
      <c r="P204" s="30"/>
    </row>
    <row r="205" spans="16:16" x14ac:dyDescent="0.25">
      <c r="P205" s="30"/>
    </row>
    <row r="206" spans="16:16" x14ac:dyDescent="0.25">
      <c r="P206" s="30"/>
    </row>
    <row r="207" spans="16:16" x14ac:dyDescent="0.25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62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2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9">
        <v>3232</v>
      </c>
      <c r="B3" s="53">
        <v>45900</v>
      </c>
      <c r="C3" s="8"/>
      <c r="D3" s="61">
        <v>4</v>
      </c>
      <c r="E3" s="61">
        <v>18</v>
      </c>
      <c r="F3" s="61">
        <v>18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30</v>
      </c>
      <c r="O3" s="53">
        <v>45900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9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42</v>
      </c>
      <c r="U4" s="21">
        <f>T4/S4</f>
        <v>0.58333333333333337</v>
      </c>
    </row>
    <row r="5" spans="1:21" ht="15" customHeight="1" x14ac:dyDescent="0.3">
      <c r="A5" s="9">
        <v>3234</v>
      </c>
      <c r="B5" s="53">
        <v>45903</v>
      </c>
      <c r="C5" s="8"/>
      <c r="D5" s="61">
        <v>2</v>
      </c>
      <c r="E5" s="61">
        <v>13</v>
      </c>
      <c r="F5" s="61">
        <v>13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>
        <v>45903</v>
      </c>
      <c r="P5" s="63">
        <v>3234</v>
      </c>
    </row>
    <row r="6" spans="1:21" ht="15" customHeight="1" x14ac:dyDescent="0.3">
      <c r="A6" s="9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9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9">
        <v>3237</v>
      </c>
      <c r="B8" s="53">
        <v>45943</v>
      </c>
      <c r="C8" s="8"/>
      <c r="D8" s="61">
        <v>2</v>
      </c>
      <c r="E8" s="61">
        <v>15</v>
      </c>
      <c r="F8" s="61">
        <v>15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45943</v>
      </c>
      <c r="P8" s="63">
        <v>3237</v>
      </c>
    </row>
    <row r="9" spans="1:21" ht="15" customHeight="1" x14ac:dyDescent="0.3">
      <c r="A9" s="9">
        <v>3238</v>
      </c>
      <c r="B9" s="53">
        <v>45870</v>
      </c>
      <c r="C9" s="8"/>
      <c r="D9" s="61">
        <v>3</v>
      </c>
      <c r="E9" s="61">
        <v>68</v>
      </c>
      <c r="F9" s="61">
        <v>68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14</v>
      </c>
      <c r="O9" s="53">
        <v>45870</v>
      </c>
      <c r="P9" s="63">
        <v>3238</v>
      </c>
    </row>
    <row r="10" spans="1:21" ht="15" customHeight="1" x14ac:dyDescent="0.3">
      <c r="A10" s="9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9">
        <v>3240</v>
      </c>
      <c r="B11" s="53">
        <v>45931</v>
      </c>
      <c r="C11" s="8"/>
      <c r="D11" s="61">
        <v>3</v>
      </c>
      <c r="E11" s="61">
        <v>12</v>
      </c>
      <c r="F11" s="61">
        <v>12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45931</v>
      </c>
      <c r="P11" s="63">
        <v>3240</v>
      </c>
    </row>
    <row r="12" spans="1:21" ht="15" customHeight="1" thickBot="1" x14ac:dyDescent="0.35">
      <c r="A12" s="17">
        <v>3241</v>
      </c>
      <c r="B12" s="53">
        <v>45876</v>
      </c>
      <c r="C12" s="8"/>
      <c r="D12" s="61">
        <v>4</v>
      </c>
      <c r="E12" s="61">
        <v>121</v>
      </c>
      <c r="F12" s="61">
        <v>77</v>
      </c>
      <c r="G12" s="61">
        <v>44</v>
      </c>
      <c r="H12" s="61">
        <v>2</v>
      </c>
      <c r="I12" s="57">
        <v>45878</v>
      </c>
      <c r="J12" s="61">
        <v>16</v>
      </c>
      <c r="K12" s="57">
        <v>45881</v>
      </c>
      <c r="L12" s="61">
        <v>28</v>
      </c>
      <c r="M12" s="22" t="s">
        <v>24</v>
      </c>
      <c r="N12" s="25" t="s">
        <v>14</v>
      </c>
      <c r="O12" s="53">
        <v>45881</v>
      </c>
      <c r="P12" s="63">
        <v>3241</v>
      </c>
    </row>
    <row r="13" spans="1:21" ht="15" customHeight="1" x14ac:dyDescent="0.3">
      <c r="A13" s="3">
        <v>3242</v>
      </c>
      <c r="B13" s="53">
        <v>45893</v>
      </c>
      <c r="C13" s="8"/>
      <c r="D13" s="61">
        <v>4</v>
      </c>
      <c r="E13" s="61">
        <v>37</v>
      </c>
      <c r="F13" s="61">
        <v>37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31</v>
      </c>
      <c r="O13" s="53">
        <v>45893</v>
      </c>
      <c r="P13" s="63">
        <v>3242</v>
      </c>
    </row>
    <row r="14" spans="1:21" ht="15" customHeight="1" x14ac:dyDescent="0.3">
      <c r="A14" s="18">
        <v>3243</v>
      </c>
      <c r="B14" s="53">
        <v>45916</v>
      </c>
      <c r="C14" s="8"/>
      <c r="D14" s="61">
        <v>2</v>
      </c>
      <c r="E14" s="61">
        <v>4</v>
      </c>
      <c r="F14" s="61">
        <v>4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45916</v>
      </c>
      <c r="P14" s="63">
        <v>3243</v>
      </c>
    </row>
    <row r="15" spans="1:21" ht="15" customHeight="1" x14ac:dyDescent="0.3">
      <c r="A15" s="18">
        <v>3244</v>
      </c>
      <c r="B15" s="53">
        <v>45896</v>
      </c>
      <c r="C15" s="8"/>
      <c r="D15" s="61">
        <v>1</v>
      </c>
      <c r="E15" s="61">
        <v>1</v>
      </c>
      <c r="F15" s="61">
        <v>1</v>
      </c>
      <c r="G15" s="61">
        <v>0</v>
      </c>
      <c r="H15" s="61">
        <v>0</v>
      </c>
      <c r="I15" s="57"/>
      <c r="J15" s="61"/>
      <c r="K15" s="57"/>
      <c r="L15" s="61"/>
      <c r="M15" s="22" t="s">
        <v>24</v>
      </c>
      <c r="N15" s="25" t="s">
        <v>31</v>
      </c>
      <c r="O15" s="53">
        <v>45896</v>
      </c>
      <c r="P15" s="63">
        <v>3244</v>
      </c>
    </row>
    <row r="16" spans="1:21" ht="15" customHeight="1" x14ac:dyDescent="0.3">
      <c r="A16" s="18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18">
        <v>3246</v>
      </c>
      <c r="B17" s="53">
        <v>45918</v>
      </c>
      <c r="C17" s="8"/>
      <c r="D17" s="61">
        <v>2</v>
      </c>
      <c r="E17" s="61">
        <v>12</v>
      </c>
      <c r="F17" s="61">
        <v>12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14</v>
      </c>
      <c r="O17" s="53">
        <v>45918</v>
      </c>
      <c r="P17" s="63">
        <v>3246</v>
      </c>
    </row>
    <row r="18" spans="1:16" ht="15" customHeight="1" x14ac:dyDescent="0.3">
      <c r="A18" s="18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18">
        <v>3248</v>
      </c>
      <c r="B19" s="53">
        <v>45906</v>
      </c>
      <c r="C19" s="8"/>
      <c r="D19" s="61">
        <v>1</v>
      </c>
      <c r="E19" s="61">
        <v>10</v>
      </c>
      <c r="F19" s="61">
        <v>10</v>
      </c>
      <c r="G19" s="61">
        <v>0</v>
      </c>
      <c r="H19" s="61">
        <v>0</v>
      </c>
      <c r="I19" s="57"/>
      <c r="J19" s="61"/>
      <c r="K19" s="57"/>
      <c r="L19" s="61"/>
      <c r="M19" s="22" t="s">
        <v>29</v>
      </c>
      <c r="N19" s="25" t="s">
        <v>14</v>
      </c>
      <c r="O19" s="53">
        <v>45906</v>
      </c>
      <c r="P19" s="63">
        <v>3248</v>
      </c>
    </row>
    <row r="20" spans="1:16" ht="15" customHeight="1" x14ac:dyDescent="0.3">
      <c r="A20" s="18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18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18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19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3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18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18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18">
        <v>3258</v>
      </c>
      <c r="B27" s="53">
        <v>45880</v>
      </c>
      <c r="C27" s="8"/>
      <c r="D27" s="61">
        <v>2</v>
      </c>
      <c r="E27" s="61">
        <v>38</v>
      </c>
      <c r="F27" s="61">
        <v>38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45880</v>
      </c>
      <c r="P27" s="63">
        <v>3258</v>
      </c>
    </row>
    <row r="28" spans="1:16" ht="15" customHeight="1" x14ac:dyDescent="0.3">
      <c r="A28" s="18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18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18">
        <v>3261</v>
      </c>
      <c r="B30" s="53">
        <v>45890</v>
      </c>
      <c r="C30" s="8"/>
      <c r="D30" s="61">
        <v>2</v>
      </c>
      <c r="E30" s="61">
        <v>10</v>
      </c>
      <c r="F30" s="61">
        <v>10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31</v>
      </c>
      <c r="O30" s="53">
        <v>45890</v>
      </c>
      <c r="P30" s="63">
        <v>3261</v>
      </c>
    </row>
    <row r="31" spans="1:16" ht="15" customHeight="1" x14ac:dyDescent="0.3">
      <c r="A31" s="18">
        <v>3262</v>
      </c>
      <c r="B31" s="53">
        <v>45869</v>
      </c>
      <c r="C31" s="8"/>
      <c r="D31" s="61">
        <v>3</v>
      </c>
      <c r="E31" s="61">
        <v>9</v>
      </c>
      <c r="F31" s="61">
        <v>9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45869</v>
      </c>
      <c r="P31" s="63">
        <v>3262</v>
      </c>
    </row>
    <row r="32" spans="1:16" ht="15" customHeight="1" x14ac:dyDescent="0.3">
      <c r="A32" s="18">
        <v>3263</v>
      </c>
      <c r="B32" s="53">
        <v>45894</v>
      </c>
      <c r="C32" s="8"/>
      <c r="D32" s="61">
        <v>1</v>
      </c>
      <c r="E32" s="61">
        <v>1</v>
      </c>
      <c r="F32" s="61">
        <v>1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31</v>
      </c>
      <c r="O32" s="53">
        <v>45894</v>
      </c>
      <c r="P32" s="63">
        <v>3263</v>
      </c>
    </row>
    <row r="33" spans="1:16" ht="15" customHeight="1" x14ac:dyDescent="0.3">
      <c r="A33" s="18">
        <v>3264</v>
      </c>
      <c r="B33" s="53">
        <v>45889</v>
      </c>
      <c r="C33" s="8"/>
      <c r="D33" s="61">
        <v>1</v>
      </c>
      <c r="E33" s="61">
        <v>1</v>
      </c>
      <c r="F33" s="61">
        <v>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31</v>
      </c>
      <c r="O33" s="53">
        <v>45889</v>
      </c>
      <c r="P33" s="63">
        <v>3264</v>
      </c>
    </row>
    <row r="34" spans="1:16" ht="15" customHeight="1" thickBot="1" x14ac:dyDescent="0.35">
      <c r="A34" s="19">
        <v>3265</v>
      </c>
      <c r="B34" s="53">
        <v>45930</v>
      </c>
      <c r="C34" s="8"/>
      <c r="D34" s="61">
        <v>2</v>
      </c>
      <c r="E34" s="61">
        <v>24</v>
      </c>
      <c r="F34" s="61">
        <v>24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45930</v>
      </c>
      <c r="P34" s="63">
        <v>3264</v>
      </c>
    </row>
    <row r="35" spans="1:16" ht="15" customHeight="1" x14ac:dyDescent="0.3">
      <c r="A35" s="3">
        <v>3266</v>
      </c>
      <c r="B35" s="53">
        <v>45882</v>
      </c>
      <c r="C35" s="8"/>
      <c r="D35" s="61">
        <v>2</v>
      </c>
      <c r="E35" s="61">
        <v>35</v>
      </c>
      <c r="F35" s="61">
        <v>35</v>
      </c>
      <c r="G35" s="61">
        <v>0</v>
      </c>
      <c r="H35" s="61">
        <v>0</v>
      </c>
      <c r="I35" s="57"/>
      <c r="J35" s="61"/>
      <c r="K35" s="57"/>
      <c r="L35" s="61"/>
      <c r="M35" s="22" t="s">
        <v>29</v>
      </c>
      <c r="N35" s="25" t="s">
        <v>14</v>
      </c>
      <c r="O35" s="53">
        <v>45882</v>
      </c>
      <c r="P35" s="63">
        <v>3266</v>
      </c>
    </row>
    <row r="36" spans="1:16" ht="15" customHeight="1" x14ac:dyDescent="0.3">
      <c r="A36" s="18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18">
        <v>3299</v>
      </c>
      <c r="B37" s="53">
        <v>45917</v>
      </c>
      <c r="C37" s="8"/>
      <c r="D37" s="61">
        <v>1</v>
      </c>
      <c r="E37" s="61">
        <v>9</v>
      </c>
      <c r="F37" s="61">
        <v>9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45917</v>
      </c>
      <c r="P37" s="63">
        <v>3299</v>
      </c>
    </row>
    <row r="38" spans="1:16" ht="15" customHeight="1" x14ac:dyDescent="0.3">
      <c r="A38" s="18">
        <v>3531</v>
      </c>
      <c r="B38" s="53">
        <v>45869</v>
      </c>
      <c r="C38" s="8"/>
      <c r="D38" s="61">
        <v>1</v>
      </c>
      <c r="E38" s="61">
        <v>22</v>
      </c>
      <c r="F38" s="61">
        <v>22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45869</v>
      </c>
      <c r="P38" s="63">
        <v>3531</v>
      </c>
    </row>
    <row r="39" spans="1:16" ht="15" customHeight="1" x14ac:dyDescent="0.3">
      <c r="A39" s="18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18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18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18">
        <v>3535</v>
      </c>
      <c r="B42" s="53">
        <v>45907</v>
      </c>
      <c r="C42" s="8"/>
      <c r="D42" s="61">
        <v>1</v>
      </c>
      <c r="E42" s="61">
        <v>16</v>
      </c>
      <c r="F42" s="61">
        <v>16</v>
      </c>
      <c r="G42" s="61">
        <v>0</v>
      </c>
      <c r="H42" s="61">
        <v>0</v>
      </c>
      <c r="I42" s="57"/>
      <c r="J42" s="61"/>
      <c r="K42" s="57"/>
      <c r="L42" s="61"/>
      <c r="M42" s="22" t="s">
        <v>29</v>
      </c>
      <c r="N42" s="25" t="s">
        <v>30</v>
      </c>
      <c r="O42" s="53">
        <v>45907</v>
      </c>
      <c r="P42" s="63">
        <v>3535</v>
      </c>
    </row>
    <row r="43" spans="1:16" ht="15" customHeight="1" x14ac:dyDescent="0.3">
      <c r="A43" s="18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18">
        <v>3537</v>
      </c>
      <c r="B44" s="53">
        <v>45880</v>
      </c>
      <c r="C44" s="8"/>
      <c r="D44" s="61">
        <v>3</v>
      </c>
      <c r="E44" s="61">
        <v>69</v>
      </c>
      <c r="F44" s="61">
        <v>69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45880</v>
      </c>
      <c r="P44" s="63">
        <v>3537</v>
      </c>
    </row>
    <row r="45" spans="1:16" ht="15" customHeight="1" thickBot="1" x14ac:dyDescent="0.35">
      <c r="A45" s="19">
        <v>3538</v>
      </c>
      <c r="B45" s="53">
        <v>45909</v>
      </c>
      <c r="C45" s="8"/>
      <c r="D45" s="61">
        <v>2</v>
      </c>
      <c r="E45" s="61">
        <v>16</v>
      </c>
      <c r="F45" s="61">
        <v>10</v>
      </c>
      <c r="G45" s="61">
        <v>6</v>
      </c>
      <c r="H45" s="61">
        <v>1</v>
      </c>
      <c r="I45" s="57"/>
      <c r="J45" s="61"/>
      <c r="K45" s="57"/>
      <c r="L45" s="61"/>
      <c r="M45" s="22" t="s">
        <v>24</v>
      </c>
      <c r="N45" s="25"/>
      <c r="O45" s="53"/>
      <c r="P45" s="63"/>
    </row>
    <row r="46" spans="1:16" ht="15" customHeight="1" x14ac:dyDescent="0.3">
      <c r="A46" s="3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18">
        <v>3541</v>
      </c>
      <c r="B47" s="53">
        <v>45895</v>
      </c>
      <c r="C47" s="8"/>
      <c r="D47" s="61">
        <v>1</v>
      </c>
      <c r="E47" s="61">
        <v>40</v>
      </c>
      <c r="F47" s="61">
        <v>40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31</v>
      </c>
      <c r="O47" s="53">
        <v>45895</v>
      </c>
      <c r="P47" s="63">
        <v>3541</v>
      </c>
    </row>
    <row r="48" spans="1:16" ht="15" customHeight="1" x14ac:dyDescent="0.3">
      <c r="A48" s="18">
        <v>3542</v>
      </c>
      <c r="B48" s="53">
        <v>45854</v>
      </c>
      <c r="C48" s="8"/>
      <c r="D48" s="61">
        <v>3</v>
      </c>
      <c r="E48" s="61">
        <v>74</v>
      </c>
      <c r="F48" s="61">
        <v>74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45854</v>
      </c>
      <c r="P48" s="63">
        <v>3542</v>
      </c>
    </row>
    <row r="49" spans="1:16" ht="15" customHeight="1" x14ac:dyDescent="0.3">
      <c r="A49" s="18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18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18">
        <v>3545</v>
      </c>
      <c r="B51" s="53">
        <v>45900</v>
      </c>
      <c r="C51" s="8"/>
      <c r="D51" s="61">
        <v>3</v>
      </c>
      <c r="E51" s="61">
        <v>54</v>
      </c>
      <c r="F51" s="61">
        <v>54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30</v>
      </c>
      <c r="O51" s="53">
        <v>45900</v>
      </c>
      <c r="P51" s="63">
        <v>3545</v>
      </c>
    </row>
    <row r="52" spans="1:16" ht="15" customHeight="1" x14ac:dyDescent="0.3">
      <c r="A52" s="18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18">
        <v>3547</v>
      </c>
      <c r="B53" s="53">
        <v>45873</v>
      </c>
      <c r="C53" s="8"/>
      <c r="D53" s="61">
        <v>1</v>
      </c>
      <c r="E53" s="61">
        <v>20</v>
      </c>
      <c r="F53" s="61">
        <v>20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45873</v>
      </c>
      <c r="P53" s="63">
        <v>3547</v>
      </c>
    </row>
    <row r="54" spans="1:16" ht="15" customHeight="1" x14ac:dyDescent="0.3">
      <c r="A54" s="18">
        <v>3548</v>
      </c>
      <c r="B54" s="53">
        <v>45882</v>
      </c>
      <c r="C54" s="8"/>
      <c r="D54" s="61">
        <v>2</v>
      </c>
      <c r="E54" s="61">
        <v>18</v>
      </c>
      <c r="F54" s="61">
        <v>18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45882</v>
      </c>
      <c r="P54" s="63">
        <v>3548</v>
      </c>
    </row>
    <row r="55" spans="1:16" ht="15" customHeight="1" x14ac:dyDescent="0.3">
      <c r="A55" s="18">
        <v>3549</v>
      </c>
      <c r="B55" s="53">
        <v>45868</v>
      </c>
      <c r="C55" s="8"/>
      <c r="D55" s="61">
        <v>1</v>
      </c>
      <c r="E55" s="61">
        <v>10</v>
      </c>
      <c r="F55" s="61">
        <v>10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45868</v>
      </c>
      <c r="P55" s="63">
        <v>3549</v>
      </c>
    </row>
    <row r="56" spans="1:16" ht="15" customHeight="1" thickBot="1" x14ac:dyDescent="0.35">
      <c r="A56" s="19">
        <v>3550</v>
      </c>
      <c r="B56" s="53">
        <v>45902</v>
      </c>
      <c r="C56" s="8"/>
      <c r="D56" s="61">
        <v>3</v>
      </c>
      <c r="E56" s="61">
        <v>27</v>
      </c>
      <c r="F56" s="61">
        <v>27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30</v>
      </c>
      <c r="O56" s="53">
        <v>45902</v>
      </c>
      <c r="P56" s="63">
        <v>3550</v>
      </c>
    </row>
    <row r="57" spans="1:16" ht="15" customHeight="1" x14ac:dyDescent="0.3">
      <c r="A57" s="3">
        <v>3551</v>
      </c>
      <c r="B57" s="53">
        <v>45897</v>
      </c>
      <c r="C57" s="8"/>
      <c r="D57" s="61">
        <v>2</v>
      </c>
      <c r="E57" s="61">
        <v>9</v>
      </c>
      <c r="F57" s="61">
        <v>9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30</v>
      </c>
      <c r="O57" s="53">
        <v>45897</v>
      </c>
      <c r="P57" s="63">
        <v>3551</v>
      </c>
    </row>
    <row r="58" spans="1:16" ht="15" customHeight="1" x14ac:dyDescent="0.3">
      <c r="A58" s="18">
        <v>3552</v>
      </c>
      <c r="B58" s="53">
        <v>45927</v>
      </c>
      <c r="C58" s="8"/>
      <c r="D58" s="61">
        <v>2</v>
      </c>
      <c r="E58" s="61">
        <v>20</v>
      </c>
      <c r="F58" s="61">
        <v>20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45927</v>
      </c>
      <c r="P58" s="63">
        <v>3552</v>
      </c>
    </row>
    <row r="59" spans="1:16" ht="15" customHeight="1" x14ac:dyDescent="0.3">
      <c r="A59" s="18">
        <v>3553</v>
      </c>
      <c r="B59" s="53">
        <v>45868</v>
      </c>
      <c r="C59" s="8"/>
      <c r="D59" s="61">
        <v>2</v>
      </c>
      <c r="E59" s="61">
        <v>5</v>
      </c>
      <c r="F59" s="61">
        <v>5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45868</v>
      </c>
      <c r="P59" s="63"/>
    </row>
    <row r="60" spans="1:16" ht="15" customHeight="1" x14ac:dyDescent="0.3">
      <c r="A60" s="18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18">
        <v>3555</v>
      </c>
      <c r="B61" s="53">
        <v>45909</v>
      </c>
      <c r="C61" s="8"/>
      <c r="D61" s="61">
        <v>3</v>
      </c>
      <c r="E61" s="61">
        <v>40</v>
      </c>
      <c r="F61" s="61">
        <v>40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45909</v>
      </c>
      <c r="P61" s="63">
        <v>3555</v>
      </c>
    </row>
    <row r="62" spans="1:16" ht="15" customHeight="1" x14ac:dyDescent="0.3">
      <c r="A62" s="18">
        <v>3556</v>
      </c>
      <c r="B62" s="53">
        <v>45934</v>
      </c>
      <c r="C62" s="8"/>
      <c r="D62" s="61">
        <v>3</v>
      </c>
      <c r="E62" s="61">
        <v>134</v>
      </c>
      <c r="F62" s="61">
        <v>60</v>
      </c>
      <c r="G62" s="61">
        <v>74</v>
      </c>
      <c r="H62" s="61">
        <v>2</v>
      </c>
      <c r="I62" s="57">
        <v>45946</v>
      </c>
      <c r="J62" s="61">
        <v>28</v>
      </c>
      <c r="K62" s="57"/>
      <c r="L62" s="61"/>
      <c r="M62" s="22" t="s">
        <v>24</v>
      </c>
      <c r="N62" s="25" t="s">
        <v>14</v>
      </c>
      <c r="O62" s="53"/>
      <c r="P62" s="63">
        <v>3556</v>
      </c>
    </row>
    <row r="63" spans="1:16" ht="15" customHeight="1" x14ac:dyDescent="0.3">
      <c r="A63" s="18">
        <v>3557</v>
      </c>
      <c r="B63" s="53">
        <v>45854</v>
      </c>
      <c r="C63" s="8"/>
      <c r="D63" s="61">
        <v>3</v>
      </c>
      <c r="E63" s="61">
        <v>38</v>
      </c>
      <c r="F63" s="61">
        <v>38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45854</v>
      </c>
      <c r="P63" s="63">
        <v>3557</v>
      </c>
    </row>
    <row r="64" spans="1:16" ht="15" customHeight="1" x14ac:dyDescent="0.3">
      <c r="A64" s="18">
        <v>3558</v>
      </c>
      <c r="B64" s="53">
        <v>45884</v>
      </c>
      <c r="C64" s="8"/>
      <c r="D64" s="61">
        <v>1</v>
      </c>
      <c r="E64" s="61">
        <v>2</v>
      </c>
      <c r="F64" s="61">
        <v>2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45884</v>
      </c>
      <c r="P64" s="63">
        <v>3458</v>
      </c>
    </row>
    <row r="65" spans="1:16" ht="15" customHeight="1" thickBot="1" x14ac:dyDescent="0.35">
      <c r="A65" s="18">
        <v>3559</v>
      </c>
      <c r="B65" s="53">
        <v>45870</v>
      </c>
      <c r="C65" s="8"/>
      <c r="D65" s="61">
        <v>1</v>
      </c>
      <c r="E65" s="61">
        <v>18</v>
      </c>
      <c r="F65" s="61">
        <v>18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45870</v>
      </c>
      <c r="P65" s="63">
        <v>3559</v>
      </c>
    </row>
    <row r="66" spans="1:16" ht="15" customHeight="1" x14ac:dyDescent="0.3">
      <c r="A66" s="4">
        <v>3560</v>
      </c>
      <c r="B66" s="53">
        <v>45896</v>
      </c>
      <c r="C66" s="8"/>
      <c r="D66" s="61">
        <v>3</v>
      </c>
      <c r="E66" s="61">
        <v>11</v>
      </c>
      <c r="F66" s="61">
        <v>11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31</v>
      </c>
      <c r="O66" s="53">
        <v>45896</v>
      </c>
      <c r="P66" s="63">
        <v>3560</v>
      </c>
    </row>
    <row r="67" spans="1:16" ht="15" customHeight="1" x14ac:dyDescent="0.3">
      <c r="A67" s="7">
        <v>3561</v>
      </c>
      <c r="B67" s="53">
        <v>45855</v>
      </c>
      <c r="C67" s="8"/>
      <c r="D67" s="61">
        <v>2</v>
      </c>
      <c r="E67" s="61">
        <v>50</v>
      </c>
      <c r="F67" s="61">
        <v>50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45855</v>
      </c>
      <c r="P67" s="63">
        <v>3561</v>
      </c>
    </row>
    <row r="68" spans="1:16" ht="18.75" x14ac:dyDescent="0.3">
      <c r="A68" s="7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">
        <v>3564</v>
      </c>
      <c r="B70" s="53">
        <v>45863</v>
      </c>
      <c r="C70" s="8"/>
      <c r="D70" s="61">
        <v>3</v>
      </c>
      <c r="E70" s="61">
        <v>73</v>
      </c>
      <c r="F70" s="61">
        <v>73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45863</v>
      </c>
      <c r="P70" s="63">
        <v>3564</v>
      </c>
    </row>
    <row r="71" spans="1:16" ht="18.75" x14ac:dyDescent="0.3">
      <c r="A71" s="7">
        <v>3565</v>
      </c>
      <c r="B71" s="53">
        <v>45889</v>
      </c>
      <c r="C71" s="8"/>
      <c r="D71" s="61">
        <v>1</v>
      </c>
      <c r="E71" s="61">
        <v>12</v>
      </c>
      <c r="F71" s="61">
        <v>12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31</v>
      </c>
      <c r="O71" s="53">
        <v>45889</v>
      </c>
      <c r="P71" s="63">
        <v>3565</v>
      </c>
    </row>
    <row r="72" spans="1:16" ht="18.75" x14ac:dyDescent="0.3">
      <c r="A72" s="7">
        <v>3566</v>
      </c>
      <c r="B72" s="53">
        <v>45877</v>
      </c>
      <c r="C72" s="8"/>
      <c r="D72" s="61">
        <v>2</v>
      </c>
      <c r="E72" s="61">
        <v>13</v>
      </c>
      <c r="F72" s="61">
        <v>13</v>
      </c>
      <c r="G72" s="61">
        <v>0</v>
      </c>
      <c r="H72" s="61">
        <v>0</v>
      </c>
      <c r="I72" s="57"/>
      <c r="J72" s="61"/>
      <c r="K72" s="57"/>
      <c r="L72" s="61"/>
      <c r="M72" s="22" t="s">
        <v>29</v>
      </c>
      <c r="N72" s="25" t="s">
        <v>14</v>
      </c>
      <c r="O72" s="53">
        <v>45877</v>
      </c>
      <c r="P72" s="63">
        <v>3566</v>
      </c>
    </row>
    <row r="73" spans="1:16" ht="18.75" x14ac:dyDescent="0.3">
      <c r="A73" s="32">
        <v>3567</v>
      </c>
      <c r="B73" s="53">
        <v>45873</v>
      </c>
      <c r="C73" s="8"/>
      <c r="D73" s="61">
        <v>2</v>
      </c>
      <c r="E73" s="61">
        <v>12</v>
      </c>
      <c r="F73" s="61">
        <v>12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45873</v>
      </c>
      <c r="P73" s="63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>
      <selection activeCell="D11" sqref="D1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5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>
        <v>45921</v>
      </c>
      <c r="C3" s="8"/>
      <c r="D3" s="61">
        <v>1</v>
      </c>
      <c r="E3" s="61">
        <v>4</v>
      </c>
      <c r="F3" s="61">
        <v>4</v>
      </c>
      <c r="G3" s="61">
        <v>0</v>
      </c>
      <c r="H3" s="61">
        <v>0</v>
      </c>
      <c r="I3" s="57"/>
      <c r="J3" s="61"/>
      <c r="K3" s="57"/>
      <c r="L3" s="61"/>
      <c r="M3" s="25" t="s">
        <v>24</v>
      </c>
      <c r="N3" s="25" t="s">
        <v>30</v>
      </c>
      <c r="O3" s="53">
        <v>45921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5"/>
      <c r="N4" s="25"/>
      <c r="O4" s="53"/>
      <c r="P4" s="63"/>
      <c r="R4" s="14">
        <v>36</v>
      </c>
      <c r="S4" s="15">
        <f>COUNTA(A:A)-1</f>
        <v>72</v>
      </c>
      <c r="T4" s="15">
        <f>COUNTA(O:O)-1</f>
        <v>36</v>
      </c>
      <c r="U4" s="21">
        <f>T4/S4</f>
        <v>0.5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5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5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5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5"/>
      <c r="N8" s="25"/>
      <c r="O8" s="53"/>
      <c r="P8" s="63"/>
    </row>
    <row r="9" spans="1:21" ht="15" customHeight="1" x14ac:dyDescent="0.3">
      <c r="A9" s="72">
        <v>3238</v>
      </c>
      <c r="B9" s="53">
        <v>45883</v>
      </c>
      <c r="C9" s="8"/>
      <c r="D9" s="61">
        <v>2</v>
      </c>
      <c r="E9" s="61">
        <v>15</v>
      </c>
      <c r="F9" s="61">
        <v>15</v>
      </c>
      <c r="G9" s="61"/>
      <c r="H9" s="61"/>
      <c r="I9" s="57"/>
      <c r="J9" s="61"/>
      <c r="K9" s="57"/>
      <c r="L9" s="61"/>
      <c r="M9" s="25" t="s">
        <v>24</v>
      </c>
      <c r="N9" s="25" t="s">
        <v>14</v>
      </c>
      <c r="O9" s="53">
        <v>45883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5"/>
      <c r="N10" s="25"/>
      <c r="O10" s="53"/>
      <c r="P10" s="63"/>
    </row>
    <row r="11" spans="1:21" ht="15" customHeight="1" x14ac:dyDescent="0.3">
      <c r="A11" s="72">
        <v>3240</v>
      </c>
      <c r="B11" s="53">
        <v>45942</v>
      </c>
      <c r="C11" s="8"/>
      <c r="D11" s="61">
        <v>3</v>
      </c>
      <c r="E11" s="61">
        <v>308</v>
      </c>
      <c r="F11" s="61">
        <v>308</v>
      </c>
      <c r="G11" s="61">
        <v>0</v>
      </c>
      <c r="H11" s="61">
        <v>0</v>
      </c>
      <c r="I11" s="57"/>
      <c r="J11" s="61"/>
      <c r="K11" s="57"/>
      <c r="L11" s="61"/>
      <c r="M11" s="25" t="s">
        <v>24</v>
      </c>
      <c r="N11" s="25" t="s">
        <v>14</v>
      </c>
      <c r="O11" s="53">
        <v>45942</v>
      </c>
      <c r="P11" s="63">
        <v>3240</v>
      </c>
    </row>
    <row r="12" spans="1:21" ht="15" customHeight="1" thickBot="1" x14ac:dyDescent="0.35">
      <c r="A12" s="73">
        <v>3241</v>
      </c>
      <c r="B12" s="53">
        <v>45894</v>
      </c>
      <c r="C12" s="8"/>
      <c r="D12" s="61">
        <v>1</v>
      </c>
      <c r="E12" s="61">
        <v>1</v>
      </c>
      <c r="F12" s="61">
        <v>1</v>
      </c>
      <c r="G12" s="61">
        <v>0</v>
      </c>
      <c r="H12" s="61">
        <v>0</v>
      </c>
      <c r="I12" s="57"/>
      <c r="J12" s="61"/>
      <c r="K12" s="57"/>
      <c r="L12" s="61"/>
      <c r="M12" s="25" t="s">
        <v>24</v>
      </c>
      <c r="N12" s="25" t="s">
        <v>31</v>
      </c>
      <c r="O12" s="53">
        <v>45894</v>
      </c>
      <c r="P12" s="63">
        <v>3241</v>
      </c>
    </row>
    <row r="13" spans="1:21" ht="15" customHeight="1" x14ac:dyDescent="0.3">
      <c r="A13" s="74">
        <v>3242</v>
      </c>
      <c r="B13" s="53">
        <v>45932</v>
      </c>
      <c r="C13" s="8"/>
      <c r="D13" s="61">
        <v>1</v>
      </c>
      <c r="E13" s="61">
        <v>35</v>
      </c>
      <c r="F13" s="61">
        <v>35</v>
      </c>
      <c r="G13" s="61">
        <v>0</v>
      </c>
      <c r="H13" s="61">
        <v>0</v>
      </c>
      <c r="I13" s="57"/>
      <c r="J13" s="61"/>
      <c r="K13" s="57"/>
      <c r="L13" s="61"/>
      <c r="M13" s="25" t="s">
        <v>24</v>
      </c>
      <c r="N13" s="25" t="s">
        <v>14</v>
      </c>
      <c r="O13" s="53">
        <v>45932</v>
      </c>
      <c r="P13" s="63">
        <v>3242</v>
      </c>
    </row>
    <row r="14" spans="1:21" ht="15" customHeight="1" x14ac:dyDescent="0.3">
      <c r="A14" s="75">
        <v>3243</v>
      </c>
      <c r="B14" s="53">
        <v>45944</v>
      </c>
      <c r="C14" s="8"/>
      <c r="D14" s="61">
        <v>1</v>
      </c>
      <c r="E14" s="61">
        <v>9</v>
      </c>
      <c r="F14" s="61">
        <v>9</v>
      </c>
      <c r="G14" s="61">
        <v>0</v>
      </c>
      <c r="H14" s="61">
        <v>0</v>
      </c>
      <c r="I14" s="57"/>
      <c r="J14" s="61"/>
      <c r="K14" s="57"/>
      <c r="L14" s="61"/>
      <c r="M14" s="25" t="s">
        <v>24</v>
      </c>
      <c r="N14" s="25" t="s">
        <v>14</v>
      </c>
      <c r="O14" s="53">
        <v>45944</v>
      </c>
      <c r="P14" s="63">
        <v>3243</v>
      </c>
    </row>
    <row r="15" spans="1:21" ht="15" customHeight="1" x14ac:dyDescent="0.3">
      <c r="A15" s="75">
        <v>3244</v>
      </c>
      <c r="B15" s="53">
        <v>45946</v>
      </c>
      <c r="C15" s="8"/>
      <c r="D15" s="61">
        <v>2</v>
      </c>
      <c r="E15" s="61">
        <v>10</v>
      </c>
      <c r="F15" s="61">
        <v>10</v>
      </c>
      <c r="G15" s="61">
        <v>0</v>
      </c>
      <c r="H15" s="61">
        <v>0</v>
      </c>
      <c r="I15" s="57"/>
      <c r="J15" s="61"/>
      <c r="K15" s="57"/>
      <c r="L15" s="61"/>
      <c r="M15" s="25" t="s">
        <v>24</v>
      </c>
      <c r="N15" s="25" t="s">
        <v>14</v>
      </c>
      <c r="O15" s="53">
        <v>45946</v>
      </c>
      <c r="P15" s="63">
        <v>3244</v>
      </c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5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5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5"/>
      <c r="N18" s="25"/>
      <c r="O18" s="53"/>
      <c r="P18" s="63"/>
    </row>
    <row r="19" spans="1:16" ht="15" customHeight="1" x14ac:dyDescent="0.3">
      <c r="A19" s="75">
        <v>3248</v>
      </c>
      <c r="B19" s="53">
        <v>45933</v>
      </c>
      <c r="C19" s="8"/>
      <c r="D19" s="61">
        <v>1</v>
      </c>
      <c r="E19" s="61">
        <v>3</v>
      </c>
      <c r="F19" s="61">
        <v>3</v>
      </c>
      <c r="G19" s="61">
        <v>0</v>
      </c>
      <c r="H19" s="61">
        <v>0</v>
      </c>
      <c r="I19" s="57"/>
      <c r="J19" s="61"/>
      <c r="K19" s="57"/>
      <c r="L19" s="61"/>
      <c r="M19" s="25" t="s">
        <v>24</v>
      </c>
      <c r="N19" s="25" t="s">
        <v>14</v>
      </c>
      <c r="O19" s="53">
        <v>45933</v>
      </c>
      <c r="P19" s="63">
        <v>3248</v>
      </c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5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5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5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5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5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5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5"/>
      <c r="N26" s="25"/>
      <c r="O26" s="53"/>
      <c r="P26" s="63"/>
    </row>
    <row r="27" spans="1:16" ht="15" customHeight="1" x14ac:dyDescent="0.3">
      <c r="A27" s="75">
        <v>3258</v>
      </c>
      <c r="B27" s="53">
        <v>45929</v>
      </c>
      <c r="C27" s="8"/>
      <c r="D27" s="61">
        <v>3</v>
      </c>
      <c r="E27" s="61">
        <v>19</v>
      </c>
      <c r="F27" s="61">
        <v>19</v>
      </c>
      <c r="G27" s="61">
        <v>0</v>
      </c>
      <c r="H27" s="61">
        <v>0</v>
      </c>
      <c r="I27" s="57"/>
      <c r="J27" s="61"/>
      <c r="K27" s="57"/>
      <c r="L27" s="61"/>
      <c r="M27" s="25" t="s">
        <v>24</v>
      </c>
      <c r="N27" s="25" t="s">
        <v>14</v>
      </c>
      <c r="O27" s="53">
        <v>45929</v>
      </c>
      <c r="P27" s="63">
        <v>3258</v>
      </c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5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5"/>
      <c r="N29" s="25"/>
      <c r="O29" s="53"/>
      <c r="P29" s="63"/>
    </row>
    <row r="30" spans="1:16" ht="15" customHeight="1" x14ac:dyDescent="0.3">
      <c r="A30" s="75">
        <v>3261</v>
      </c>
      <c r="B30" s="53">
        <v>45907</v>
      </c>
      <c r="C30" s="8"/>
      <c r="D30" s="61">
        <v>1</v>
      </c>
      <c r="E30" s="61">
        <v>10</v>
      </c>
      <c r="F30" s="61">
        <v>10</v>
      </c>
      <c r="G30" s="61">
        <v>0</v>
      </c>
      <c r="H30" s="61">
        <v>0</v>
      </c>
      <c r="I30" s="57"/>
      <c r="J30" s="61"/>
      <c r="K30" s="57"/>
      <c r="L30" s="61"/>
      <c r="M30" s="25" t="s">
        <v>29</v>
      </c>
      <c r="N30" s="25" t="s">
        <v>30</v>
      </c>
      <c r="O30" s="53">
        <v>45907</v>
      </c>
      <c r="P30" s="63">
        <v>3261</v>
      </c>
    </row>
    <row r="31" spans="1:16" ht="15" customHeight="1" x14ac:dyDescent="0.3">
      <c r="A31" s="75">
        <v>3262</v>
      </c>
      <c r="B31" s="53">
        <v>45940</v>
      </c>
      <c r="C31" s="8"/>
      <c r="D31" s="61">
        <v>1</v>
      </c>
      <c r="E31" s="61">
        <v>3</v>
      </c>
      <c r="F31" s="61">
        <v>3</v>
      </c>
      <c r="G31" s="61">
        <v>0</v>
      </c>
      <c r="H31" s="61">
        <v>0</v>
      </c>
      <c r="I31" s="57"/>
      <c r="J31" s="61"/>
      <c r="K31" s="57"/>
      <c r="L31" s="61"/>
      <c r="M31" s="25" t="s">
        <v>24</v>
      </c>
      <c r="N31" s="25" t="s">
        <v>14</v>
      </c>
      <c r="O31" s="53">
        <v>45940</v>
      </c>
      <c r="P31" s="63">
        <v>3262</v>
      </c>
    </row>
    <row r="32" spans="1:16" ht="15" customHeight="1" x14ac:dyDescent="0.3">
      <c r="A32" s="75">
        <v>3263</v>
      </c>
      <c r="B32" s="53">
        <v>45927</v>
      </c>
      <c r="C32" s="8"/>
      <c r="D32" s="61">
        <v>2</v>
      </c>
      <c r="E32" s="61">
        <v>15</v>
      </c>
      <c r="F32" s="61">
        <v>15</v>
      </c>
      <c r="G32" s="61">
        <v>0</v>
      </c>
      <c r="H32" s="61">
        <v>0</v>
      </c>
      <c r="I32" s="57"/>
      <c r="J32" s="61"/>
      <c r="K32" s="57"/>
      <c r="L32" s="61"/>
      <c r="M32" s="25" t="s">
        <v>24</v>
      </c>
      <c r="N32" s="25" t="s">
        <v>14</v>
      </c>
      <c r="O32" s="53">
        <v>45927</v>
      </c>
      <c r="P32" s="63">
        <v>3263</v>
      </c>
    </row>
    <row r="33" spans="1:16" ht="15" customHeight="1" x14ac:dyDescent="0.3">
      <c r="A33" s="75">
        <v>3264</v>
      </c>
      <c r="B33" s="53">
        <v>45900</v>
      </c>
      <c r="C33" s="8"/>
      <c r="D33" s="61">
        <v>2</v>
      </c>
      <c r="E33" s="61">
        <v>50</v>
      </c>
      <c r="F33" s="61">
        <v>50</v>
      </c>
      <c r="G33" s="61">
        <v>0</v>
      </c>
      <c r="H33" s="61">
        <v>0</v>
      </c>
      <c r="I33" s="57"/>
      <c r="J33" s="61"/>
      <c r="K33" s="57"/>
      <c r="L33" s="61"/>
      <c r="M33" s="25" t="s">
        <v>24</v>
      </c>
      <c r="N33" s="25" t="s">
        <v>30</v>
      </c>
      <c r="O33" s="53">
        <v>45900</v>
      </c>
      <c r="P33" s="63">
        <v>3264</v>
      </c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5"/>
      <c r="N34" s="25"/>
      <c r="O34" s="53"/>
      <c r="P34" s="63"/>
    </row>
    <row r="35" spans="1:16" ht="15" customHeight="1" x14ac:dyDescent="0.3">
      <c r="A35" s="74">
        <v>3266</v>
      </c>
      <c r="B35" s="53">
        <v>45888</v>
      </c>
      <c r="C35" s="8"/>
      <c r="D35" s="61">
        <v>1</v>
      </c>
      <c r="E35" s="61">
        <v>3</v>
      </c>
      <c r="F35" s="61">
        <v>3</v>
      </c>
      <c r="G35" s="61">
        <v>0</v>
      </c>
      <c r="H35" s="61">
        <v>0</v>
      </c>
      <c r="I35" s="57"/>
      <c r="J35" s="61"/>
      <c r="K35" s="57"/>
      <c r="L35" s="61"/>
      <c r="M35" s="25" t="s">
        <v>24</v>
      </c>
      <c r="N35" s="25" t="s">
        <v>30</v>
      </c>
      <c r="O35" s="53">
        <v>45888</v>
      </c>
      <c r="P35" s="63">
        <v>3266</v>
      </c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5"/>
      <c r="N36" s="25"/>
      <c r="O36" s="53"/>
      <c r="P36" s="63"/>
    </row>
    <row r="37" spans="1:16" ht="15" customHeight="1" x14ac:dyDescent="0.3">
      <c r="A37" s="75">
        <v>3299</v>
      </c>
      <c r="B37" s="53">
        <v>45943</v>
      </c>
      <c r="C37" s="8"/>
      <c r="D37" s="61">
        <v>2</v>
      </c>
      <c r="E37" s="61">
        <v>56</v>
      </c>
      <c r="F37" s="61">
        <v>56</v>
      </c>
      <c r="G37" s="61">
        <v>0</v>
      </c>
      <c r="H37" s="61">
        <v>0</v>
      </c>
      <c r="I37" s="57"/>
      <c r="J37" s="61"/>
      <c r="K37" s="57"/>
      <c r="L37" s="61"/>
      <c r="M37" s="25" t="s">
        <v>24</v>
      </c>
      <c r="N37" s="25" t="s">
        <v>14</v>
      </c>
      <c r="O37" s="53">
        <v>45943</v>
      </c>
      <c r="P37" s="63">
        <v>3299</v>
      </c>
    </row>
    <row r="38" spans="1:16" ht="15" customHeight="1" x14ac:dyDescent="0.3">
      <c r="A38" s="75">
        <v>3531</v>
      </c>
      <c r="B38" s="53">
        <v>45896</v>
      </c>
      <c r="C38" s="8"/>
      <c r="D38" s="61">
        <v>1</v>
      </c>
      <c r="E38" s="61">
        <v>7</v>
      </c>
      <c r="F38" s="61">
        <v>7</v>
      </c>
      <c r="G38" s="61">
        <v>0</v>
      </c>
      <c r="H38" s="61">
        <v>0</v>
      </c>
      <c r="I38" s="57"/>
      <c r="J38" s="61"/>
      <c r="K38" s="57"/>
      <c r="L38" s="61"/>
      <c r="M38" s="25" t="s">
        <v>24</v>
      </c>
      <c r="N38" s="25" t="s">
        <v>31</v>
      </c>
      <c r="O38" s="53">
        <v>45896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5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5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5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5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5"/>
      <c r="N43" s="25"/>
      <c r="O43" s="53"/>
      <c r="P43" s="63"/>
    </row>
    <row r="44" spans="1:16" ht="15" customHeight="1" x14ac:dyDescent="0.3">
      <c r="A44" s="75">
        <v>3537</v>
      </c>
      <c r="B44" s="53">
        <v>45942</v>
      </c>
      <c r="C44" s="8"/>
      <c r="D44" s="61">
        <v>3</v>
      </c>
      <c r="E44" s="61">
        <v>68</v>
      </c>
      <c r="F44" s="61">
        <v>68</v>
      </c>
      <c r="G44" s="61">
        <v>0</v>
      </c>
      <c r="H44" s="61">
        <v>0</v>
      </c>
      <c r="I44" s="57"/>
      <c r="J44" s="61"/>
      <c r="K44" s="57"/>
      <c r="L44" s="61"/>
      <c r="M44" s="25" t="s">
        <v>24</v>
      </c>
      <c r="N44" s="25" t="s">
        <v>14</v>
      </c>
      <c r="O44" s="53">
        <v>45942</v>
      </c>
      <c r="P44" s="63"/>
    </row>
    <row r="45" spans="1:16" ht="15" customHeight="1" thickBot="1" x14ac:dyDescent="0.35">
      <c r="A45" s="76">
        <v>3538</v>
      </c>
      <c r="B45" s="53">
        <v>45918</v>
      </c>
      <c r="C45" s="8"/>
      <c r="D45" s="61">
        <v>2</v>
      </c>
      <c r="E45" s="61">
        <v>26</v>
      </c>
      <c r="F45" s="61">
        <v>26</v>
      </c>
      <c r="G45" s="61">
        <v>0</v>
      </c>
      <c r="H45" s="61">
        <v>0</v>
      </c>
      <c r="I45" s="57"/>
      <c r="J45" s="61"/>
      <c r="K45" s="57"/>
      <c r="L45" s="61"/>
      <c r="M45" s="25" t="s">
        <v>24</v>
      </c>
      <c r="N45" s="25" t="s">
        <v>14</v>
      </c>
      <c r="O45" s="53">
        <v>45918</v>
      </c>
      <c r="P45" s="63">
        <v>3538</v>
      </c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5"/>
      <c r="N46" s="25"/>
      <c r="O46" s="53"/>
      <c r="P46" s="63"/>
    </row>
    <row r="47" spans="1:16" ht="15" customHeight="1" x14ac:dyDescent="0.3">
      <c r="A47" s="75">
        <v>3541</v>
      </c>
      <c r="B47" s="53">
        <v>45930</v>
      </c>
      <c r="C47" s="8"/>
      <c r="D47" s="61">
        <v>3</v>
      </c>
      <c r="E47" s="61">
        <v>26</v>
      </c>
      <c r="F47" s="61">
        <v>26</v>
      </c>
      <c r="G47" s="61">
        <v>0</v>
      </c>
      <c r="H47" s="61">
        <v>0</v>
      </c>
      <c r="I47" s="57"/>
      <c r="J47" s="61"/>
      <c r="K47" s="57"/>
      <c r="L47" s="61"/>
      <c r="M47" s="25" t="s">
        <v>24</v>
      </c>
      <c r="N47" s="25" t="s">
        <v>14</v>
      </c>
      <c r="O47" s="53">
        <v>45930</v>
      </c>
      <c r="P47" s="63">
        <v>3541</v>
      </c>
    </row>
    <row r="48" spans="1:16" ht="15" customHeight="1" x14ac:dyDescent="0.3">
      <c r="A48" s="75">
        <v>3542</v>
      </c>
      <c r="B48" s="53">
        <v>45897</v>
      </c>
      <c r="C48" s="8"/>
      <c r="D48" s="61">
        <v>1</v>
      </c>
      <c r="E48" s="61">
        <v>10</v>
      </c>
      <c r="F48" s="61">
        <v>10</v>
      </c>
      <c r="G48" s="61">
        <v>0</v>
      </c>
      <c r="H48" s="61">
        <v>0</v>
      </c>
      <c r="I48" s="57"/>
      <c r="J48" s="61"/>
      <c r="K48" s="57"/>
      <c r="L48" s="61"/>
      <c r="M48" s="25" t="s">
        <v>24</v>
      </c>
      <c r="N48" s="25" t="s">
        <v>30</v>
      </c>
      <c r="O48" s="53">
        <v>45897</v>
      </c>
      <c r="P48" s="63">
        <v>3542</v>
      </c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5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5"/>
      <c r="N50" s="25"/>
      <c r="O50" s="53"/>
      <c r="P50" s="63"/>
    </row>
    <row r="51" spans="1:16" ht="15" customHeight="1" x14ac:dyDescent="0.3">
      <c r="A51" s="75">
        <v>3545</v>
      </c>
      <c r="B51" s="53">
        <v>45921</v>
      </c>
      <c r="C51" s="8"/>
      <c r="D51" s="61">
        <v>1</v>
      </c>
      <c r="E51" s="61">
        <v>6</v>
      </c>
      <c r="F51" s="61">
        <v>6</v>
      </c>
      <c r="G51" s="61">
        <v>0</v>
      </c>
      <c r="H51" s="61">
        <v>0</v>
      </c>
      <c r="I51" s="57"/>
      <c r="J51" s="61"/>
      <c r="K51" s="57"/>
      <c r="L51" s="61"/>
      <c r="M51" s="25" t="s">
        <v>24</v>
      </c>
      <c r="N51" s="60" t="s">
        <v>30</v>
      </c>
      <c r="O51" s="53">
        <v>45921</v>
      </c>
      <c r="P51" s="63">
        <v>3545</v>
      </c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5"/>
      <c r="N52" s="25"/>
      <c r="O52" s="53"/>
      <c r="P52" s="63"/>
    </row>
    <row r="53" spans="1:16" ht="15" customHeight="1" x14ac:dyDescent="0.3">
      <c r="A53" s="75">
        <v>3547</v>
      </c>
      <c r="B53" s="53">
        <v>45894</v>
      </c>
      <c r="C53" s="8"/>
      <c r="D53" s="61">
        <v>2</v>
      </c>
      <c r="E53" s="61">
        <v>26</v>
      </c>
      <c r="F53" s="61">
        <v>26</v>
      </c>
      <c r="G53" s="61">
        <v>0</v>
      </c>
      <c r="H53" s="61">
        <v>0</v>
      </c>
      <c r="I53" s="57"/>
      <c r="J53" s="61"/>
      <c r="K53" s="57"/>
      <c r="L53" s="61"/>
      <c r="M53" s="25" t="s">
        <v>24</v>
      </c>
      <c r="N53" s="25" t="s">
        <v>31</v>
      </c>
      <c r="O53" s="53">
        <v>45894</v>
      </c>
      <c r="P53" s="63">
        <v>3547</v>
      </c>
    </row>
    <row r="54" spans="1:16" ht="15" customHeight="1" x14ac:dyDescent="0.3">
      <c r="A54" s="75">
        <v>3548</v>
      </c>
      <c r="B54" s="53">
        <v>45925</v>
      </c>
      <c r="C54" s="8"/>
      <c r="D54" s="61">
        <v>2</v>
      </c>
      <c r="E54" s="61">
        <v>5</v>
      </c>
      <c r="F54" s="61">
        <v>5</v>
      </c>
      <c r="G54" s="61">
        <v>0</v>
      </c>
      <c r="H54" s="61">
        <v>0</v>
      </c>
      <c r="I54" s="57"/>
      <c r="J54" s="61"/>
      <c r="K54" s="57"/>
      <c r="L54" s="61"/>
      <c r="M54" s="25" t="s">
        <v>24</v>
      </c>
      <c r="N54" s="25" t="s">
        <v>14</v>
      </c>
      <c r="O54" s="53">
        <v>45925</v>
      </c>
      <c r="P54" s="63">
        <v>3548</v>
      </c>
    </row>
    <row r="55" spans="1:16" ht="15" customHeight="1" x14ac:dyDescent="0.3">
      <c r="A55" s="75">
        <v>3549</v>
      </c>
      <c r="B55" s="53">
        <v>45893</v>
      </c>
      <c r="C55" s="8"/>
      <c r="D55" s="61">
        <v>2</v>
      </c>
      <c r="E55" s="61">
        <v>9</v>
      </c>
      <c r="F55" s="61">
        <v>9</v>
      </c>
      <c r="G55" s="61">
        <v>0</v>
      </c>
      <c r="H55" s="61">
        <v>0</v>
      </c>
      <c r="I55" s="57"/>
      <c r="J55" s="61"/>
      <c r="K55" s="57"/>
      <c r="L55" s="61"/>
      <c r="M55" s="25" t="s">
        <v>24</v>
      </c>
      <c r="N55" s="25" t="s">
        <v>31</v>
      </c>
      <c r="O55" s="53">
        <v>45893</v>
      </c>
      <c r="P55" s="63">
        <v>3549</v>
      </c>
    </row>
    <row r="56" spans="1:16" ht="15" customHeight="1" thickBot="1" x14ac:dyDescent="0.35">
      <c r="A56" s="76">
        <v>3550</v>
      </c>
      <c r="B56" s="53">
        <v>45926</v>
      </c>
      <c r="C56" s="8"/>
      <c r="D56" s="61">
        <v>1</v>
      </c>
      <c r="E56" s="61">
        <v>5</v>
      </c>
      <c r="F56" s="61">
        <v>5</v>
      </c>
      <c r="G56" s="61">
        <v>0</v>
      </c>
      <c r="H56" s="61">
        <v>0</v>
      </c>
      <c r="I56" s="57"/>
      <c r="J56" s="61"/>
      <c r="K56" s="57"/>
      <c r="L56" s="61"/>
      <c r="M56" s="25" t="s">
        <v>24</v>
      </c>
      <c r="N56" s="25" t="s">
        <v>14</v>
      </c>
      <c r="O56" s="53">
        <v>45926</v>
      </c>
      <c r="P56" s="63">
        <v>3550</v>
      </c>
    </row>
    <row r="57" spans="1:16" ht="15" customHeight="1" x14ac:dyDescent="0.3">
      <c r="A57" s="74">
        <v>3551</v>
      </c>
      <c r="B57" s="53">
        <v>45921</v>
      </c>
      <c r="C57" s="8"/>
      <c r="D57" s="61">
        <v>1</v>
      </c>
      <c r="E57" s="61">
        <v>4</v>
      </c>
      <c r="F57" s="61">
        <v>4</v>
      </c>
      <c r="G57" s="61">
        <v>0</v>
      </c>
      <c r="H57" s="61">
        <v>0</v>
      </c>
      <c r="I57" s="57"/>
      <c r="J57" s="61"/>
      <c r="K57" s="57"/>
      <c r="L57" s="61"/>
      <c r="M57" s="25" t="s">
        <v>24</v>
      </c>
      <c r="N57" s="25" t="s">
        <v>30</v>
      </c>
      <c r="O57" s="53">
        <v>45921</v>
      </c>
      <c r="P57" s="63">
        <v>3551</v>
      </c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5"/>
      <c r="N58" s="25"/>
      <c r="O58" s="53"/>
      <c r="P58" s="63"/>
    </row>
    <row r="59" spans="1:16" ht="15" customHeight="1" x14ac:dyDescent="0.3">
      <c r="A59" s="75">
        <v>3553</v>
      </c>
      <c r="B59" s="53">
        <v>45887</v>
      </c>
      <c r="C59" s="8"/>
      <c r="D59" s="61">
        <v>2</v>
      </c>
      <c r="E59" s="61">
        <v>68</v>
      </c>
      <c r="F59" s="61">
        <v>68</v>
      </c>
      <c r="G59" s="61">
        <v>0</v>
      </c>
      <c r="H59" s="61">
        <v>0</v>
      </c>
      <c r="I59" s="57"/>
      <c r="J59" s="61"/>
      <c r="K59" s="57"/>
      <c r="L59" s="61"/>
      <c r="M59" s="25" t="s">
        <v>24</v>
      </c>
      <c r="N59" s="25" t="s">
        <v>30</v>
      </c>
      <c r="O59" s="53">
        <v>45887</v>
      </c>
      <c r="P59" s="63">
        <v>3553</v>
      </c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5"/>
      <c r="N60" s="25"/>
      <c r="O60" s="53"/>
      <c r="P60" s="63"/>
    </row>
    <row r="61" spans="1:16" ht="15" customHeight="1" x14ac:dyDescent="0.3">
      <c r="A61" s="75">
        <v>3555</v>
      </c>
      <c r="B61" s="53">
        <v>45940</v>
      </c>
      <c r="C61" s="8"/>
      <c r="D61" s="61">
        <v>1</v>
      </c>
      <c r="E61" s="61">
        <v>12</v>
      </c>
      <c r="F61" s="61">
        <v>12</v>
      </c>
      <c r="G61" s="61">
        <v>0</v>
      </c>
      <c r="H61" s="61">
        <v>0</v>
      </c>
      <c r="I61" s="57"/>
      <c r="J61" s="61"/>
      <c r="K61" s="57"/>
      <c r="L61" s="61"/>
      <c r="M61" s="25" t="s">
        <v>24</v>
      </c>
      <c r="N61" s="25" t="s">
        <v>14</v>
      </c>
      <c r="O61" s="53">
        <v>45940</v>
      </c>
      <c r="P61" s="63">
        <v>3555</v>
      </c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5"/>
      <c r="N62" s="25"/>
      <c r="O62" s="53"/>
      <c r="P62" s="63"/>
    </row>
    <row r="63" spans="1:16" ht="15" customHeight="1" x14ac:dyDescent="0.3">
      <c r="A63" s="75">
        <v>3557</v>
      </c>
      <c r="B63" s="53">
        <v>45867</v>
      </c>
      <c r="C63" s="8"/>
      <c r="D63" s="61">
        <v>2</v>
      </c>
      <c r="E63" s="61">
        <v>24</v>
      </c>
      <c r="F63" s="61">
        <v>24</v>
      </c>
      <c r="G63" s="61">
        <v>0</v>
      </c>
      <c r="H63" s="61">
        <v>0</v>
      </c>
      <c r="I63" s="57"/>
      <c r="J63" s="61"/>
      <c r="K63" s="57"/>
      <c r="L63" s="61"/>
      <c r="M63" s="25" t="s">
        <v>24</v>
      </c>
      <c r="N63" s="25" t="s">
        <v>14</v>
      </c>
      <c r="O63" s="53">
        <v>45867</v>
      </c>
      <c r="P63" s="63">
        <v>3557</v>
      </c>
    </row>
    <row r="64" spans="1:16" ht="15" customHeight="1" x14ac:dyDescent="0.3">
      <c r="A64" s="75">
        <v>3558</v>
      </c>
      <c r="B64" s="53">
        <v>45904</v>
      </c>
      <c r="C64" s="8"/>
      <c r="D64" s="61">
        <v>2</v>
      </c>
      <c r="E64" s="61">
        <v>9</v>
      </c>
      <c r="F64" s="61">
        <v>9</v>
      </c>
      <c r="G64" s="61">
        <v>0</v>
      </c>
      <c r="H64" s="61">
        <v>0</v>
      </c>
      <c r="I64" s="57"/>
      <c r="J64" s="61"/>
      <c r="K64" s="57"/>
      <c r="L64" s="61"/>
      <c r="M64" s="25" t="s">
        <v>24</v>
      </c>
      <c r="N64" s="25" t="s">
        <v>14</v>
      </c>
      <c r="O64" s="53">
        <v>45904</v>
      </c>
      <c r="P64" s="63">
        <v>3558</v>
      </c>
    </row>
    <row r="65" spans="1:16" ht="15" customHeight="1" thickBot="1" x14ac:dyDescent="0.35">
      <c r="A65" s="75">
        <v>3559</v>
      </c>
      <c r="B65" s="53">
        <v>45883</v>
      </c>
      <c r="C65" s="8"/>
      <c r="D65" s="61">
        <v>1</v>
      </c>
      <c r="E65" s="61">
        <v>35</v>
      </c>
      <c r="F65" s="61">
        <v>35</v>
      </c>
      <c r="G65" s="61">
        <v>0</v>
      </c>
      <c r="H65" s="61">
        <v>0</v>
      </c>
      <c r="I65" s="57"/>
      <c r="J65" s="61"/>
      <c r="K65" s="57"/>
      <c r="L65" s="61"/>
      <c r="M65" s="25" t="s">
        <v>24</v>
      </c>
      <c r="N65" s="25" t="s">
        <v>14</v>
      </c>
      <c r="O65" s="53">
        <v>45883</v>
      </c>
      <c r="P65" s="63">
        <v>3559</v>
      </c>
    </row>
    <row r="66" spans="1:16" ht="15" customHeight="1" x14ac:dyDescent="0.3">
      <c r="A66" s="77">
        <v>3560</v>
      </c>
      <c r="B66" s="53">
        <v>45923</v>
      </c>
      <c r="C66" s="8"/>
      <c r="D66" s="61">
        <v>2</v>
      </c>
      <c r="E66" s="61">
        <v>27</v>
      </c>
      <c r="F66" s="61">
        <v>27</v>
      </c>
      <c r="G66" s="61">
        <v>0</v>
      </c>
      <c r="H66" s="61">
        <v>0</v>
      </c>
      <c r="I66" s="57"/>
      <c r="J66" s="61"/>
      <c r="K66" s="57"/>
      <c r="L66" s="61"/>
      <c r="M66" s="25" t="s">
        <v>24</v>
      </c>
      <c r="N66" s="25" t="s">
        <v>14</v>
      </c>
      <c r="O66" s="53">
        <v>45923</v>
      </c>
      <c r="P66" s="63">
        <v>3560</v>
      </c>
    </row>
    <row r="67" spans="1:16" ht="15" customHeight="1" x14ac:dyDescent="0.3">
      <c r="A67" s="78">
        <v>3561</v>
      </c>
      <c r="B67" s="53">
        <v>45875</v>
      </c>
      <c r="C67" s="8"/>
      <c r="D67" s="61">
        <v>3</v>
      </c>
      <c r="E67" s="61">
        <v>102</v>
      </c>
      <c r="F67" s="61">
        <v>102</v>
      </c>
      <c r="G67" s="61">
        <v>0</v>
      </c>
      <c r="H67" s="61">
        <v>0</v>
      </c>
      <c r="I67" s="57"/>
      <c r="J67" s="61"/>
      <c r="K67" s="57"/>
      <c r="L67" s="61"/>
      <c r="M67" s="25" t="s">
        <v>24</v>
      </c>
      <c r="N67" s="25" t="s">
        <v>14</v>
      </c>
      <c r="O67" s="53">
        <v>45875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5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5"/>
      <c r="N69" s="25"/>
      <c r="O69" s="53"/>
      <c r="P69" s="63"/>
    </row>
    <row r="70" spans="1:16" ht="18.75" x14ac:dyDescent="0.3">
      <c r="A70" s="78">
        <v>3564</v>
      </c>
      <c r="B70" s="53">
        <v>45883</v>
      </c>
      <c r="C70" s="8"/>
      <c r="D70" s="61">
        <v>3</v>
      </c>
      <c r="E70" s="61">
        <v>65</v>
      </c>
      <c r="F70" s="61">
        <v>65</v>
      </c>
      <c r="G70" s="61">
        <v>0</v>
      </c>
      <c r="H70" s="61">
        <v>0</v>
      </c>
      <c r="I70" s="57"/>
      <c r="J70" s="61"/>
      <c r="K70" s="57"/>
      <c r="L70" s="61"/>
      <c r="M70" s="25" t="s">
        <v>24</v>
      </c>
      <c r="N70" s="25" t="s">
        <v>14</v>
      </c>
      <c r="O70" s="53">
        <v>45883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5"/>
      <c r="N71" s="25"/>
      <c r="O71" s="53"/>
      <c r="P71" s="63"/>
    </row>
    <row r="72" spans="1:16" ht="18.75" x14ac:dyDescent="0.3">
      <c r="A72" s="78">
        <v>3566</v>
      </c>
      <c r="B72" s="53">
        <v>45884</v>
      </c>
      <c r="C72" s="8"/>
      <c r="D72" s="61">
        <v>2</v>
      </c>
      <c r="E72" s="61">
        <v>18</v>
      </c>
      <c r="F72" s="61">
        <v>18</v>
      </c>
      <c r="G72" s="61">
        <v>0</v>
      </c>
      <c r="H72" s="61">
        <v>0</v>
      </c>
      <c r="I72" s="57"/>
      <c r="J72" s="61"/>
      <c r="K72" s="57"/>
      <c r="L72" s="61"/>
      <c r="M72" s="25" t="s">
        <v>24</v>
      </c>
      <c r="N72" s="25" t="s">
        <v>14</v>
      </c>
      <c r="O72" s="53">
        <v>45884</v>
      </c>
      <c r="P72" s="63">
        <v>3566</v>
      </c>
    </row>
    <row r="73" spans="1:16" ht="18.75" x14ac:dyDescent="0.3">
      <c r="A73" s="79">
        <v>3567</v>
      </c>
      <c r="B73" s="53">
        <v>45887</v>
      </c>
      <c r="C73" s="8"/>
      <c r="D73" s="61">
        <v>2</v>
      </c>
      <c r="E73" s="61">
        <v>52</v>
      </c>
      <c r="F73" s="61">
        <v>52</v>
      </c>
      <c r="G73" s="61">
        <v>0</v>
      </c>
      <c r="H73" s="61">
        <v>0</v>
      </c>
      <c r="I73" s="57"/>
      <c r="J73" s="61"/>
      <c r="K73" s="57"/>
      <c r="L73" s="61"/>
      <c r="M73" s="25" t="s">
        <v>24</v>
      </c>
      <c r="N73" s="25" t="s">
        <v>30</v>
      </c>
      <c r="O73" s="53">
        <v>45887</v>
      </c>
      <c r="P73" s="63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zoomScaleNormal="100" workbookViewId="0">
      <selection activeCell="H6" sqref="H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>
        <v>45937</v>
      </c>
      <c r="C3" s="8"/>
      <c r="D3" s="61">
        <v>2</v>
      </c>
      <c r="E3" s="61">
        <v>50</v>
      </c>
      <c r="F3" s="61">
        <v>50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45937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24</v>
      </c>
      <c r="U4" s="21">
        <f>T4/S4</f>
        <v>0.33333333333333331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>
        <v>45890</v>
      </c>
      <c r="C9" s="8"/>
      <c r="D9" s="61">
        <v>1</v>
      </c>
      <c r="E9" s="61">
        <v>1</v>
      </c>
      <c r="F9" s="61">
        <v>1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31</v>
      </c>
      <c r="O9" s="53">
        <v>45890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>
        <v>3240</v>
      </c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>
        <v>45939</v>
      </c>
      <c r="C13" s="8"/>
      <c r="D13" s="61">
        <v>1</v>
      </c>
      <c r="E13" s="61">
        <v>1</v>
      </c>
      <c r="F13" s="61">
        <v>1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45939</v>
      </c>
      <c r="P13" s="63">
        <v>3242</v>
      </c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>
        <v>45945</v>
      </c>
      <c r="C19" s="8"/>
      <c r="D19" s="61">
        <v>1</v>
      </c>
      <c r="E19" s="61">
        <v>18</v>
      </c>
      <c r="F19" s="61">
        <v>18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45945</v>
      </c>
      <c r="P19" s="63">
        <v>3248</v>
      </c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>
        <v>45919</v>
      </c>
      <c r="C30" s="8"/>
      <c r="D30" s="61">
        <v>1</v>
      </c>
      <c r="E30" s="61">
        <v>4</v>
      </c>
      <c r="F30" s="61">
        <v>4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45919</v>
      </c>
      <c r="P30" s="63">
        <v>3261</v>
      </c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>
        <v>45942</v>
      </c>
      <c r="C35" s="8"/>
      <c r="D35" s="61">
        <v>2</v>
      </c>
      <c r="E35" s="61">
        <v>31</v>
      </c>
      <c r="F35" s="61">
        <v>31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45942</v>
      </c>
      <c r="P35" s="63">
        <v>3537</v>
      </c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45905</v>
      </c>
      <c r="C38" s="8"/>
      <c r="D38" s="61">
        <v>1</v>
      </c>
      <c r="E38" s="61">
        <v>5</v>
      </c>
      <c r="F38" s="61">
        <v>5</v>
      </c>
      <c r="G38" s="61">
        <v>0</v>
      </c>
      <c r="H38" s="61">
        <v>0</v>
      </c>
      <c r="I38" s="57"/>
      <c r="J38" s="61"/>
      <c r="K38" s="57"/>
      <c r="L38" s="61"/>
      <c r="M38" s="22" t="s">
        <v>29</v>
      </c>
      <c r="N38" s="25" t="s">
        <v>14</v>
      </c>
      <c r="O38" s="53">
        <v>45905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>
        <v>45936</v>
      </c>
      <c r="C45" s="8"/>
      <c r="D45" s="61">
        <v>2</v>
      </c>
      <c r="E45" s="61">
        <v>39</v>
      </c>
      <c r="F45" s="61">
        <v>39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45936</v>
      </c>
      <c r="P45" s="63">
        <v>3538</v>
      </c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>
        <v>45936</v>
      </c>
      <c r="P46" s="63">
        <v>3538</v>
      </c>
    </row>
    <row r="47" spans="1:16" ht="15" customHeight="1" x14ac:dyDescent="0.3">
      <c r="A47" s="75">
        <v>3541</v>
      </c>
      <c r="B47" s="53">
        <v>45946</v>
      </c>
      <c r="C47" s="8"/>
      <c r="D47" s="61">
        <v>1</v>
      </c>
      <c r="E47" s="61">
        <v>1</v>
      </c>
      <c r="F47" s="61">
        <v>1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45946</v>
      </c>
      <c r="P47" s="63"/>
    </row>
    <row r="48" spans="1:16" ht="15" customHeight="1" x14ac:dyDescent="0.3">
      <c r="A48" s="75">
        <v>3542</v>
      </c>
      <c r="B48" s="53">
        <v>45932</v>
      </c>
      <c r="C48" s="8"/>
      <c r="D48" s="61">
        <v>1</v>
      </c>
      <c r="E48" s="61">
        <v>27</v>
      </c>
      <c r="F48" s="61">
        <v>27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45932</v>
      </c>
      <c r="P48" s="63">
        <v>3542</v>
      </c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>
        <v>45937</v>
      </c>
      <c r="C51" s="8"/>
      <c r="D51" s="61">
        <v>2</v>
      </c>
      <c r="E51" s="61">
        <v>42</v>
      </c>
      <c r="F51" s="61">
        <v>42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45937</v>
      </c>
      <c r="P51" s="63">
        <v>3545</v>
      </c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>
        <v>45932</v>
      </c>
      <c r="C53" s="8"/>
      <c r="D53" s="61">
        <v>1</v>
      </c>
      <c r="E53" s="61">
        <v>12</v>
      </c>
      <c r="F53" s="61">
        <v>12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45932</v>
      </c>
      <c r="P53" s="63">
        <v>3547</v>
      </c>
    </row>
    <row r="54" spans="1:16" ht="15" customHeight="1" x14ac:dyDescent="0.3">
      <c r="A54" s="75">
        <v>3548</v>
      </c>
      <c r="B54" s="53">
        <v>45943</v>
      </c>
      <c r="C54" s="8"/>
      <c r="D54" s="61">
        <v>2</v>
      </c>
      <c r="E54" s="61">
        <v>67</v>
      </c>
      <c r="F54" s="61">
        <v>67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45943</v>
      </c>
      <c r="P54" s="63">
        <v>3548</v>
      </c>
    </row>
    <row r="55" spans="1:16" ht="15" customHeight="1" x14ac:dyDescent="0.3">
      <c r="A55" s="75">
        <v>3549</v>
      </c>
      <c r="B55" s="53">
        <v>45903</v>
      </c>
      <c r="C55" s="8"/>
      <c r="D55" s="61">
        <v>1</v>
      </c>
      <c r="E55" s="61">
        <v>14</v>
      </c>
      <c r="F55" s="61">
        <v>14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45903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>
        <v>45933</v>
      </c>
      <c r="C59" s="8"/>
      <c r="D59" s="61">
        <v>1</v>
      </c>
      <c r="E59" s="61">
        <v>9</v>
      </c>
      <c r="F59" s="61">
        <v>9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45933</v>
      </c>
      <c r="P59" s="63">
        <v>3553</v>
      </c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>
        <v>45946</v>
      </c>
      <c r="C61" s="8"/>
      <c r="D61" s="61">
        <v>1</v>
      </c>
      <c r="E61" s="61">
        <v>7</v>
      </c>
      <c r="F61" s="61">
        <v>7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45946</v>
      </c>
      <c r="P61" s="63">
        <v>3555</v>
      </c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45870</v>
      </c>
      <c r="C63" s="8"/>
      <c r="D63" s="61">
        <v>1</v>
      </c>
      <c r="E63" s="61">
        <v>4</v>
      </c>
      <c r="F63" s="61">
        <v>4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45870</v>
      </c>
      <c r="P63" s="63">
        <v>3557</v>
      </c>
    </row>
    <row r="64" spans="1:16" ht="15" customHeight="1" x14ac:dyDescent="0.3">
      <c r="A64" s="75">
        <v>3558</v>
      </c>
      <c r="B64" s="53">
        <v>45932</v>
      </c>
      <c r="C64" s="8"/>
      <c r="D64" s="61">
        <v>2</v>
      </c>
      <c r="E64" s="61">
        <v>84</v>
      </c>
      <c r="F64" s="61">
        <v>84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45932</v>
      </c>
      <c r="P64" s="63">
        <v>3558</v>
      </c>
    </row>
    <row r="65" spans="1:16" ht="15" customHeight="1" thickBot="1" x14ac:dyDescent="0.35">
      <c r="A65" s="75">
        <v>3559</v>
      </c>
      <c r="B65" s="53">
        <v>45890</v>
      </c>
      <c r="C65" s="8"/>
      <c r="D65" s="61">
        <v>3</v>
      </c>
      <c r="E65" s="61">
        <v>27</v>
      </c>
      <c r="F65" s="61">
        <v>27</v>
      </c>
      <c r="G65" s="61">
        <v>0</v>
      </c>
      <c r="H65" s="61">
        <v>0</v>
      </c>
      <c r="I65" s="57"/>
      <c r="J65" s="61"/>
      <c r="K65" s="57"/>
      <c r="L65" s="61"/>
      <c r="M65" s="22" t="s">
        <v>29</v>
      </c>
      <c r="N65" s="25" t="s">
        <v>31</v>
      </c>
      <c r="O65" s="53">
        <v>45890</v>
      </c>
      <c r="P65" s="63">
        <v>3559</v>
      </c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45876</v>
      </c>
      <c r="C67" s="8"/>
      <c r="D67" s="61">
        <v>3</v>
      </c>
      <c r="E67" s="61">
        <v>37</v>
      </c>
      <c r="F67" s="61">
        <v>37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45876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45894</v>
      </c>
      <c r="C70" s="8"/>
      <c r="D70" s="61">
        <v>1</v>
      </c>
      <c r="E70" s="61">
        <v>1</v>
      </c>
      <c r="F70" s="61">
        <v>1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31</v>
      </c>
      <c r="O70" s="53">
        <v>45894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>
        <v>45922</v>
      </c>
      <c r="C72" s="8"/>
      <c r="D72" s="61">
        <v>2</v>
      </c>
      <c r="E72" s="61">
        <v>62</v>
      </c>
      <c r="F72" s="61">
        <v>62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45922</v>
      </c>
      <c r="P72" s="63">
        <v>3566</v>
      </c>
    </row>
    <row r="73" spans="1:16" ht="18.75" x14ac:dyDescent="0.3">
      <c r="A73" s="79">
        <v>3567</v>
      </c>
      <c r="B73" s="53">
        <v>45917</v>
      </c>
      <c r="C73" s="8"/>
      <c r="D73" s="61">
        <v>2</v>
      </c>
      <c r="E73" s="61">
        <v>74</v>
      </c>
      <c r="F73" s="61">
        <v>74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45917</v>
      </c>
      <c r="P73" s="63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fyD0fn5juxN7cnoxtwYKtMY5UnaREXl5Q+bLSfb5xB7z8HCiGAtrLP3VUOSuxWgTH56lV5cc/IFgUA6kZTn1Pg==" saltValue="giyU0q4G58lGgo0VcH2os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abSelected="1" zoomScaleNormal="100" workbookViewId="0">
      <selection activeCell="H17" sqref="H17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9</v>
      </c>
      <c r="U4" s="21">
        <f>T4/S4</f>
        <v>0.125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>
        <v>45901</v>
      </c>
      <c r="C9" s="8"/>
      <c r="D9" s="61">
        <v>1</v>
      </c>
      <c r="E9" s="61">
        <v>11</v>
      </c>
      <c r="F9" s="61">
        <v>11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30</v>
      </c>
      <c r="O9" s="53">
        <v>45901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45928</v>
      </c>
      <c r="C38" s="8"/>
      <c r="D38" s="61">
        <v>1</v>
      </c>
      <c r="E38" s="61">
        <v>4</v>
      </c>
      <c r="F38" s="61">
        <v>4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30</v>
      </c>
      <c r="O38" s="53">
        <v>45928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>
        <v>45924</v>
      </c>
      <c r="C55" s="8"/>
      <c r="D55" s="61">
        <v>1</v>
      </c>
      <c r="E55" s="61">
        <v>11</v>
      </c>
      <c r="F55" s="61">
        <v>11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45924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45920</v>
      </c>
      <c r="C63" s="8"/>
      <c r="D63" s="61">
        <v>3</v>
      </c>
      <c r="E63" s="61">
        <v>96</v>
      </c>
      <c r="F63" s="61">
        <v>96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45920</v>
      </c>
      <c r="P63" s="63">
        <v>3557</v>
      </c>
    </row>
    <row r="64" spans="1:16" ht="15" customHeight="1" x14ac:dyDescent="0.3">
      <c r="A64" s="75">
        <v>3558</v>
      </c>
      <c r="B64" s="53">
        <v>45939</v>
      </c>
      <c r="C64" s="8"/>
      <c r="D64" s="61">
        <v>2</v>
      </c>
      <c r="E64" s="61">
        <v>51</v>
      </c>
      <c r="F64" s="61">
        <v>51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45939</v>
      </c>
      <c r="P64" s="63">
        <v>3558</v>
      </c>
    </row>
    <row r="65" spans="1:16" ht="15" customHeight="1" thickBot="1" x14ac:dyDescent="0.35">
      <c r="A65" s="75">
        <v>3559</v>
      </c>
      <c r="B65" s="53">
        <v>45901</v>
      </c>
      <c r="C65" s="8"/>
      <c r="D65" s="61">
        <v>2</v>
      </c>
      <c r="E65" s="61">
        <v>11</v>
      </c>
      <c r="F65" s="61">
        <v>11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30</v>
      </c>
      <c r="O65" s="53">
        <v>45901</v>
      </c>
      <c r="P65" s="63">
        <v>3559</v>
      </c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45890</v>
      </c>
      <c r="C67" s="8"/>
      <c r="D67" s="61">
        <v>2</v>
      </c>
      <c r="E67" s="61">
        <v>25</v>
      </c>
      <c r="F67" s="61">
        <v>25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31</v>
      </c>
      <c r="O67" s="53">
        <v>45890.080000000002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45898</v>
      </c>
      <c r="C70" s="8"/>
      <c r="D70" s="61">
        <v>1</v>
      </c>
      <c r="E70" s="61">
        <v>56</v>
      </c>
      <c r="F70" s="61">
        <v>56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30</v>
      </c>
      <c r="O70" s="53">
        <v>45898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>
        <v>45944</v>
      </c>
      <c r="C72" s="8"/>
      <c r="D72" s="61">
        <v>2</v>
      </c>
      <c r="E72" s="61">
        <v>46</v>
      </c>
      <c r="F72" s="61">
        <v>46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45944</v>
      </c>
      <c r="P72" s="63">
        <v>3566</v>
      </c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zoomScaleNormal="100" workbookViewId="0">
      <selection activeCell="F13" sqref="F1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5</v>
      </c>
      <c r="U4" s="21">
        <f>T4/S4</f>
        <v>6.9444444444444448E-2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45944</v>
      </c>
      <c r="C38" s="8"/>
      <c r="D38" s="61">
        <v>3</v>
      </c>
      <c r="E38" s="61">
        <v>207</v>
      </c>
      <c r="F38" s="61">
        <v>207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45944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>
        <v>45943</v>
      </c>
      <c r="C55" s="8"/>
      <c r="D55" s="61">
        <v>1</v>
      </c>
      <c r="E55" s="61">
        <v>8</v>
      </c>
      <c r="F55" s="61">
        <v>8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45943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45945</v>
      </c>
      <c r="C63" s="8"/>
      <c r="D63" s="61">
        <v>3</v>
      </c>
      <c r="E63" s="61">
        <v>40</v>
      </c>
      <c r="F63" s="61">
        <v>40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/>
      <c r="O63" s="53">
        <v>45945</v>
      </c>
      <c r="P63" s="63">
        <v>3557</v>
      </c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45900</v>
      </c>
      <c r="C67" s="8"/>
      <c r="D67" s="61">
        <v>1</v>
      </c>
      <c r="E67" s="61">
        <v>5</v>
      </c>
      <c r="F67" s="61">
        <v>5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30</v>
      </c>
      <c r="O67" s="53">
        <v>45900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45904</v>
      </c>
      <c r="C70" s="8"/>
      <c r="D70" s="61">
        <v>1</v>
      </c>
      <c r="E70" s="61">
        <v>4</v>
      </c>
      <c r="F70" s="61">
        <v>4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45904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zoomScaleNormal="100" workbookViewId="0">
      <selection activeCell="G16" sqref="G1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1</v>
      </c>
      <c r="U4" s="21">
        <f>T4/S4</f>
        <v>1.3888888888888888E-2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45929</v>
      </c>
      <c r="C70" s="8"/>
      <c r="D70" s="61">
        <v>3</v>
      </c>
      <c r="E70" s="61">
        <v>41</v>
      </c>
      <c r="F70" s="61">
        <v>41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45929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59BC-2E2F-49A5-BDE0-89993FF43663}">
  <dimension ref="A1:U207"/>
  <sheetViews>
    <sheetView topLeftCell="A52"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FDFCD64C-42DB-46AC-9DD5-7409D1C8FA2A}">
      <formula1>45658</formula1>
    </dataValidation>
    <dataValidation type="whole" operator="greaterThanOrEqual" allowBlank="1" showInputMessage="1" showErrorMessage="1" sqref="A2:A73 D2:H73 J2:J73 L2:L73 P2:P73" xr:uid="{A5B1FAD8-1D1C-49F0-89B3-43F86DF36B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EE61482-4290-46B3-9111-21633FF97F1A}">
          <x14:formula1>
            <xm:f>Inspected!$A$1:$A$2</xm:f>
          </x14:formula1>
          <xm:sqref>M2:M73</xm:sqref>
        </x14:dataValidation>
        <x14:dataValidation type="list" allowBlank="1" showInputMessage="1" showErrorMessage="1" xr:uid="{F5BC53E7-4C68-4DBB-BE92-7C6F918B4ED4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BF31-993E-47AC-9FB9-F99D52A0B9E3}">
  <dimension ref="A1:U207"/>
  <sheetViews>
    <sheetView topLeftCell="A52"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9C5A5C57-2039-4180-B638-34826B5E71C4}">
      <formula1>0</formula1>
    </dataValidation>
    <dataValidation type="date" operator="greaterThanOrEqual" allowBlank="1" showInputMessage="1" showErrorMessage="1" sqref="B2:B73 I2:I73 K2:K73 O2:O73" xr:uid="{5525FD89-E9EB-4C53-9523-8D543B226CA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08FA56-A7F8-4AA1-BF76-842521A6817C}">
          <x14:formula1>
            <xm:f>Inspected!$D$1</xm:f>
          </x14:formula1>
          <xm:sqref>C2:C73</xm:sqref>
        </x14:dataValidation>
        <x14:dataValidation type="list" allowBlank="1" showInputMessage="1" showErrorMessage="1" xr:uid="{139F300C-A4CC-4AE8-8916-A74AC47F354A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094C-4937-4E89-960D-A9A02C0E27EA}">
  <dimension ref="A1:U207"/>
  <sheetViews>
    <sheetView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9B82F9A-3F4E-4CE1-B555-0FFC68647E4F}">
      <formula1>45658</formula1>
    </dataValidation>
    <dataValidation type="whole" operator="greaterThanOrEqual" allowBlank="1" showInputMessage="1" showErrorMessage="1" sqref="A2:A73 D2:H73 J2:J73 L2:L73 P2:P73" xr:uid="{013C6C80-CCF1-4E45-B261-A6DD3F12162F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86C600-C643-4948-A40B-859EFF41F19B}">
          <x14:formula1>
            <xm:f>Inspected!$A$1:$A$2</xm:f>
          </x14:formula1>
          <xm:sqref>M2:M73</xm:sqref>
        </x14:dataValidation>
        <x14:dataValidation type="list" allowBlank="1" showInputMessage="1" showErrorMessage="1" xr:uid="{ED524E73-850D-4F10-B146-3BD9C95709D3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20ABD3-539C-4040-9403-8E34AA501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5486727-c7ef-48ef-8f67-294a70abf30d"/>
    <ds:schemaRef ds:uri="f09d0ae9-c6ff-4e57-bd1f-955be6ad47a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2025-10-29T17:38:01Z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