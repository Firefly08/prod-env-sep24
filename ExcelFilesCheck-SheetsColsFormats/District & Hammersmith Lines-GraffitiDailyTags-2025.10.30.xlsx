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155" documentId="13_ncr:1_{7B7AF347-BD34-4092-ACB5-6D3E8F1FE75A}" xr6:coauthVersionLast="47" xr6:coauthVersionMax="47" xr10:uidLastSave="{07778F72-67E7-4553-939F-8EC97EEAD9EF}"/>
  <bookViews>
    <workbookView xWindow="-120" yWindow="-120" windowWidth="29040" windowHeight="15720" activeTab="9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<sst xmlns="http://schemas.openxmlformats.org/spreadsheetml/2006/main" count="660" uniqueCount="37">
  <si>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</si>
  <si>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</si>
  <si>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</si>
  <si>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</si>
  <si>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</si>
  <si>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</si>
  <si>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</si>
  <si>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</si>
  <si>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</si>
  <si>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</si>
  <si>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</si>
  <si>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</si>
  <si>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</si>
  <si>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</si>
  <si>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</si>
  <si>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</si>
  <si>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Service Train</t>
  </si>
  <si>
    <t>Y</t>
  </si>
  <si>
    <t>M Fernandes</t>
  </si>
  <si>
    <t>Total Units Completed</t>
  </si>
  <si>
    <t>M KAZI</t>
  </si>
  <si>
    <t>Total Trains</t>
  </si>
  <si>
    <t>Total Units</t>
  </si>
  <si>
    <t>Units Compled</t>
  </si>
  <si>
    <t>% Completed</t>
  </si>
  <si>
    <t>SErvice Train</t>
  </si>
  <si>
    <t>M.Fernandes</t>
  </si>
  <si>
    <t>Thomas Lomax</t>
  </si>
  <si>
    <t>Stopped Train</t>
  </si>
  <si>
    <t>y</t>
  </si>
  <si>
    <t>V Vasileva</t>
  </si>
  <si>
    <t>M Kazi</t>
  </si>
  <si>
    <t>M kazi</t>
  </si>
  <si>
    <t xml:space="preserve">M. Fernandes </t>
  </si>
  <si>
    <t>service Train</t>
  </si>
  <si>
    <t>T Lomax</t>
  </si>
  <si>
    <t>T. 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</si>
</sst>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B5EA73-DA86-4291-9D38-7BBBE1EB33C0}" name="TagsRA10" displayName="TagsRA10" ref="A1:P267" totalsRowShown="0" headerRowDxfId="53" tableBorderDxfId="52">
  <autoFilter ref="A1:P267" xr:uid="{4D85A389-B6F7-470C-AA91-6FB3DD16320D}"/>
  <tableColumns count="16">
    <tableColumn id="1" xr3:uid="{48A0923D-FCEC-44F5-BBD4-5DF18B1D672F}" name="Unit No." dataDxfId="51"/>
    <tableColumn id="2" xr3:uid="{FE567B22-E0F2-4695-8ADD-BD60E3773306}" name="DATE" dataDxfId="50"/>
    <tableColumn id="3" xr3:uid="{6C439D1F-C35C-4293-9D53-1F1EDC727E30}" name="Status" dataDxfId="49"/>
    <tableColumn id="4" xr3:uid="{98F0A79C-2C71-4825-8A67-BEC1E3D6005C}" name="Number of cars affected by graffiti/shadows on this unit" dataDxfId="48"/>
    <tableColumn id="5" xr3:uid="{614BE35C-00B3-4218-915A-A0B17318F975}" name="Total Number of Tags found" dataDxfId="47"/>
    <tableColumn id="6" xr3:uid="{25621900-2AF6-4F1B-8F63-A6E867DB068A}" name="Total Tags Removed / Cleaned" dataDxfId="46"/>
    <tableColumn id="7" xr3:uid="{3FDDFEF2-08F3-4585-B082-0E9C459ABC95}" name="Total Tags Not Cleaned on this Unit" dataDxfId="45"/>
    <tableColumn id="8" xr3:uid="{3EB587F5-8862-4A66-8D97-404D76DD06B4}" name="Car Number (s)  of Tags not cleaned (shadows)" dataDxfId="44"/>
    <tableColumn id="9" xr3:uid="{6AAAD1E2-48BE-4A4B-84C2-36BCEE036428}" name="Date of 2nd visit to clean remaining tags" dataDxfId="43"/>
    <tableColumn id="10" xr3:uid="{6B349622-1EB8-4861-91AC-D251B1634B2D}" name="Number of tags removed" dataDxfId="42"/>
    <tableColumn id="11" xr3:uid="{621169FF-6D3D-4DC5-BBC0-3AA668E7373D}" name="Date of 3rd visit to clean remaining tags" dataDxfId="41"/>
    <tableColumn id="12" xr3:uid="{9E258719-7620-4E0D-8648-6F7B80480196}" name="Number of tags removed2" dataDxfId="40"/>
    <tableColumn id="13" xr3:uid="{4D800628-084F-4486-A16C-D62E953CE157}" name="Train Inspected and Fit for service    (Y/N)" dataDxfId="39"/>
    <tableColumn id="14" xr3:uid="{B4BCC81B-002E-488A-8EF8-F436AD1FA3BC}" name="Inspected by Supervisor/Manager (Name)" dataDxfId="38"/>
    <tableColumn id="15" xr3:uid="{655174C5-B4F5-4B67-ACFF-08AACC37E56F}" name="Date of Completing all shadows (Tags) on this Unit excluding acid etched shadows" dataDxfId="37"/>
    <tableColumn id="16" xr3:uid="{3EAA9EEC-D792-4F76-AF1C-5767CC3A142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1946A9B-26B5-4F72-9B2F-0723B69F8A45}" name="TagsRA11" displayName="TagsRA11" ref="A1:P267" totalsRowShown="0" headerRowDxfId="35" tableBorderDxfId="34">
  <autoFilter ref="A1:P267" xr:uid="{4D85A389-B6F7-470C-AA91-6FB3DD16320D}"/>
  <tableColumns count="16">
    <tableColumn id="1" xr3:uid="{6CB938E3-95BD-4CF0-80E5-F62BC49B4CA0}" name="Unit No." dataDxfId="33"/>
    <tableColumn id="2" xr3:uid="{C670C71C-95E6-406F-B85F-1143946165B3}" name="DATE" dataDxfId="32"/>
    <tableColumn id="3" xr3:uid="{951928D9-61F6-4D44-A04F-8D0037F6D777}" name="Status" dataDxfId="31"/>
    <tableColumn id="4" xr3:uid="{3EB24615-3CFF-4AA9-BBB2-2BB8F68B64A7}" name="Number of cars affected by graffiti/shadows on this unit" dataDxfId="30"/>
    <tableColumn id="5" xr3:uid="{8ECF2EDA-7214-4F8B-A056-52C2C00B0758}" name="Total Number of Tags found" dataDxfId="29"/>
    <tableColumn id="6" xr3:uid="{1D4780E2-D1BF-4BBA-BD72-EBC038C606CB}" name="Total Tags Removed / Cleaned" dataDxfId="28"/>
    <tableColumn id="7" xr3:uid="{E0738F9E-E151-4BD7-B5D0-0AF401E8578C}" name="Total Tags Not Cleaned on this Unit" dataDxfId="27"/>
    <tableColumn id="8" xr3:uid="{F0F260D8-83FA-4D55-A826-B01F787F0C45}" name="Car Number (s)  of Tags not cleaned (shadows)" dataDxfId="26"/>
    <tableColumn id="9" xr3:uid="{3E98AABB-B3EE-45B4-AF62-34155937B5F8}" name="Date of 2nd visit to clean remaining tags" dataDxfId="25"/>
    <tableColumn id="10" xr3:uid="{F3C8DC16-825C-4C78-BD39-6A4DD91E97F9}" name="Number of tags removed" dataDxfId="24"/>
    <tableColumn id="11" xr3:uid="{2F485C93-A33B-4927-A1F9-85366B2A77B9}" name="Date of 3rd visit to clean remaining tags" dataDxfId="23"/>
    <tableColumn id="12" xr3:uid="{5D410652-F731-4146-9133-47F1A86D5762}" name="Number of tags removed2" dataDxfId="22"/>
    <tableColumn id="13" xr3:uid="{7BA9800E-62A6-44B3-9ED3-F08A8D451F40}" name="Train Inspected and Fit for service    (Y/N)" dataDxfId="21"/>
    <tableColumn id="14" xr3:uid="{B3CE012F-2455-493E-8997-666F3A95116D}" name="Inspected by Supervisor/Manager (Name)" dataDxfId="20"/>
    <tableColumn id="15" xr3:uid="{B85457F3-D220-4C1A-BC5B-F7F45D44075F}" name="Date of Completing all shadows (Tags) on this Unit excluding acid etched shadows" dataDxfId="19"/>
    <tableColumn id="16" xr3:uid="{8EADE7C4-6CBB-40FD-923D-88D5FDED03BE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D54247-3673-4150-9E81-97AC78C674DD}" name="TagsRA12" displayName="TagsRA12" ref="A1:P267" totalsRowShown="0" headerRowDxfId="17" tableBorderDxfId="16">
  <autoFilter ref="A1:P267" xr:uid="{4D85A389-B6F7-470C-AA91-6FB3DD16320D}"/>
  <tableColumns count="16">
    <tableColumn id="1" xr3:uid="{DAB034CA-977B-4E36-A2D9-9F718CA4B077}" name="Unit No." dataDxfId="15"/>
    <tableColumn id="2" xr3:uid="{DFFE6C38-7D8C-41E9-B3F9-EE51C76B301D}" name="DATE" dataDxfId="14"/>
    <tableColumn id="3" xr3:uid="{987CF07A-85E2-469F-BA49-6BC551788486}" name="Status" dataDxfId="13"/>
    <tableColumn id="4" xr3:uid="{2925E0B9-91DB-4055-9ED9-01D8DEE18FFB}" name="Number of cars affected by graffiti/shadows on this unit" dataDxfId="12"/>
    <tableColumn id="5" xr3:uid="{58B22488-3FE8-4521-82D0-19555C0545DF}" name="Total Number of Tags found" dataDxfId="11"/>
    <tableColumn id="6" xr3:uid="{99278557-766F-473A-981F-490514DAA6CC}" name="Total Tags Removed / Cleaned" dataDxfId="10"/>
    <tableColumn id="7" xr3:uid="{C98E8588-9FED-46AF-9054-6F222565E15E}" name="Total Tags Not Cleaned on this Unit" dataDxfId="9"/>
    <tableColumn id="8" xr3:uid="{4FE29D6E-6219-4C1B-9842-0FADC378A66C}" name="Car Number (s)  of Tags not cleaned (shadows)" dataDxfId="8"/>
    <tableColumn id="9" xr3:uid="{4B156A02-9917-41BF-B414-18059C158320}" name="Date of 2nd visit to clean remaining tags" dataDxfId="7"/>
    <tableColumn id="10" xr3:uid="{4C671BE9-B596-40A9-90E2-F02D055911B7}" name="Number of tags removed" dataDxfId="6"/>
    <tableColumn id="11" xr3:uid="{08E6A8F5-6AC7-4461-B339-B2E69682A1C2}" name="Date of 3rd visit to clean remaining tags" dataDxfId="5"/>
    <tableColumn id="12" xr3:uid="{E374F072-F453-4D58-9FF0-6952F8DB1567}" name="Number of tags removed2" dataDxfId="4"/>
    <tableColumn id="13" xr3:uid="{FBE072A8-405D-4B91-8FEE-D01D2475BBE7}" name="Train Inspected and Fit for service    (Y/N)" dataDxfId="3"/>
    <tableColumn id="14" xr3:uid="{733AE737-9CE1-4A35-9A2F-C25069BCC870}" name="Inspected by Supervisor/Manager (Name)" dataDxfId="2"/>
    <tableColumn id="15" xr3:uid="{B3EA8000-4EAA-4566-8509-A64255A267B8}" name="Date of Completing all shadows (Tags) on this Unit excluding acid etched shadows" dataDxfId="1"/>
    <tableColumn id="16" xr3:uid="{883602D0-F15A-4436-A5C8-53CC5BE94E2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2" activePane="bottomRight" state="frozen"/>
      <selection pane="topRight"/>
      <selection pane="bottomLeft"/>
      <selection pane="bottomRight" activeCell="D6" sqref="D6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16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17</v>
      </c>
      <c r="N2" s="33" t="s">
        <v>18</v>
      </c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16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17</v>
      </c>
      <c r="N3" s="33" t="s">
        <v>20</v>
      </c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25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26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16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17</v>
      </c>
      <c r="N6" s="33" t="s">
        <v>20</v>
      </c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16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17</v>
      </c>
      <c r="N8" s="33" t="s">
        <v>18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>
        <v>45960</v>
      </c>
      <c r="C11" s="30" t="s">
        <v>16</v>
      </c>
      <c r="D11" s="46">
        <v>7</v>
      </c>
      <c r="E11" s="46">
        <v>75</v>
      </c>
      <c r="F11" s="46">
        <v>75</v>
      </c>
      <c r="G11" s="46">
        <v>0</v>
      </c>
      <c r="H11" s="46">
        <v>0</v>
      </c>
      <c r="I11" s="32"/>
      <c r="J11" s="46"/>
      <c r="K11" s="32"/>
      <c r="L11" s="46"/>
      <c r="M11" s="31" t="s">
        <v>17</v>
      </c>
      <c r="N11" s="33" t="s">
        <v>27</v>
      </c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16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17</v>
      </c>
      <c r="N12" s="33" t="s">
        <v>20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28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29</v>
      </c>
      <c r="N14" s="33" t="s">
        <v>20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16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17</v>
      </c>
      <c r="N15" s="33" t="s">
        <v>27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16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17</v>
      </c>
      <c r="N16" s="33" t="s">
        <v>20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16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17</v>
      </c>
      <c r="N17" s="33" t="s">
        <v>30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16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17</v>
      </c>
      <c r="N18" s="33" t="s">
        <v>27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16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17</v>
      </c>
      <c r="N19" s="33" t="s">
        <v>27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16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17</v>
      </c>
      <c r="N20" s="33" t="s">
        <v>20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16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17</v>
      </c>
      <c r="N21" s="33" t="s">
        <v>30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16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17</v>
      </c>
      <c r="N22" s="33" t="s">
        <v>20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16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17</v>
      </c>
      <c r="N23" s="33" t="s">
        <v>27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16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17</v>
      </c>
      <c r="N24" s="33" t="s">
        <v>20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16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17</v>
      </c>
      <c r="N25" s="33" t="s">
        <v>20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16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16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16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17</v>
      </c>
      <c r="N28" s="33" t="s">
        <v>18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16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16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17</v>
      </c>
      <c r="N31" s="33" t="s">
        <v>18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16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17</v>
      </c>
      <c r="N32" s="33" t="s">
        <v>20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16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17</v>
      </c>
      <c r="N33" s="33" t="s">
        <v>30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16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17</v>
      </c>
      <c r="N35" s="33" t="s">
        <v>30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28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17</v>
      </c>
      <c r="N36" s="33" t="s">
        <v>18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16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17</v>
      </c>
      <c r="N38" s="33" t="s">
        <v>30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16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17</v>
      </c>
      <c r="N39" s="33" t="s">
        <v>30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16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17</v>
      </c>
      <c r="N42" s="33" t="s">
        <v>18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16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17</v>
      </c>
      <c r="N43" s="33" t="s">
        <v>18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16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17</v>
      </c>
      <c r="N44" s="33" t="s">
        <v>18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16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17</v>
      </c>
      <c r="N45" s="33" t="s">
        <v>20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16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17</v>
      </c>
      <c r="N46" s="33" t="s">
        <v>20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16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17</v>
      </c>
      <c r="N47" s="33" t="s">
        <v>30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16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17</v>
      </c>
      <c r="N48" s="33" t="s">
        <v>18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16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17</v>
      </c>
      <c r="N51" s="33" t="s">
        <v>20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16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17</v>
      </c>
      <c r="N53" s="33" t="s">
        <v>18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16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>
        <v>45960</v>
      </c>
      <c r="C56" s="30" t="s">
        <v>16</v>
      </c>
      <c r="D56" s="46">
        <v>4</v>
      </c>
      <c r="E56" s="46">
        <v>24</v>
      </c>
      <c r="F56" s="46">
        <v>24</v>
      </c>
      <c r="G56" s="46">
        <v>0</v>
      </c>
      <c r="H56" s="46">
        <v>0</v>
      </c>
      <c r="I56" s="32"/>
      <c r="J56" s="46"/>
      <c r="K56" s="32"/>
      <c r="L56" s="46"/>
      <c r="M56" s="31" t="s">
        <v>17</v>
      </c>
      <c r="N56" s="33" t="s">
        <v>26</v>
      </c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16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17</v>
      </c>
      <c r="N57" s="33" t="s">
        <v>20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>
        <v>45960</v>
      </c>
      <c r="C59" s="30" t="s">
        <v>16</v>
      </c>
      <c r="D59" s="46">
        <v>3</v>
      </c>
      <c r="E59" s="46">
        <v>21</v>
      </c>
      <c r="F59" s="46">
        <v>21</v>
      </c>
      <c r="G59" s="46">
        <v>0</v>
      </c>
      <c r="H59" s="46">
        <v>0</v>
      </c>
      <c r="I59" s="32"/>
      <c r="J59" s="46"/>
      <c r="K59" s="32"/>
      <c r="L59" s="46"/>
      <c r="M59" s="31" t="s">
        <v>17</v>
      </c>
      <c r="N59" s="33" t="s">
        <v>30</v>
      </c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16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17</v>
      </c>
      <c r="N60" s="33" t="s">
        <v>18</v>
      </c>
      <c r="O60" s="29"/>
      <c r="P60" s="50"/>
    </row>
    <row r="61" spans="1:16" ht="15" customHeight="1" x14ac:dyDescent="0.25">
      <c r="A61" s="44">
        <v>21422</v>
      </c>
      <c r="B61" s="29">
        <v>45960</v>
      </c>
      <c r="C61" s="30" t="s">
        <v>16</v>
      </c>
      <c r="D61" s="46">
        <v>7</v>
      </c>
      <c r="E61" s="46">
        <v>155</v>
      </c>
      <c r="F61" s="46">
        <v>155</v>
      </c>
      <c r="G61" s="46">
        <v>0</v>
      </c>
      <c r="H61" s="46">
        <v>0</v>
      </c>
      <c r="I61" s="32"/>
      <c r="J61" s="46"/>
      <c r="K61" s="32"/>
      <c r="L61" s="46"/>
      <c r="M61" s="31" t="s">
        <v>17</v>
      </c>
      <c r="N61" s="33" t="s">
        <v>27</v>
      </c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16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17</v>
      </c>
      <c r="N62" s="33" t="s">
        <v>20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16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17</v>
      </c>
      <c r="N63" s="33" t="s">
        <v>30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16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17</v>
      </c>
      <c r="N64" s="33" t="s">
        <v>27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17</v>
      </c>
      <c r="N65" s="33" t="s">
        <v>20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16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17</v>
      </c>
      <c r="N66" s="33" t="s">
        <v>30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17</v>
      </c>
      <c r="N67" s="33" t="s">
        <v>20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16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17</v>
      </c>
      <c r="N68" s="33" t="s">
        <v>18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16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17</v>
      </c>
      <c r="N69" s="33" t="s">
        <v>20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17</v>
      </c>
      <c r="N74" s="36" t="s">
        <v>20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28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17</v>
      </c>
      <c r="N75" s="36" t="s">
        <v>18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16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17</v>
      </c>
      <c r="N76" s="36" t="s">
        <v>20</v>
      </c>
      <c r="O76" s="29"/>
      <c r="P76" s="51"/>
    </row>
    <row r="77" spans="1:16" x14ac:dyDescent="0.25">
      <c r="A77" s="44">
        <v>21454</v>
      </c>
      <c r="B77" s="29">
        <v>45960</v>
      </c>
      <c r="C77" s="30" t="s">
        <v>16</v>
      </c>
      <c r="D77" s="47">
        <v>4</v>
      </c>
      <c r="E77" s="47">
        <v>153</v>
      </c>
      <c r="F77" s="47">
        <v>153</v>
      </c>
      <c r="G77" s="47">
        <v>0</v>
      </c>
      <c r="H77" s="47">
        <v>0</v>
      </c>
      <c r="I77" s="35"/>
      <c r="J77" s="47"/>
      <c r="K77" s="35"/>
      <c r="L77" s="47"/>
      <c r="M77" s="34" t="s">
        <v>17</v>
      </c>
      <c r="N77" s="36" t="s">
        <v>27</v>
      </c>
      <c r="O77" s="29"/>
      <c r="P77" s="51"/>
    </row>
    <row r="78" spans="1:16" x14ac:dyDescent="0.25">
      <c r="A78" s="44">
        <v>21456</v>
      </c>
      <c r="B78" s="29">
        <v>45956</v>
      </c>
      <c r="C78" s="30" t="s">
        <v>16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17</v>
      </c>
      <c r="N78" s="36" t="s">
        <v>27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16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17</v>
      </c>
      <c r="N79" s="36" t="s">
        <v>30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16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17</v>
      </c>
      <c r="N81" s="36" t="s">
        <v>20</v>
      </c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16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17</v>
      </c>
      <c r="N83" s="36" t="s">
        <v>20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16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17</v>
      </c>
      <c r="N84" s="36" t="s">
        <v>20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16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17</v>
      </c>
      <c r="N86" s="36" t="s">
        <v>27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16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17</v>
      </c>
      <c r="N87" s="36" t="s">
        <v>30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16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17</v>
      </c>
      <c r="N88" s="36" t="s">
        <v>20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16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17</v>
      </c>
      <c r="N89" s="36" t="s">
        <v>30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17</v>
      </c>
      <c r="N90" s="36" t="s">
        <v>30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16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17</v>
      </c>
      <c r="N91" s="36" t="s">
        <v>30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16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17</v>
      </c>
      <c r="N92" s="36" t="s">
        <v>27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17</v>
      </c>
      <c r="N93" s="36" t="s">
        <v>31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>
        <v>45959</v>
      </c>
      <c r="C95" s="30" t="s">
        <v>16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17</v>
      </c>
      <c r="N95" s="36" t="s">
        <v>20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16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17</v>
      </c>
      <c r="N96" s="36" t="s">
        <v>18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16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17</v>
      </c>
      <c r="N97" s="36" t="s">
        <v>20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16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17</v>
      </c>
      <c r="N98" s="36" t="s">
        <v>18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16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17</v>
      </c>
      <c r="N100" s="36" t="s">
        <v>18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16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17</v>
      </c>
      <c r="N101" s="36" t="s">
        <v>18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16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17</v>
      </c>
      <c r="N102" s="36" t="s">
        <v>18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16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17</v>
      </c>
      <c r="N104" s="36" t="s">
        <v>20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16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17</v>
      </c>
      <c r="N105" s="36" t="s">
        <v>18</v>
      </c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16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17</v>
      </c>
      <c r="N107" s="36" t="s">
        <v>20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16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17</v>
      </c>
      <c r="N109" s="36" t="s">
        <v>18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16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17</v>
      </c>
      <c r="N110" s="36" t="s">
        <v>20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16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17</v>
      </c>
      <c r="N111" s="36" t="s">
        <v>20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16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17</v>
      </c>
      <c r="N112" s="36" t="s">
        <v>20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16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17</v>
      </c>
      <c r="N113" s="36" t="s">
        <v>20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16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17</v>
      </c>
      <c r="N115" s="36" t="s">
        <v>18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16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17</v>
      </c>
      <c r="N117" s="36" t="s">
        <v>20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16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17</v>
      </c>
      <c r="N119" s="36" t="s">
        <v>20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16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17</v>
      </c>
      <c r="N120" s="36" t="s">
        <v>30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16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17</v>
      </c>
      <c r="N121" s="36" t="s">
        <v>20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16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17</v>
      </c>
      <c r="N122" s="36" t="s">
        <v>27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16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17</v>
      </c>
      <c r="N125" s="36" t="s">
        <v>20</v>
      </c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>
        <v>45960</v>
      </c>
      <c r="C127" s="30" t="s">
        <v>16</v>
      </c>
      <c r="D127" s="47">
        <v>2</v>
      </c>
      <c r="E127" s="47">
        <v>12</v>
      </c>
      <c r="F127" s="47">
        <v>12</v>
      </c>
      <c r="G127" s="47">
        <v>0</v>
      </c>
      <c r="H127" s="47">
        <v>0</v>
      </c>
      <c r="I127" s="35"/>
      <c r="J127" s="47"/>
      <c r="K127" s="35"/>
      <c r="L127" s="47"/>
      <c r="M127" s="34" t="s">
        <v>17</v>
      </c>
      <c r="N127" s="36" t="s">
        <v>30</v>
      </c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17</v>
      </c>
      <c r="N128" s="36" t="s">
        <v>30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16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17</v>
      </c>
      <c r="N129" s="36" t="s">
        <v>20</v>
      </c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16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17</v>
      </c>
      <c r="N132" s="36" t="s">
        <v>20</v>
      </c>
      <c r="O132" s="29"/>
      <c r="P132" s="51"/>
    </row>
    <row r="133" spans="1:16" x14ac:dyDescent="0.25">
      <c r="A133" s="44">
        <v>21566</v>
      </c>
      <c r="B133" s="11"/>
      <c r="C133" s="29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17</v>
      </c>
      <c r="N198" s="27" t="s">
        <v>32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17</v>
      </c>
      <c r="N200" s="27" t="s">
        <v>31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17</v>
      </c>
      <c r="N207" s="27" t="s">
        <v>31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17</v>
      </c>
      <c r="N210" s="27" t="s">
        <v>18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17</v>
      </c>
      <c r="N226" s="27" t="s">
        <v>31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17</v>
      </c>
      <c r="N245" s="27" t="s">
        <v>31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11">
        <v>45960</v>
      </c>
      <c r="C4" s="12" t="s">
        <v>16</v>
      </c>
      <c r="D4" s="55">
        <v>6</v>
      </c>
      <c r="E4" s="55">
        <v>13</v>
      </c>
      <c r="F4" s="55">
        <v>13</v>
      </c>
      <c r="G4" s="55">
        <v>0</v>
      </c>
      <c r="H4" s="55">
        <v>0</v>
      </c>
      <c r="I4" s="14"/>
      <c r="J4" s="55"/>
      <c r="K4" s="14"/>
      <c r="L4" s="55"/>
      <c r="M4" s="13" t="s">
        <v>17</v>
      </c>
      <c r="N4" s="15" t="s">
        <v>30</v>
      </c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>
        <v>45960</v>
      </c>
      <c r="C11" s="12" t="s">
        <v>16</v>
      </c>
      <c r="D11" s="55">
        <v>7</v>
      </c>
      <c r="E11" s="55">
        <v>75</v>
      </c>
      <c r="F11" s="55">
        <v>75</v>
      </c>
      <c r="G11" s="55">
        <v>0</v>
      </c>
      <c r="H11" s="55">
        <v>0</v>
      </c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16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17</v>
      </c>
      <c r="N17" s="15" t="s">
        <v>18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17</v>
      </c>
      <c r="N20" s="15" t="s">
        <v>18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>
        <v>45960</v>
      </c>
      <c r="C23" s="12" t="s">
        <v>16</v>
      </c>
      <c r="D23" s="55">
        <v>4</v>
      </c>
      <c r="E23" s="55">
        <v>21</v>
      </c>
      <c r="F23" s="55">
        <v>21</v>
      </c>
      <c r="G23" s="55">
        <v>0</v>
      </c>
      <c r="H23" s="55">
        <v>0</v>
      </c>
      <c r="I23" s="14"/>
      <c r="J23" s="55"/>
      <c r="K23" s="14"/>
      <c r="L23" s="55"/>
      <c r="M23" s="13" t="s">
        <v>17</v>
      </c>
      <c r="N23" s="15" t="s">
        <v>30</v>
      </c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16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17</v>
      </c>
      <c r="N24" s="15" t="s">
        <v>18</v>
      </c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16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17</v>
      </c>
      <c r="N26" s="15" t="s">
        <v>30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16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17</v>
      </c>
      <c r="N30" s="15" t="s">
        <v>18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>
        <v>45960</v>
      </c>
      <c r="C33" s="12" t="s">
        <v>16</v>
      </c>
      <c r="D33" s="55">
        <v>1</v>
      </c>
      <c r="E33" s="55">
        <v>3</v>
      </c>
      <c r="F33" s="55">
        <v>3</v>
      </c>
      <c r="G33" s="55">
        <v>0</v>
      </c>
      <c r="H33" s="55">
        <v>0</v>
      </c>
      <c r="I33" s="14"/>
      <c r="J33" s="55"/>
      <c r="K33" s="14"/>
      <c r="L33" s="55"/>
      <c r="M33" s="13" t="s">
        <v>17</v>
      </c>
      <c r="N33" s="15" t="s">
        <v>33</v>
      </c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17</v>
      </c>
      <c r="N43" s="15" t="s">
        <v>18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16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17</v>
      </c>
      <c r="N48" s="15" t="s">
        <v>20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16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17</v>
      </c>
      <c r="N55" s="15" t="s">
        <v>18</v>
      </c>
      <c r="O55" s="11"/>
      <c r="P55" s="56"/>
    </row>
    <row r="56" spans="1:16" ht="15" customHeight="1" x14ac:dyDescent="0.25">
      <c r="A56" s="44">
        <v>21412</v>
      </c>
      <c r="B56" s="11">
        <v>45960</v>
      </c>
      <c r="C56" s="12" t="s">
        <v>16</v>
      </c>
      <c r="D56" s="55">
        <v>4</v>
      </c>
      <c r="E56" s="55">
        <v>24</v>
      </c>
      <c r="F56" s="55">
        <v>24</v>
      </c>
      <c r="G56" s="55">
        <v>0</v>
      </c>
      <c r="H56" s="55">
        <v>0</v>
      </c>
      <c r="I56" s="14"/>
      <c r="J56" s="55"/>
      <c r="K56" s="14"/>
      <c r="L56" s="55"/>
      <c r="M56" s="13" t="s">
        <v>17</v>
      </c>
      <c r="N56" s="15" t="s">
        <v>30</v>
      </c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>
        <v>45960</v>
      </c>
      <c r="C59" s="12" t="s">
        <v>34</v>
      </c>
      <c r="D59" s="55">
        <v>3</v>
      </c>
      <c r="E59" s="55">
        <v>21</v>
      </c>
      <c r="F59" s="55">
        <v>21</v>
      </c>
      <c r="G59" s="55">
        <v>0</v>
      </c>
      <c r="H59" s="55">
        <v>0</v>
      </c>
      <c r="I59" s="14"/>
      <c r="J59" s="55"/>
      <c r="K59" s="14"/>
      <c r="L59" s="55"/>
      <c r="M59" s="13" t="s">
        <v>17</v>
      </c>
      <c r="N59" s="15" t="s">
        <v>33</v>
      </c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>
        <v>45960</v>
      </c>
      <c r="C61" s="12" t="s">
        <v>16</v>
      </c>
      <c r="D61" s="55">
        <v>7</v>
      </c>
      <c r="E61" s="55">
        <v>155</v>
      </c>
      <c r="F61" s="55">
        <v>155</v>
      </c>
      <c r="G61" s="55">
        <v>0</v>
      </c>
      <c r="H61" s="55">
        <v>0</v>
      </c>
      <c r="I61" s="14"/>
      <c r="J61" s="55"/>
      <c r="K61" s="14"/>
      <c r="L61" s="55"/>
      <c r="M61" s="13" t="s">
        <v>17</v>
      </c>
      <c r="N61" s="15" t="s">
        <v>35</v>
      </c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>
        <v>45960</v>
      </c>
      <c r="C77" s="12" t="s">
        <v>16</v>
      </c>
      <c r="D77" s="48">
        <v>4</v>
      </c>
      <c r="E77" s="48">
        <v>153</v>
      </c>
      <c r="F77" s="48">
        <v>153</v>
      </c>
      <c r="G77" s="48">
        <v>0</v>
      </c>
      <c r="H77" s="48">
        <v>0</v>
      </c>
      <c r="I77" s="26"/>
      <c r="J77" s="48"/>
      <c r="K77" s="26"/>
      <c r="L77" s="48"/>
      <c r="M77" s="25" t="s">
        <v>17</v>
      </c>
      <c r="N77" s="27" t="s">
        <v>36</v>
      </c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17</v>
      </c>
      <c r="N79" s="27" t="s">
        <v>18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16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17</v>
      </c>
      <c r="N86" s="27" t="s">
        <v>18</v>
      </c>
      <c r="O86" s="11"/>
      <c r="P86" s="57"/>
    </row>
    <row r="87" spans="1:16" x14ac:dyDescent="0.25">
      <c r="A87" s="44">
        <v>21474</v>
      </c>
      <c r="B87" s="11">
        <v>45960</v>
      </c>
      <c r="C87" s="12" t="s">
        <v>16</v>
      </c>
      <c r="D87" s="48">
        <v>2</v>
      </c>
      <c r="E87" s="48">
        <v>8</v>
      </c>
      <c r="F87" s="48">
        <v>8</v>
      </c>
      <c r="G87" s="48">
        <v>0</v>
      </c>
      <c r="H87" s="48">
        <v>0</v>
      </c>
      <c r="I87" s="26"/>
      <c r="J87" s="48"/>
      <c r="K87" s="26"/>
      <c r="L87" s="48"/>
      <c r="M87" s="25" t="s">
        <v>17</v>
      </c>
      <c r="N87" s="27" t="s">
        <v>30</v>
      </c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>
        <v>45957</v>
      </c>
      <c r="C91" s="12" t="s">
        <v>16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17</v>
      </c>
      <c r="N91" s="27" t="s">
        <v>18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16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17</v>
      </c>
      <c r="N92" s="27" t="s">
        <v>20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16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17</v>
      </c>
      <c r="N93" s="27" t="s">
        <v>30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16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17</v>
      </c>
      <c r="N102" s="27" t="s">
        <v>18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16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17</v>
      </c>
      <c r="N113" s="27" t="s">
        <v>18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16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17</v>
      </c>
      <c r="N119" s="27" t="s">
        <v>18</v>
      </c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>
        <v>45960</v>
      </c>
      <c r="C127" s="12" t="s">
        <v>16</v>
      </c>
      <c r="D127" s="48">
        <v>2</v>
      </c>
      <c r="E127" s="48">
        <v>12</v>
      </c>
      <c r="F127" s="48">
        <v>12</v>
      </c>
      <c r="G127" s="48">
        <v>0</v>
      </c>
      <c r="H127" s="48">
        <v>0</v>
      </c>
      <c r="I127" s="26"/>
      <c r="J127" s="48"/>
      <c r="K127" s="26"/>
      <c r="L127" s="48"/>
      <c r="M127" s="25" t="s">
        <v>17</v>
      </c>
      <c r="N127" s="27" t="s">
        <v>18</v>
      </c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17</v>
      </c>
      <c r="N176" s="27" t="s">
        <v>18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17" workbookViewId="0">
      <selection activeCell="O5" sqref="O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>
        <v>45960</v>
      </c>
      <c r="C4" s="30" t="s">
        <v>16</v>
      </c>
      <c r="D4" s="46">
        <v>5</v>
      </c>
      <c r="E4" s="46">
        <v>13</v>
      </c>
      <c r="F4" s="46">
        <v>13</v>
      </c>
      <c r="G4" s="46">
        <v>0</v>
      </c>
      <c r="H4" s="46">
        <v>0</v>
      </c>
      <c r="I4" s="32"/>
      <c r="J4" s="46"/>
      <c r="K4" s="32"/>
      <c r="L4" s="46"/>
      <c r="M4" s="31" t="s">
        <v>17</v>
      </c>
      <c r="N4" s="33" t="s">
        <v>18</v>
      </c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>
        <v>45961</v>
      </c>
      <c r="C23" s="30" t="s">
        <v>16</v>
      </c>
      <c r="D23" s="46">
        <v>4</v>
      </c>
      <c r="E23" s="46">
        <v>21</v>
      </c>
      <c r="F23" s="46">
        <v>21</v>
      </c>
      <c r="G23" s="46">
        <v>0</v>
      </c>
      <c r="H23" s="46">
        <v>0</v>
      </c>
      <c r="I23" s="32"/>
      <c r="J23" s="46"/>
      <c r="K23" s="32"/>
      <c r="L23" s="46"/>
      <c r="M23" s="31" t="s">
        <v>29</v>
      </c>
      <c r="N23" s="33" t="s">
        <v>18</v>
      </c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16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18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30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17</v>
      </c>
      <c r="N55" s="33" t="s">
        <v>30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D15" sqref="D1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16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17</v>
      </c>
      <c r="N26" s="33" t="s">
        <v>20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45960</v>
      </c>
      <c r="C30" s="30" t="s">
        <v>16</v>
      </c>
      <c r="D30" s="46">
        <v>2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17</v>
      </c>
      <c r="N30" s="33" t="s">
        <v>33</v>
      </c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F18" sqref="F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63" sqref="G26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G265" sqref="G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I281" sqref="I28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abSelected="1" topLeftCell="A258" workbookViewId="0">
      <selection activeCell="H259" sqref="H25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D9avo6Kv5NM6UzDlZNd0jBmkbeQAhVTbzyflEOCi1E73EgmGab5MH6u6sUQ3eTnMUsSa9AelP/Blv135hWrN/w==" saltValue="mxDXvPvgx62AVVz2VuRPz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2E1-DC54-46B4-B904-A41B768D7AF2}">
  <dimension ref="A1:U268"/>
  <sheetViews>
    <sheetView workbookViewId="0">
      <selection activeCell="G17" sqref="G1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OoCblsi0g+tgjrn56qbIfEnVCQ4mRMBwRk5ilrJ2zGR0ls0IckW4JZC9rbIA8h9Kc+f8ss6z4giylRtAbgbkQ==" saltValue="AQvIaEbG++Kw63VTlrUjl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0F8970CB-7F74-4A9D-ACC6-839B48C23E8F}">
      <formula1>0</formula1>
    </dataValidation>
    <dataValidation type="date" operator="greaterThanOrEqual" allowBlank="1" showInputMessage="1" showErrorMessage="1" sqref="B2:B267 I2:I267 K2:K267 O2:O267" xr:uid="{38BEFDC6-B552-4D40-9955-6F217EDED16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1FD8-DEF0-40DF-81DA-9B996882B50B}">
  <dimension ref="A1:U268"/>
  <sheetViews>
    <sheetView workbookViewId="0">
      <selection activeCell="G12" sqref="G12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YPrN2AGL2gefj3YS14C7WCzfL4bjNvTpg1vP3cN/VaNl/Zb/nCkW8dD0Map026kYJ54X1Vhn5KSLQCZFf6Gt1Q==" saltValue="MlfFAXypSPKyfQQeiLnP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E18365B0-88DF-4C12-BC2F-97E03C799B58}">
      <formula1>45658</formula1>
    </dataValidation>
    <dataValidation type="whole" operator="greaterThanOrEqual" allowBlank="1" showInputMessage="1" showErrorMessage="1" sqref="P2:P267 D2:H267 J2:J267 L2:L267" xr:uid="{1851DD06-FF3A-46B7-A2AC-3C64953FA26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6DBB-15DD-482A-A805-9AD074101511}">
  <dimension ref="A1:U268"/>
  <sheetViews>
    <sheetView workbookViewId="0">
      <selection activeCell="H18" sqref="H18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19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21</v>
      </c>
      <c r="S3" s="17" t="s">
        <v>22</v>
      </c>
      <c r="T3" s="18" t="s">
        <v>23</v>
      </c>
      <c r="U3" s="19" t="s">
        <v>24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2e3Z3Cja5X3HKObb6ke0KsEBA3UltPDt/SGDuv6oD5L/nJ3q2zwC1YZXt1s57qboz53dV4iLeciumZfQOfPIKA==" saltValue="IilrIGvBKAprIkhCltvK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774205E-F5A5-476A-AD25-F8992F17EB04}">
      <formula1>0</formula1>
    </dataValidation>
    <dataValidation type="date" operator="greaterThanOrEqual" allowBlank="1" showInputMessage="1" showErrorMessage="1" sqref="B2:B267 I2:I267 K2:K267 O2:O267" xr:uid="{EBC5EC5F-0B5F-4E24-B607-A59A780DC2C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19DDE-1F7F-4A88-A668-21428B18524E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d5486727-c7ef-48ef-8f67-294a70abf30d"/>
    <ds:schemaRef ds:uri="f09d0ae9-c6ff-4e57-bd1f-955be6ad47a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2025-10-31T14:24:23Z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