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Project - Fleet/Graffiti tags - Tracker/"/>
    </mc:Choice>
  </mc:AlternateContent>
  <xr:revisionPtr revIDLastSave="276" documentId="13_ncr:1_{A68D24F6-9B64-4EB9-B6EF-402BBEB36B5D}" xr6:coauthVersionLast="47" xr6:coauthVersionMax="47" xr10:uidLastSave="{BA68BBAA-7F77-4173-95FB-829448113925}"/>
  <bookViews>
    <workbookView xWindow="-120" yWindow="-120" windowWidth="29040" windowHeight="15720" xr2:uid="{DF4174D7-3B55-464B-9855-5BF5A90A54C0}"/>
  </bookViews>
  <sheets>
    <sheet name="Metropolitan" sheetId="1" r:id="rId1"/>
    <sheet name="Repeat Attacks 1" sheetId="2" r:id="rId2"/>
    <sheet name="Repeat Attacks 2" sheetId="3" r:id="rId3"/>
    <sheet name="Repeat Attacks 3" sheetId="4" r:id="rId4"/>
    <sheet name="Repeat Attacks 4" sheetId="5" r:id="rId5"/>
    <sheet name="Repeat Attacks 5" sheetId="14" r:id="rId6"/>
    <sheet name="Repeat Attacks 6" sheetId="6" r:id="rId7"/>
    <sheet name="Repeat Attacks 7" sheetId="7" r:id="rId8"/>
    <sheet name="Repeat Attacks 8" sheetId="8" r:id="rId9"/>
    <sheet name="Repeat Attacks 9" sheetId="9" r:id="rId10"/>
    <sheet name="Repeat Attacks 10" sheetId="15" r:id="rId11"/>
    <sheet name="Repeat Attacks 11" sheetId="16" r:id="rId12"/>
    <sheet name="Repeat Attacks 12" sheetId="17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7" l="1"/>
  <c r="U4" i="17" s="1"/>
  <c r="S4" i="17"/>
  <c r="T4" i="16"/>
  <c r="U4" i="16" s="1"/>
  <c r="S4" i="16"/>
  <c r="T4" i="15"/>
  <c r="U4" i="15" s="1"/>
  <c r="S4" i="15"/>
  <c r="T4" i="14"/>
  <c r="U4" i="14" s="1"/>
  <c r="S4" i="14"/>
  <c r="T4" i="9"/>
  <c r="U4" i="9" s="1"/>
  <c r="S4" i="9"/>
  <c r="T4" i="8"/>
  <c r="U4" i="8" s="1"/>
  <c r="S4" i="8"/>
  <c r="T4" i="7"/>
  <c r="U4" i="7" s="1"/>
  <c r="S4" i="7"/>
  <c r="T4" i="6"/>
  <c r="U4" i="6" s="1"/>
  <c r="S4" i="6"/>
  <c r="T4" i="5"/>
  <c r="U4" i="5" s="1"/>
  <c r="S4" i="5"/>
  <c r="T4" i="4"/>
  <c r="U4" i="4" s="1"/>
  <c r="S4" i="4"/>
  <c r="T4" i="3"/>
  <c r="U4" i="3" s="1"/>
  <c r="S4" i="3"/>
  <c r="T4" i="2"/>
  <c r="U4" i="2" s="1"/>
  <c r="S4" i="2"/>
  <c r="T4" i="1"/>
  <c r="S4" i="1"/>
  <c r="U4" i="1" l="1"/>
</calcChain>
</file>

<file path=xl/sharedStrings.xml><?xml version="1.0" encoding="utf-8"?>
<sst xmlns="http://schemas.openxmlformats.org/spreadsheetml/2006/main" count="342" uniqueCount="25">
  <si>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</si>
  <si>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</si>
  <si>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</si>
  <si>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</si>
  <si>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</si>
  <si>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</si>
  <si>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</si>
  <si>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</si>
  <si>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</si>
  <si>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</si>
  <si>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</si>
  <si>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</si>
  <si>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</si>
  <si>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</si>
  <si>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</si>
  <si>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</si>
  <si>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Total Units Completed</t>
  </si>
  <si>
    <t>Total Trains</t>
  </si>
  <si>
    <t>Total Units</t>
  </si>
  <si>
    <t>Units Compled</t>
  </si>
  <si>
    <t>% Completed</t>
  </si>
  <si>
    <t>Y</t>
  </si>
  <si>
    <t>B Baiceanu</t>
  </si>
  <si>
    <t>Service train</t>
  </si>
  <si>
    <t>B. Baiceanu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</si>
</sst>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name val="Arial"/>
      <family val="2"/>
    </font>
    <font>
      <b/>
      <sz val="1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indexed="63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9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1">
    <xf numFmtId="0" fontId="0" fillId="0" borderId="0" xfId="0"/>
    <xf numFmtId="0" fontId="2" fillId="2" borderId="1" xfId="0" applyFont="1" applyFill="1" applyBorder="1" applyAlignment="1" applyProtection="1">
      <alignment horizontal="center" vertical="center"/>
      <protection hidden="1"/>
    </xf>
    <xf numFmtId="0" fontId="3" fillId="3" borderId="2" xfId="0" applyFont="1" applyFill="1" applyBorder="1" applyAlignment="1" applyProtection="1">
      <alignment horizontal="center" vertical="center" wrapText="1"/>
      <protection hidden="1"/>
    </xf>
    <xf numFmtId="0" fontId="3" fillId="4" borderId="2" xfId="0" applyFont="1" applyFill="1" applyBorder="1" applyAlignment="1" applyProtection="1">
      <alignment horizontal="center" vertical="center" wrapText="1"/>
      <protection hidden="1"/>
    </xf>
    <xf numFmtId="0" fontId="3" fillId="5" borderId="3" xfId="0" applyFont="1" applyFill="1" applyBorder="1" applyAlignment="1" applyProtection="1">
      <alignment horizontal="center" vertical="center" wrapText="1"/>
      <protection hidden="1"/>
    </xf>
    <xf numFmtId="0" fontId="3" fillId="6" borderId="3" xfId="0" applyFont="1" applyFill="1" applyBorder="1" applyAlignment="1" applyProtection="1">
      <alignment horizontal="center" vertical="center" wrapText="1"/>
      <protection hidden="1"/>
    </xf>
    <xf numFmtId="0" fontId="3" fillId="4" borderId="3" xfId="0" applyFont="1" applyFill="1" applyBorder="1" applyAlignment="1" applyProtection="1">
      <alignment horizontal="center" vertical="center" wrapText="1"/>
      <protection hidden="1"/>
    </xf>
    <xf numFmtId="0" fontId="3" fillId="4" borderId="4" xfId="0" applyFont="1" applyFill="1" applyBorder="1" applyAlignment="1" applyProtection="1">
      <alignment horizontal="center" vertical="center" wrapText="1"/>
      <protection hidden="1"/>
    </xf>
    <xf numFmtId="0" fontId="3" fillId="4" borderId="5" xfId="0" applyFont="1" applyFill="1" applyBorder="1" applyAlignment="1" applyProtection="1">
      <alignment horizontal="center" vertical="center" wrapText="1"/>
      <protection hidden="1"/>
    </xf>
    <xf numFmtId="0" fontId="3" fillId="7" borderId="4" xfId="0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>
      <alignment horizontal="left" vertical="top" wrapText="1" indent="1"/>
    </xf>
    <xf numFmtId="164" fontId="5" fillId="0" borderId="4" xfId="0" applyNumberFormat="1" applyFont="1" applyBorder="1" applyAlignment="1" applyProtection="1">
      <alignment horizontal="center" vertical="center"/>
      <protection locked="0"/>
    </xf>
    <xf numFmtId="164" fontId="5" fillId="0" borderId="4" xfId="0" applyNumberFormat="1" applyFont="1" applyBorder="1" applyAlignment="1" applyProtection="1">
      <alignment horizontal="left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14" fontId="5" fillId="0" borderId="4" xfId="0" applyNumberFormat="1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0" fontId="0" fillId="0" borderId="11" xfId="0" applyBorder="1" applyAlignment="1">
      <alignment horizontal="left" vertical="top" wrapText="1" indent="1"/>
    </xf>
    <xf numFmtId="0" fontId="0" fillId="8" borderId="4" xfId="0" applyFill="1" applyBorder="1" applyAlignment="1">
      <alignment horizontal="left" vertical="top" wrapText="1" indent="1"/>
    </xf>
    <xf numFmtId="0" fontId="0" fillId="9" borderId="4" xfId="0" applyFill="1" applyBorder="1" applyAlignment="1">
      <alignment horizontal="left" vertical="top" wrapText="1" indent="1"/>
    </xf>
    <xf numFmtId="0" fontId="0" fillId="10" borderId="12" xfId="0" applyFill="1" applyBorder="1" applyAlignment="1">
      <alignment horizontal="left" vertical="top" wrapText="1" indent="1"/>
    </xf>
    <xf numFmtId="0" fontId="0" fillId="0" borderId="13" xfId="0" applyBorder="1" applyAlignment="1">
      <alignment horizontal="left" vertical="top" wrapText="1" indent="1"/>
    </xf>
    <xf numFmtId="0" fontId="0" fillId="0" borderId="14" xfId="0" applyBorder="1" applyAlignment="1">
      <alignment horizontal="center" vertical="top" wrapText="1"/>
    </xf>
    <xf numFmtId="0" fontId="0" fillId="0" borderId="15" xfId="1" applyNumberFormat="1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6" fillId="7" borderId="4" xfId="0" applyFont="1" applyFill="1" applyBorder="1" applyAlignment="1" applyProtection="1">
      <alignment horizontal="center" vertical="center"/>
      <protection locked="0"/>
    </xf>
    <xf numFmtId="0" fontId="7" fillId="11" borderId="4" xfId="0" applyFont="1" applyFill="1" applyBorder="1" applyAlignment="1" applyProtection="1">
      <alignment horizontal="center" vertical="center"/>
      <protection hidden="1"/>
    </xf>
    <xf numFmtId="164" fontId="5" fillId="0" borderId="19" xfId="0" applyNumberFormat="1" applyFont="1" applyBorder="1" applyAlignment="1" applyProtection="1">
      <alignment horizontal="center" vertical="center"/>
      <protection locked="0"/>
    </xf>
    <xf numFmtId="164" fontId="5" fillId="0" borderId="19" xfId="0" applyNumberFormat="1" applyFont="1" applyBorder="1" applyAlignment="1" applyProtection="1">
      <alignment horizontal="left" vertical="center"/>
      <protection locked="0"/>
    </xf>
    <xf numFmtId="0" fontId="6" fillId="0" borderId="19" xfId="0" applyFont="1" applyBorder="1" applyAlignment="1" applyProtection="1">
      <alignment horizontal="center" vertical="center"/>
      <protection locked="0"/>
    </xf>
    <xf numFmtId="14" fontId="6" fillId="0" borderId="19" xfId="0" applyNumberFormat="1" applyFont="1" applyBorder="1" applyAlignment="1" applyProtection="1">
      <alignment horizontal="center" vertical="center"/>
      <protection locked="0"/>
    </xf>
    <xf numFmtId="0" fontId="6" fillId="0" borderId="19" xfId="0" applyFont="1" applyBorder="1" applyAlignment="1" applyProtection="1">
      <alignment vertical="center"/>
      <protection locked="0"/>
    </xf>
    <xf numFmtId="1" fontId="4" fillId="7" borderId="6" xfId="0" applyNumberFormat="1" applyFont="1" applyFill="1" applyBorder="1" applyAlignment="1">
      <alignment horizontal="center"/>
    </xf>
    <xf numFmtId="1" fontId="4" fillId="7" borderId="11" xfId="0" applyNumberFormat="1" applyFont="1" applyFill="1" applyBorder="1" applyAlignment="1">
      <alignment horizontal="center"/>
    </xf>
    <xf numFmtId="1" fontId="4" fillId="7" borderId="13" xfId="0" applyNumberFormat="1" applyFont="1" applyFill="1" applyBorder="1" applyAlignment="1">
      <alignment horizontal="center"/>
    </xf>
    <xf numFmtId="1" fontId="4" fillId="7" borderId="16" xfId="0" applyNumberFormat="1" applyFont="1" applyFill="1" applyBorder="1" applyAlignment="1">
      <alignment horizontal="center"/>
    </xf>
    <xf numFmtId="1" fontId="4" fillId="7" borderId="4" xfId="0" applyNumberFormat="1" applyFont="1" applyFill="1" applyBorder="1" applyAlignment="1">
      <alignment horizontal="center"/>
    </xf>
    <xf numFmtId="1" fontId="4" fillId="7" borderId="14" xfId="0" applyNumberFormat="1" applyFont="1" applyFill="1" applyBorder="1" applyAlignment="1">
      <alignment horizontal="center"/>
    </xf>
    <xf numFmtId="1" fontId="4" fillId="7" borderId="17" xfId="0" applyNumberFormat="1" applyFont="1" applyFill="1" applyBorder="1" applyAlignment="1">
      <alignment horizontal="center"/>
    </xf>
    <xf numFmtId="1" fontId="4" fillId="7" borderId="12" xfId="0" applyNumberFormat="1" applyFont="1" applyFill="1" applyBorder="1" applyAlignment="1">
      <alignment horizontal="center"/>
    </xf>
    <xf numFmtId="1" fontId="4" fillId="7" borderId="18" xfId="0" applyNumberFormat="1" applyFont="1" applyFill="1" applyBorder="1" applyAlignment="1">
      <alignment horizontal="center"/>
    </xf>
    <xf numFmtId="1" fontId="5" fillId="0" borderId="4" xfId="0" applyNumberFormat="1" applyFont="1" applyBorder="1" applyAlignment="1" applyProtection="1">
      <alignment horizontal="center" vertical="center"/>
      <protection locked="0"/>
    </xf>
    <xf numFmtId="1" fontId="6" fillId="0" borderId="19" xfId="0" applyNumberFormat="1" applyFont="1" applyBorder="1" applyAlignment="1" applyProtection="1">
      <alignment horizontal="center" vertical="center"/>
      <protection locked="0"/>
    </xf>
    <xf numFmtId="1" fontId="5" fillId="0" borderId="7" xfId="0" applyNumberFormat="1" applyFont="1" applyBorder="1" applyAlignment="1" applyProtection="1">
      <alignment horizontal="center" vertical="center"/>
      <protection locked="0"/>
    </xf>
    <xf numFmtId="1" fontId="6" fillId="7" borderId="20" xfId="0" applyNumberFormat="1" applyFont="1" applyFill="1" applyBorder="1" applyAlignment="1" applyProtection="1">
      <alignment horizontal="center" vertical="center"/>
      <protection locked="0"/>
    </xf>
    <xf numFmtId="1" fontId="6" fillId="11" borderId="20" xfId="0" applyNumberFormat="1" applyFont="1" applyFill="1" applyBorder="1" applyAlignment="1" applyProtection="1">
      <alignment horizontal="center" vertical="center"/>
      <protection locked="0"/>
    </xf>
    <xf numFmtId="1" fontId="2" fillId="2" borderId="1" xfId="0" applyNumberFormat="1" applyFont="1" applyFill="1" applyBorder="1" applyAlignment="1" applyProtection="1">
      <alignment horizontal="center" vertical="center"/>
      <protection hidden="1"/>
    </xf>
    <xf numFmtId="1" fontId="0" fillId="0" borderId="0" xfId="0" applyNumberFormat="1" applyAlignment="1">
      <alignment horizontal="left" vertical="top" wrapText="1" indent="1"/>
    </xf>
    <xf numFmtId="1" fontId="3" fillId="4" borderId="2" xfId="0" applyNumberFormat="1" applyFont="1" applyFill="1" applyBorder="1" applyAlignment="1" applyProtection="1">
      <alignment horizontal="center" vertical="center" wrapText="1"/>
      <protection hidden="1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center" vertical="top"/>
    </xf>
    <xf numFmtId="0" fontId="0" fillId="0" borderId="10" xfId="0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23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85A389-B6F7-470C-AA91-6FB3DD16320D}" name="TagsRA0" displayName="TagsRA0" ref="A1:P119" totalsRowShown="0" headerRowDxfId="233" tableBorderDxfId="232">
  <autoFilter ref="A1:P119" xr:uid="{4D85A389-B6F7-470C-AA91-6FB3DD16320D}"/>
  <tableColumns count="16">
    <tableColumn id="1" xr3:uid="{0E424CA6-5D03-491A-BAA3-FB3A6A225152}" name="Unit No." dataDxfId="231"/>
    <tableColumn id="2" xr3:uid="{39827857-BED2-4C08-A188-9A5615C37B85}" name="DATE" dataDxfId="230"/>
    <tableColumn id="3" xr3:uid="{89F24AD6-F189-4770-AE72-D16439F6CB66}" name="Status" dataDxfId="229"/>
    <tableColumn id="4" xr3:uid="{8D8BD4E3-5ECC-4FE2-B9B0-D5FA0E7E1066}" name="Number of cars affected by graffiti/shadows on this unit" dataDxfId="228"/>
    <tableColumn id="5" xr3:uid="{A70B24A6-37A8-4DE7-9E46-39CF8438073A}" name="Total Number of Tags found" dataDxfId="227"/>
    <tableColumn id="6" xr3:uid="{DB40C1DC-92C2-4925-B69F-8071FE051E09}" name="Total Tags Removed / Cleaned" dataDxfId="226"/>
    <tableColumn id="7" xr3:uid="{79E802CE-CDF7-473B-883D-5281873D1424}" name="Total Tags Not Cleaned on this Unit" dataDxfId="225"/>
    <tableColumn id="8" xr3:uid="{DE42A640-2A4A-49AE-BEE9-4B32D0F17A95}" name="Car Number (s)  of Tags not cleaned (shadows)" dataDxfId="224"/>
    <tableColumn id="9" xr3:uid="{7503481E-EF5D-4B66-BFC9-FFF8CF3B0022}" name="Date of 2nd visit to clean remaining tags" dataDxfId="223"/>
    <tableColumn id="10" xr3:uid="{BFD3FB9F-A199-4B31-900F-00D65C2FB184}" name="Number of tags removed" dataDxfId="222"/>
    <tableColumn id="11" xr3:uid="{CC3437A1-0133-4889-9A46-2D5DA16F1781}" name="Date of 3rd visit to clean remaining tags" dataDxfId="221"/>
    <tableColumn id="12" xr3:uid="{53D19E99-0245-499A-832F-1C0A7676020D}" name="Number of tags removed2" dataDxfId="220"/>
    <tableColumn id="13" xr3:uid="{82897E78-E3E0-4B8A-A258-A65951EEC113}" name="Train Inspected and Fit for service    (Y/N)" dataDxfId="219"/>
    <tableColumn id="14" xr3:uid="{F6A9607C-DDAC-434D-B0EE-30916E27A429}" name="Inspected by Supervisor/Manager (Name)" dataDxfId="218"/>
    <tableColumn id="15" xr3:uid="{82017BF6-728A-4C06-A971-92006D701844}" name="Date of Completing all shadows (Tags) on this Unit excluding acid etched shadows" dataDxfId="217"/>
    <tableColumn id="16" xr3:uid="{C88C8AE1-9694-41A0-B53E-CE9729B38684}" name="Car Number (s)  of Tags not cleaned due to acid etched shadows" dataDxfId="2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E340C1-CA21-4BCB-9602-DE63609D1DAD}" name="TagsRA1" displayName="TagsRA1" ref="A1:P119" totalsRowShown="0" headerRowDxfId="215" tableBorderDxfId="214">
  <autoFilter ref="A1:P119" xr:uid="{EEE340C1-CA21-4BCB-9602-DE63609D1DAD}"/>
  <tableColumns count="16">
    <tableColumn id="1" xr3:uid="{6566560E-AD35-4364-8DDB-1077C5921C4B}" name="Unit No." dataDxfId="213"/>
    <tableColumn id="2" xr3:uid="{DEED7B34-25B6-4B0A-87D9-0CFC0AAF6929}" name="DATE" dataDxfId="212"/>
    <tableColumn id="3" xr3:uid="{4A3A7CA1-B0DB-4DA8-B260-10DB96023BE5}" name="Status" dataDxfId="211"/>
    <tableColumn id="4" xr3:uid="{039E5B9C-5E07-4D8E-84A7-CCD90B11E0DD}" name="Number of cars affected by graffiti/shadows on this unit" dataDxfId="210"/>
    <tableColumn id="5" xr3:uid="{F3DB0B24-EE7B-438A-93BF-1C66D1D0BCCE}" name="Total Number of Tags found" dataDxfId="209"/>
    <tableColumn id="6" xr3:uid="{2B7E2D8A-643F-4DE9-8E64-C037FE8B74C6}" name="Total Tags Removed / Cleaned" dataDxfId="208"/>
    <tableColumn id="7" xr3:uid="{243AAFCE-20E2-498E-9C6B-9673A3D986CC}" name="Total Tags Not Cleaned on this Unit" dataDxfId="207"/>
    <tableColumn id="8" xr3:uid="{0B2A39DB-6C5D-4822-B850-2E9D7DB6D33C}" name="Car Number (s)  of Tags not cleaned (shadows)" dataDxfId="206"/>
    <tableColumn id="9" xr3:uid="{5C553884-0F97-46E2-BFDF-032EF46A26A3}" name="Date of 2nd visit to clean remaining tags" dataDxfId="205"/>
    <tableColumn id="10" xr3:uid="{DB6DD5F6-F146-40EB-B693-9921F7DA3789}" name="Number of tags removed" dataDxfId="204"/>
    <tableColumn id="11" xr3:uid="{9CB0B4C6-A05B-4E36-BD6B-307B102AD4B5}" name="Date of 3rd visit to clean remaining tags" dataDxfId="203"/>
    <tableColumn id="12" xr3:uid="{076B8247-22E0-4E28-A01F-E0573FF32FD1}" name="Number of tags removed2" dataDxfId="202"/>
    <tableColumn id="13" xr3:uid="{A5E94A4E-ACC0-4EE1-9689-C569DD9A2520}" name="Train Inspected and Fit for service    (Y/N)" dataDxfId="201"/>
    <tableColumn id="14" xr3:uid="{399BC086-46C5-4763-B142-2429532A5011}" name="Inspected by Supervisor/Manager (Name)" dataDxfId="200"/>
    <tableColumn id="15" xr3:uid="{42745953-5259-4477-9876-3F17CB4B8C58}" name="Date of Completing all shadows (Tags) on this Unit excluding acid etched shadows" dataDxfId="199"/>
    <tableColumn id="16" xr3:uid="{8656EBA0-853C-4423-8F39-BFA55044620B}" name="Car Number (s)  of Tags not cleaned due to acid etched shadows" dataDxfId="19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8A2BFD8-C2A6-4B9B-9AFB-A51B22CFAC7F}" name="TagsRA2" displayName="TagsRA2" ref="A1:P119" totalsRowShown="0" headerRowDxfId="197" tableBorderDxfId="196">
  <autoFilter ref="A1:P119" xr:uid="{98A2BFD8-C2A6-4B9B-9AFB-A51B22CFAC7F}"/>
  <tableColumns count="16">
    <tableColumn id="1" xr3:uid="{6F863B0D-0775-421A-AAC1-6C0151771B53}" name="Unit No." dataDxfId="195"/>
    <tableColumn id="2" xr3:uid="{AE01CB81-55CD-4761-8307-C3B486749238}" name="DATE" dataDxfId="194"/>
    <tableColumn id="3" xr3:uid="{DB06CD3C-8221-4F8F-A83C-5C3064EA0AD8}" name="Status" dataDxfId="193"/>
    <tableColumn id="4" xr3:uid="{B31C15A1-E92A-4CF6-B629-C91870A5E47E}" name="Number of cars affected by graffiti/shadows on this unit" dataDxfId="192"/>
    <tableColumn id="5" xr3:uid="{F3D7E630-6F3D-4752-9EA0-FC099AA6E3FA}" name="Total Number of Tags found" dataDxfId="191"/>
    <tableColumn id="6" xr3:uid="{E053E333-49EC-4C83-A69C-310BEC57BA9A}" name="Total Tags Removed / Cleaned" dataDxfId="190"/>
    <tableColumn id="7" xr3:uid="{7D2AA36C-13B4-4D7A-9476-373EC9217FB7}" name="Total Tags Not Cleaned on this Unit" dataDxfId="189"/>
    <tableColumn id="8" xr3:uid="{60896E94-48E2-4FE0-9DF4-FD418E087EA1}" name="Car Number (s)  of Tags not cleaned (shadows)" dataDxfId="188"/>
    <tableColumn id="9" xr3:uid="{9DB4E168-C5CA-4576-B365-53F31370EE83}" name="Date of 2nd visit to clean remaining tags" dataDxfId="187"/>
    <tableColumn id="10" xr3:uid="{25258EDC-EB5D-48AD-A510-49D903DDFB63}" name="Number of tags removed" dataDxfId="186"/>
    <tableColumn id="11" xr3:uid="{BB27E88A-49D8-4042-AA5C-5D0A6529C9D3}" name="Date of 3rd visit to clean remaining tags" dataDxfId="185"/>
    <tableColumn id="12" xr3:uid="{FAFD2537-4304-4DE3-B573-099DDD579AF6}" name="Number of tags removed2" dataDxfId="184"/>
    <tableColumn id="13" xr3:uid="{82B65385-975C-422F-93E8-96EB2E8C9F9D}" name="Train Inspected and Fit for service    (Y/N)" dataDxfId="183"/>
    <tableColumn id="14" xr3:uid="{ECE1DBF4-A846-40D7-987C-70A03B541028}" name="Inspected by Supervisor/Manager (Name)" dataDxfId="182"/>
    <tableColumn id="15" xr3:uid="{764641CF-E847-48B8-A50E-4AE7B2B312C6}" name="Date of Completing all shadows (Tags) on this Unit excluding acid etched shadows" dataDxfId="181"/>
    <tableColumn id="16" xr3:uid="{3106B243-446D-4AE9-9C0A-CE597100C1BA}" name="Car Number (s)  of Tags not cleaned due to acid etched shadows" dataDxfId="18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B0C8A1B-CDA6-4D2C-B6D8-90005CBF0551}" name="TagsRA3" displayName="TagsRA3" ref="A1:P119" totalsRowShown="0" headerRowDxfId="179" tableBorderDxfId="178">
  <autoFilter ref="A1:P119" xr:uid="{8B0C8A1B-CDA6-4D2C-B6D8-90005CBF0551}"/>
  <tableColumns count="16">
    <tableColumn id="1" xr3:uid="{01764F17-A2C3-4F0F-9073-B3332A7AD677}" name="Unit No." dataDxfId="177"/>
    <tableColumn id="2" xr3:uid="{BF2F6213-EE28-40B9-80D3-315FDE60ABD2}" name="DATE" dataDxfId="176"/>
    <tableColumn id="3" xr3:uid="{FCC11C1D-E758-491C-8FE7-DE10E97671A2}" name="Status" dataDxfId="175"/>
    <tableColumn id="4" xr3:uid="{FC5BAFCA-F621-4B7F-B779-DFB253CF9B7D}" name="Number of cars affected by graffiti/shadows on this unit" dataDxfId="174"/>
    <tableColumn id="5" xr3:uid="{BA79C06B-340B-40FD-8490-304A03243E8C}" name="Total Number of Tags found" dataDxfId="173"/>
    <tableColumn id="6" xr3:uid="{BD111091-D97E-486E-901B-1FA395DC7E24}" name="Total Tags Removed / Cleaned" dataDxfId="172"/>
    <tableColumn id="7" xr3:uid="{60434BC5-3FDB-4AE6-9BC9-32C167185293}" name="Total Tags Not Cleaned on this Unit" dataDxfId="171"/>
    <tableColumn id="8" xr3:uid="{F952FE2B-B22B-4166-9C04-13AF3B859FAD}" name="Car Number (s)  of Tags not cleaned (shadows)" dataDxfId="170"/>
    <tableColumn id="9" xr3:uid="{CD4E8983-EE09-4BD0-8632-E48A18FE31CD}" name="Date of 2nd visit to clean remaining tags" dataDxfId="169"/>
    <tableColumn id="10" xr3:uid="{C331A495-53C1-405B-9A4C-525FAA9375AD}" name="Number of tags removed" dataDxfId="168"/>
    <tableColumn id="11" xr3:uid="{FF184272-B441-44F2-8C53-545043BDB439}" name="Date of 3rd visit to clean remaining tags" dataDxfId="167"/>
    <tableColumn id="12" xr3:uid="{3CE6E3D6-B24C-4D6A-A32B-E012EAE5D5C2}" name="Number of tags removed2" dataDxfId="166"/>
    <tableColumn id="13" xr3:uid="{8B206884-5249-4156-BD90-EEFEC4C53D90}" name="Train Inspected and Fit for service    (Y/N)" dataDxfId="165"/>
    <tableColumn id="14" xr3:uid="{4589F9CA-03A0-4E36-BB19-6E579376A14A}" name="Inspected by Supervisor/Manager (Name)" dataDxfId="164"/>
    <tableColumn id="15" xr3:uid="{CD50E974-79FD-4E8A-AAC4-AB36F1ADBB58}" name="Date of Completing all shadows (Tags) on this Unit excluding acid etched shadows" dataDxfId="163"/>
    <tableColumn id="16" xr3:uid="{E8E5D8E9-3F2A-4C8B-9AEE-9D59199C34B2}" name="Car Number (s)  of Tags not cleaned due to acid etched shadows" dataDxfId="16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4AD18AB-AFE7-4EA6-BAFC-D86A2B8B0977}" name="TagsRA4" displayName="TagsRA4" ref="A1:P119" totalsRowShown="0" headerRowDxfId="161" tableBorderDxfId="160">
  <autoFilter ref="A1:P119" xr:uid="{24AD18AB-AFE7-4EA6-BAFC-D86A2B8B0977}"/>
  <tableColumns count="16">
    <tableColumn id="1" xr3:uid="{D68556A4-1E55-4E77-96A3-2AC329093DB0}" name="Unit No." dataDxfId="159"/>
    <tableColumn id="2" xr3:uid="{B6A4CB03-749F-4619-9EC3-E29657D4005A}" name="DATE" dataDxfId="158"/>
    <tableColumn id="3" xr3:uid="{50AE72E7-5A71-4394-B547-DF65B9A0C6F6}" name="Status" dataDxfId="157"/>
    <tableColumn id="4" xr3:uid="{C203BE49-0C84-488A-BB56-197478FCF658}" name="Number of cars affected by graffiti/shadows on this unit" dataDxfId="156"/>
    <tableColumn id="5" xr3:uid="{B6B0CF71-C7CC-42B4-AAEA-5D9F7E9D3DFA}" name="Total Number of Tags found" dataDxfId="155"/>
    <tableColumn id="6" xr3:uid="{421A4E70-E573-4741-9B52-E6868C2E6FF0}" name="Total Tags Removed / Cleaned" dataDxfId="154"/>
    <tableColumn id="7" xr3:uid="{27B19B25-0298-4858-AF7C-FB785B6CDC69}" name="Total Tags Not Cleaned on this Unit" dataDxfId="153"/>
    <tableColumn id="8" xr3:uid="{26B591CE-FF33-44EB-87CC-C0FA59650F8E}" name="Car Number (s)  of Tags not cleaned (shadows)" dataDxfId="152"/>
    <tableColumn id="9" xr3:uid="{D9E4AF3D-B956-4D3C-BC84-FBEB6279F359}" name="Date of 2nd visit to clean remaining tags" dataDxfId="151"/>
    <tableColumn id="10" xr3:uid="{98616A59-EC8E-4C82-B2DF-E33E36170CD6}" name="Number of tags removed" dataDxfId="150"/>
    <tableColumn id="11" xr3:uid="{008FA211-C793-40E0-9488-DD4869CCEF52}" name="Date of 3rd visit to clean remaining tags" dataDxfId="149"/>
    <tableColumn id="12" xr3:uid="{A56DFBD7-B535-41C4-B96F-B9F5CFC4B8F0}" name="Number of tags removed2" dataDxfId="148"/>
    <tableColumn id="13" xr3:uid="{0E3074F3-8C07-4380-B29A-F923E8706A78}" name="Train Inspected and Fit for service    (Y/N)" dataDxfId="147"/>
    <tableColumn id="14" xr3:uid="{74D25DEF-DA84-4199-B6D5-8EC55001C6AD}" name="Inspected by Supervisor/Manager (Name)" dataDxfId="146"/>
    <tableColumn id="15" xr3:uid="{5D1CFC03-423B-4682-9EA9-E759BB647C05}" name="Date of Completing all shadows (Tags) on this Unit excluding acid etched shadows" dataDxfId="145"/>
    <tableColumn id="16" xr3:uid="{9F4C85CB-36D0-4C3C-B53A-0DF3A579ABAD}" name="Car Number (s)  of Tags not cleaned due to acid etched shadows" dataDxfId="14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1F7C176-6486-40EF-9658-99F5933452B3}" name="TagsRA5" displayName="TagsRA5" ref="A1:P119" totalsRowShown="0" headerRowDxfId="143" tableBorderDxfId="142">
  <autoFilter ref="A1:P119" xr:uid="{51F7C176-6486-40EF-9658-99F5933452B3}"/>
  <tableColumns count="16">
    <tableColumn id="1" xr3:uid="{A08C04D5-121F-417E-8347-47B7DBE98101}" name="Unit No." dataDxfId="141"/>
    <tableColumn id="2" xr3:uid="{B03CCFAB-9FB0-46D3-A291-6CB2E49081D9}" name="DATE" dataDxfId="140"/>
    <tableColumn id="3" xr3:uid="{0D772617-4591-430E-8FFF-A963020536B5}" name="Status" dataDxfId="139"/>
    <tableColumn id="4" xr3:uid="{748FCA40-A17F-4239-80C1-4808D8B7D867}" name="Number of cars affected by graffiti/shadows on this unit" dataDxfId="138"/>
    <tableColumn id="5" xr3:uid="{3D47748F-5AA7-4A55-8153-A689732530E1}" name="Total Number of Tags found" dataDxfId="137"/>
    <tableColumn id="6" xr3:uid="{46920DA4-D592-43C6-AC03-8368E5177C1C}" name="Total Tags Removed / Cleaned" dataDxfId="136"/>
    <tableColumn id="7" xr3:uid="{7FA08BF7-DF8B-44CD-AE9A-BE51EE584B2A}" name="Total Tags Not Cleaned on this Unit" dataDxfId="135"/>
    <tableColumn id="8" xr3:uid="{86A22C67-3059-4973-BF85-4B269A9F1820}" name="Car Number (s)  of Tags not cleaned (shadows)" dataDxfId="134"/>
    <tableColumn id="9" xr3:uid="{EE9A36C9-2E66-4C13-AF68-87B9D6616D98}" name="Date of 2nd visit to clean remaining tags" dataDxfId="133"/>
    <tableColumn id="10" xr3:uid="{639D0861-ECE8-43D8-A806-5AD4C66B6A54}" name="Number of tags removed" dataDxfId="132"/>
    <tableColumn id="11" xr3:uid="{2D0453B3-C316-482B-A46C-51E9F0E4AAFF}" name="Date of 3rd visit to clean remaining tags" dataDxfId="131"/>
    <tableColumn id="12" xr3:uid="{7794B145-A7EF-40F4-B696-9176D51D7A05}" name="Number of tags removed2" dataDxfId="130"/>
    <tableColumn id="13" xr3:uid="{0E3A8AE0-5AF6-44B1-BEF9-5D5AFD68681C}" name="Train Inspected and Fit for service    (Y/N)" dataDxfId="129"/>
    <tableColumn id="14" xr3:uid="{17D95262-EDD1-4998-8E15-25A2F85165A8}" name="Inspected by Supervisor/Manager (Name)" dataDxfId="128"/>
    <tableColumn id="15" xr3:uid="{F57497C5-5A06-4369-A41E-BDA393E47E5B}" name="Date of Completing all shadows (Tags) on this Unit excluding acid etched shadows" dataDxfId="127"/>
    <tableColumn id="16" xr3:uid="{4E3BA9AC-E59E-45EB-9951-C0EE04E6D59C}" name="Car Number (s)  of Tags not cleaned due to acid etched shadows" dataDxfId="12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FB96D3B-DA16-4C4E-BB81-67B22C7D412D}" name="TagsRA6" displayName="TagsRA6" ref="A1:P119" totalsRowShown="0" headerRowDxfId="125" tableBorderDxfId="124">
  <autoFilter ref="A1:P119" xr:uid="{BFB96D3B-DA16-4C4E-BB81-67B22C7D412D}"/>
  <tableColumns count="16">
    <tableColumn id="1" xr3:uid="{82003F78-BD46-46ED-BCE3-0DB083C1D00E}" name="Unit No." dataDxfId="123"/>
    <tableColumn id="2" xr3:uid="{2C69EB37-453F-45ED-AA9B-256B00097B2E}" name="DATE" dataDxfId="122"/>
    <tableColumn id="3" xr3:uid="{03D68963-700E-4D5C-A839-75128D66D496}" name="Status" dataDxfId="121"/>
    <tableColumn id="4" xr3:uid="{BB966441-4DAF-4274-9346-F2ADBA529130}" name="Number of cars affected by graffiti/shadows on this unit" dataDxfId="120"/>
    <tableColumn id="5" xr3:uid="{F607A392-4C50-4F97-942D-3CF93FA578BB}" name="Total Number of Tags found" dataDxfId="119"/>
    <tableColumn id="6" xr3:uid="{538930D3-F8C4-43F2-9D92-F5A4F198F816}" name="Total Tags Removed / Cleaned" dataDxfId="118"/>
    <tableColumn id="7" xr3:uid="{9575E580-5A9A-42F0-998F-9EA7FC6C35E4}" name="Total Tags Not Cleaned on this Unit" dataDxfId="117"/>
    <tableColumn id="8" xr3:uid="{A5E3284A-6E84-46F2-8207-FCD6F386BF8D}" name="Car Number (s)  of Tags not cleaned (shadows)" dataDxfId="116"/>
    <tableColumn id="9" xr3:uid="{39D8F059-CA9D-4FC0-8198-F863B7FD641D}" name="Date of 2nd visit to clean remaining tags" dataDxfId="115"/>
    <tableColumn id="10" xr3:uid="{0A56C601-A5CA-45C0-920B-F1671BC2D272}" name="Number of tags removed" dataDxfId="114"/>
    <tableColumn id="11" xr3:uid="{6129A61A-71E8-4FEC-875E-C2F0D49B6B49}" name="Date of 3rd visit to clean remaining tags" dataDxfId="113"/>
    <tableColumn id="12" xr3:uid="{9B75E66C-7E3F-4868-ADBB-7A34B576897B}" name="Number of tags removed2" dataDxfId="112"/>
    <tableColumn id="13" xr3:uid="{64832B79-0F11-473E-A55C-749D1B4021A7}" name="Train Inspected and Fit for service    (Y/N)" dataDxfId="111"/>
    <tableColumn id="14" xr3:uid="{01C5A53F-9B38-4076-8F1C-B6B2BF429E13}" name="Inspected by Supervisor/Manager (Name)" dataDxfId="110"/>
    <tableColumn id="15" xr3:uid="{007D6F7A-91CF-4AA1-AFD6-9731E236E822}" name="Date of Completing all shadows (Tags) on this Unit excluding acid etched shadows" dataDxfId="109"/>
    <tableColumn id="16" xr3:uid="{B68145C0-A78B-4C8D-AB45-FD6D1A9A4FEC}" name="Car Number (s)  of Tags not cleaned due to acid etched shadows" dataDxfId="10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F493719-5AA3-4689-8727-0EC18061EA4B}" name="TagsRA7" displayName="TagsRA7" ref="A1:P119" totalsRowShown="0" headerRowDxfId="107" tableBorderDxfId="106">
  <autoFilter ref="A1:P119" xr:uid="{2F493719-5AA3-4689-8727-0EC18061EA4B}"/>
  <tableColumns count="16">
    <tableColumn id="1" xr3:uid="{CB3A7BDA-1201-4C57-B234-11E74A5E46BD}" name="Unit No." dataDxfId="105"/>
    <tableColumn id="2" xr3:uid="{51089205-48B1-475F-8BA0-40412ACE6F8D}" name="DATE" dataDxfId="104"/>
    <tableColumn id="3" xr3:uid="{35B139E1-28E3-44B5-827F-ADDDBD581637}" name="Status" dataDxfId="103"/>
    <tableColumn id="4" xr3:uid="{E60ACFA6-6CF6-41AA-A220-44611A2EEEE7}" name="Number of cars affected by graffiti/shadows on this unit" dataDxfId="102"/>
    <tableColumn id="5" xr3:uid="{297E40BF-95C6-456C-A171-D70C4CF51922}" name="Total Number of Tags found" dataDxfId="101"/>
    <tableColumn id="6" xr3:uid="{6EB24E16-B4B3-4B90-824D-F1241904B48F}" name="Total Tags Removed / Cleaned" dataDxfId="100"/>
    <tableColumn id="7" xr3:uid="{A16F9E5C-46C0-41C2-9C33-46EE1EA1420C}" name="Total Tags Not Cleaned on this Unit" dataDxfId="99"/>
    <tableColumn id="8" xr3:uid="{B5F826FA-ED67-403E-B87C-8642B903714B}" name="Car Number (s)  of Tags not cleaned (shadows)" dataDxfId="98"/>
    <tableColumn id="9" xr3:uid="{379789D6-55B4-48E1-8397-8E0334895635}" name="Date of 2nd visit to clean remaining tags" dataDxfId="97"/>
    <tableColumn id="10" xr3:uid="{F78A8E09-B850-4446-A836-36D171DF76B3}" name="Number of tags removed" dataDxfId="96"/>
    <tableColumn id="11" xr3:uid="{02D87797-7BC6-4D71-B630-64271C118934}" name="Date of 3rd visit to clean remaining tags" dataDxfId="95"/>
    <tableColumn id="12" xr3:uid="{EB8AD5C6-0052-4059-9CB5-4EC1CDFA0C47}" name="Number of tags removed2" dataDxfId="94"/>
    <tableColumn id="13" xr3:uid="{8F1352B2-212F-4996-B52D-0547FBEA5DE1}" name="Train Inspected and Fit for service    (Y/N)" dataDxfId="93"/>
    <tableColumn id="14" xr3:uid="{A92B0210-1A82-43D5-91F1-3EAA4D59F7D0}" name="Inspected by Supervisor/Manager (Name)" dataDxfId="92"/>
    <tableColumn id="15" xr3:uid="{54041CD7-6AF6-408B-A4F8-9A25363FFFCC}" name="Date of Completing all shadows (Tags) on this Unit excluding acid etched shadows" dataDxfId="91"/>
    <tableColumn id="16" xr3:uid="{110C845D-4F26-40B8-B4DF-14C874A3880B}" name="Car Number (s)  of Tags not cleaned due to acid etched shadows" dataDxfId="9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EFB8CCC-CB64-474E-A397-93166B165300}" name="TagsRA8" displayName="TagsRA8" ref="A1:P119" totalsRowShown="0" headerRowDxfId="89" tableBorderDxfId="88">
  <autoFilter ref="A1:P119" xr:uid="{1EFB8CCC-CB64-474E-A397-93166B165300}"/>
  <tableColumns count="16">
    <tableColumn id="1" xr3:uid="{59D54512-466B-4BA7-B8EE-038C9ADB3FB7}" name="Unit No." dataDxfId="87"/>
    <tableColumn id="2" xr3:uid="{5687B15F-91D6-4FD0-94CB-1D51B8297BC7}" name="DATE" dataDxfId="86"/>
    <tableColumn id="3" xr3:uid="{B7FE8D16-B991-4D91-9B2E-8E1AF7DBA0F9}" name="Status" dataDxfId="85"/>
    <tableColumn id="4" xr3:uid="{789A980D-B965-45AD-BD00-42D6D36855AD}" name="Number of cars affected by graffiti/shadows on this unit" dataDxfId="84"/>
    <tableColumn id="5" xr3:uid="{E4681A34-C77E-40AB-9577-7BDBC5A75E7B}" name="Total Number of Tags found" dataDxfId="83"/>
    <tableColumn id="6" xr3:uid="{AEF0D3BD-2183-4FF1-8035-AA6EB9DA27A5}" name="Total Tags Removed / Cleaned" dataDxfId="82"/>
    <tableColumn id="7" xr3:uid="{9E58F25B-9F22-4B9F-A3FE-ABA10E4B180B}" name="Total Tags Not Cleaned on this Unit" dataDxfId="81"/>
    <tableColumn id="8" xr3:uid="{6CF1A002-7223-47CF-8D58-D052869C2A22}" name="Car Number (s)  of Tags not cleaned (shadows)" dataDxfId="80"/>
    <tableColumn id="9" xr3:uid="{DFA83FD4-C1F7-4F52-8F1A-37A389F41C47}" name="Date of 2nd visit to clean remaining tags" dataDxfId="79"/>
    <tableColumn id="10" xr3:uid="{531596DD-597C-4746-ACD9-4B0355D0A0EE}" name="Number of tags removed" dataDxfId="78"/>
    <tableColumn id="11" xr3:uid="{D372ED4F-EC2B-47BB-A745-37B97A077AC1}" name="Date of 3rd visit to clean remaining tags" dataDxfId="77"/>
    <tableColumn id="12" xr3:uid="{2373F59F-A1B1-4361-9C77-E8C0BE4848BD}" name="Number of tags removed2" dataDxfId="76"/>
    <tableColumn id="13" xr3:uid="{64764C42-0CD5-457B-99F2-AD7B6D350CFB}" name="Train Inspected and Fit for service    (Y/N)" dataDxfId="75"/>
    <tableColumn id="14" xr3:uid="{94308105-6F80-4FEF-A825-6EBCFF27ABDE}" name="Inspected by Supervisor/Manager (Name)" dataDxfId="74"/>
    <tableColumn id="15" xr3:uid="{BB715B72-F1F9-4719-8B9C-8FBB0D7CF4DC}" name="Date of Completing all shadows (Tags) on this Unit excluding acid etched shadows" dataDxfId="73"/>
    <tableColumn id="16" xr3:uid="{76A26307-873D-427D-AB06-F8CDC3CD7EBE}" name="Car Number (s)  of Tags not cleaned due to acid etched shadows" dataDxfId="7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7C3E877-C963-490B-AC1A-8F3B57CF322E}" name="TagsRA9" displayName="TagsRA9" ref="A1:P119" totalsRowShown="0" headerRowDxfId="71" tableBorderDxfId="70">
  <autoFilter ref="A1:P119" xr:uid="{87C3E877-C963-490B-AC1A-8F3B57CF322E}"/>
  <tableColumns count="16">
    <tableColumn id="1" xr3:uid="{4536E5C9-3D97-45C4-BA94-CB254C2E2C79}" name="Unit No." dataDxfId="69"/>
    <tableColumn id="2" xr3:uid="{6D91041D-5C30-43E7-84BB-95DC6630F058}" name="DATE" dataDxfId="68"/>
    <tableColumn id="3" xr3:uid="{1EEAEE8F-31B1-4FEE-9158-99575B6DB4E7}" name="Status" dataDxfId="67"/>
    <tableColumn id="4" xr3:uid="{E4BA52EA-E7A2-4257-B047-AFDB7B66220F}" name="Number of cars affected by graffiti/shadows on this unit" dataDxfId="66"/>
    <tableColumn id="5" xr3:uid="{A20D4803-E685-4519-A506-41EA4798B866}" name="Total Number of Tags found" dataDxfId="65"/>
    <tableColumn id="6" xr3:uid="{1CD392FF-A61C-4EA1-9852-0D7645859254}" name="Total Tags Removed / Cleaned" dataDxfId="64"/>
    <tableColumn id="7" xr3:uid="{07427149-8C88-4CC8-9F06-F6E626B0261E}" name="Total Tags Not Cleaned on this Unit" dataDxfId="63"/>
    <tableColumn id="8" xr3:uid="{6C87C6C9-2353-4CAC-9DDF-FC94A432C251}" name="Car Number (s)  of Tags not cleaned (shadows)" dataDxfId="62"/>
    <tableColumn id="9" xr3:uid="{BA9EAD9F-66E5-4220-A274-B1734D676BAE}" name="Date of 2nd visit to clean remaining tags" dataDxfId="61"/>
    <tableColumn id="10" xr3:uid="{1D56B4C0-CC57-4035-884D-E97BE15FA516}" name="Number of tags removed" dataDxfId="60"/>
    <tableColumn id="11" xr3:uid="{497A372E-FA15-4392-8C7E-0C290E99D864}" name="Date of 3rd visit to clean remaining tags" dataDxfId="59"/>
    <tableColumn id="12" xr3:uid="{55546E86-E09F-4DC3-BE8C-5ADEB59A7E29}" name="Number of tags removed2" dataDxfId="58"/>
    <tableColumn id="13" xr3:uid="{918DE9FF-33AD-4415-9F60-3DE8DE5BD68A}" name="Train Inspected and Fit for service    (Y/N)" dataDxfId="57"/>
    <tableColumn id="14" xr3:uid="{F483ECEB-FE9F-43CF-AFB5-8A216A019DBB}" name="Inspected by Supervisor/Manager (Name)" dataDxfId="56"/>
    <tableColumn id="15" xr3:uid="{92AEDCFA-6E7A-4820-90D5-9B072541AA05}" name="Date of Completing all shadows (Tags) on this Unit excluding acid etched shadows" dataDxfId="55"/>
    <tableColumn id="16" xr3:uid="{2ACE763D-B336-4E2A-993F-83C005AA669B}" name="Car Number (s)  of Tags not cleaned due to acid etched shadows" dataDxfId="5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56FC501-3B70-466D-98DC-65729337007D}" name="TagsRA10" displayName="TagsRA10" ref="A1:P119" totalsRowShown="0" headerRowDxfId="53" tableBorderDxfId="52">
  <autoFilter ref="A1:P119" xr:uid="{87C3E877-C963-490B-AC1A-8F3B57CF322E}"/>
  <tableColumns count="16">
    <tableColumn id="1" xr3:uid="{400D5232-3672-423C-A467-52E798B7C023}" name="Unit No." dataDxfId="51"/>
    <tableColumn id="2" xr3:uid="{BFCC4617-4CFF-4DCE-8288-D964F608A3CA}" name="DATE" dataDxfId="50"/>
    <tableColumn id="3" xr3:uid="{D2C583A0-2170-4FCD-B853-F0CA86F1BE65}" name="Status" dataDxfId="49"/>
    <tableColumn id="4" xr3:uid="{95A15AEF-F539-47B6-888F-A0152F5132B2}" name="Number of cars affected by graffiti/shadows on this unit" dataDxfId="48"/>
    <tableColumn id="5" xr3:uid="{C4603C5C-8393-4ABE-BBB4-DA8D8E7DDFF3}" name="Total Number of Tags found" dataDxfId="47"/>
    <tableColumn id="6" xr3:uid="{B48D2006-AEAB-49F7-AF92-828C7E4D19B8}" name="Total Tags Removed / Cleaned" dataDxfId="46"/>
    <tableColumn id="7" xr3:uid="{29BB110F-92A7-48D6-A40A-FE6036DA495B}" name="Total Tags Not Cleaned on this Unit" dataDxfId="45"/>
    <tableColumn id="8" xr3:uid="{2DBE243B-BF1D-4738-A17D-FC9497F5C5F9}" name="Car Number (s)  of Tags not cleaned (shadows)" dataDxfId="44"/>
    <tableColumn id="9" xr3:uid="{FBF4E46B-FDEC-4863-8B45-2700839D4F4F}" name="Date of 2nd visit to clean remaining tags" dataDxfId="43"/>
    <tableColumn id="10" xr3:uid="{1D42E08B-9B9C-437D-AD28-1AA3AE6BB4F7}" name="Number of tags removed" dataDxfId="42"/>
    <tableColumn id="11" xr3:uid="{A199D94A-8ED3-457C-9D94-497F62E4B362}" name="Date of 3rd visit to clean remaining tags" dataDxfId="41"/>
    <tableColumn id="12" xr3:uid="{7995A861-DCC2-4FCE-AA58-3B751B6F44A0}" name="Number of tags removed2" dataDxfId="40"/>
    <tableColumn id="13" xr3:uid="{EF910D65-9E61-435D-8FF5-97871FD71CB7}" name="Train Inspected and Fit for service    (Y/N)" dataDxfId="39"/>
    <tableColumn id="14" xr3:uid="{ED57BEEE-AEFB-4A8B-BAC2-A60EF9F34092}" name="Inspected by Supervisor/Manager (Name)" dataDxfId="38"/>
    <tableColumn id="15" xr3:uid="{F0758309-4F3F-4A39-A4EA-C0C6BA933D1F}" name="Date of Completing all shadows (Tags) on this Unit excluding acid etched shadows" dataDxfId="37"/>
    <tableColumn id="16" xr3:uid="{B235C83A-C738-4DE1-9605-7C39154E6F81}" name="Car Number (s)  of Tags not cleaned due to acid etched shadows" dataDxfId="3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639A2E7-8047-40A8-9BE3-F084AEA18538}" name="TagsRA11" displayName="TagsRA11" ref="A1:P119" totalsRowShown="0" headerRowDxfId="35" tableBorderDxfId="34">
  <autoFilter ref="A1:P119" xr:uid="{87C3E877-C963-490B-AC1A-8F3B57CF322E}"/>
  <tableColumns count="16">
    <tableColumn id="1" xr3:uid="{7AFA5E69-6B47-49D7-8675-0D005EC2B706}" name="Unit No." dataDxfId="33"/>
    <tableColumn id="2" xr3:uid="{0FDD5023-6D45-4F46-BE2B-5A6189B09871}" name="DATE" dataDxfId="32"/>
    <tableColumn id="3" xr3:uid="{3724A1F8-58C2-4EEB-9FBC-467886A13551}" name="Status" dataDxfId="31"/>
    <tableColumn id="4" xr3:uid="{267A3DA8-BB2B-48BD-9C7A-5CCC5DE3D9DA}" name="Number of cars affected by graffiti/shadows on this unit" dataDxfId="30"/>
    <tableColumn id="5" xr3:uid="{1C37EEF5-DC4F-4334-9D73-CEFE03160CBE}" name="Total Number of Tags found" dataDxfId="29"/>
    <tableColumn id="6" xr3:uid="{BEA070F9-F933-4B5B-B821-247E233927DE}" name="Total Tags Removed / Cleaned" dataDxfId="28"/>
    <tableColumn id="7" xr3:uid="{1D42B3E5-757E-44AD-B3BB-5E263D3E1E5A}" name="Total Tags Not Cleaned on this Unit" dataDxfId="27"/>
    <tableColumn id="8" xr3:uid="{530309B9-C713-4F2F-8E60-902D5BAA651A}" name="Car Number (s)  of Tags not cleaned (shadows)" dataDxfId="26"/>
    <tableColumn id="9" xr3:uid="{04436055-312A-455D-AD92-263868F4B5C3}" name="Date of 2nd visit to clean remaining tags" dataDxfId="25"/>
    <tableColumn id="10" xr3:uid="{09E80476-8C94-45FC-B7D7-021DA3AABEF4}" name="Number of tags removed" dataDxfId="24"/>
    <tableColumn id="11" xr3:uid="{C2CEDE32-7CE1-4EA0-971C-28CDF9CC3AFB}" name="Date of 3rd visit to clean remaining tags" dataDxfId="23"/>
    <tableColumn id="12" xr3:uid="{BC1F4560-CF7E-428A-88DD-89979C914998}" name="Number of tags removed2" dataDxfId="22"/>
    <tableColumn id="13" xr3:uid="{E5030C58-8302-4B34-A49F-32C08CEEFC94}" name="Train Inspected and Fit for service    (Y/N)" dataDxfId="21"/>
    <tableColumn id="14" xr3:uid="{3A664282-E5D5-4D3A-9C43-A3C51AE2386F}" name="Inspected by Supervisor/Manager (Name)" dataDxfId="20"/>
    <tableColumn id="15" xr3:uid="{8557F208-8A0E-4A58-A318-ACD4A190C45C}" name="Date of Completing all shadows (Tags) on this Unit excluding acid etched shadows" dataDxfId="19"/>
    <tableColumn id="16" xr3:uid="{7D2847A5-BE86-4B57-9B18-1642DDCD2161}" name="Car Number (s)  of Tags not cleaned due to acid etched shadows" dataDxfId="1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552D163-E636-43D3-8921-3CF97AE16C5E}" name="TagsRA12" displayName="TagsRA12" ref="A1:P119" totalsRowShown="0" headerRowDxfId="17" tableBorderDxfId="16">
  <autoFilter ref="A1:P119" xr:uid="{87C3E877-C963-490B-AC1A-8F3B57CF322E}"/>
  <tableColumns count="16">
    <tableColumn id="1" xr3:uid="{D516D936-6A1E-43F3-80D0-3B58E83EDFFF}" name="Unit No." dataDxfId="15"/>
    <tableColumn id="2" xr3:uid="{CEB6B696-1B25-4B89-998B-A41AB62C3E32}" name="DATE" dataDxfId="14"/>
    <tableColumn id="3" xr3:uid="{E7975359-EE10-4E3C-8F60-71B1FF4EAB1E}" name="Status" dataDxfId="13"/>
    <tableColumn id="4" xr3:uid="{8431104A-8FB5-44A1-A4A8-ADD2501468F2}" name="Number of cars affected by graffiti/shadows on this unit" dataDxfId="12"/>
    <tableColumn id="5" xr3:uid="{E9A275BE-3900-4C92-A986-6D0F0A137A86}" name="Total Number of Tags found" dataDxfId="11"/>
    <tableColumn id="6" xr3:uid="{D5A8CD96-0F8B-4BCA-92C2-518E12C66362}" name="Total Tags Removed / Cleaned" dataDxfId="10"/>
    <tableColumn id="7" xr3:uid="{D6C70A23-FA6F-40D8-ABE5-1BD006287C57}" name="Total Tags Not Cleaned on this Unit" dataDxfId="9"/>
    <tableColumn id="8" xr3:uid="{1687471E-67FF-4213-951C-4F0FD25B813C}" name="Car Number (s)  of Tags not cleaned (shadows)" dataDxfId="8"/>
    <tableColumn id="9" xr3:uid="{EE30B581-39A3-4A50-B837-144E9CD0C0A3}" name="Date of 2nd visit to clean remaining tags" dataDxfId="7"/>
    <tableColumn id="10" xr3:uid="{BC58CFD4-D45C-4224-B970-EC0C122F7240}" name="Number of tags removed" dataDxfId="6"/>
    <tableColumn id="11" xr3:uid="{49E7564D-6A24-47CF-8B2B-A4B0907D66E1}" name="Date of 3rd visit to clean remaining tags" dataDxfId="5"/>
    <tableColumn id="12" xr3:uid="{1E7B0EE4-D2DE-4660-ADD1-2B8E33298E8C}" name="Number of tags removed2" dataDxfId="4"/>
    <tableColumn id="13" xr3:uid="{BB9F4969-35B8-4FFB-B4BA-7AA9F272E452}" name="Train Inspected and Fit for service    (Y/N)" dataDxfId="3"/>
    <tableColumn id="14" xr3:uid="{DE30B5F7-F059-4B37-9338-439693D8D605}" name="Inspected by Supervisor/Manager (Name)" dataDxfId="2"/>
    <tableColumn id="15" xr3:uid="{FA5C5EFB-CB9F-445F-9477-EB4A09D3B711}" name="Date of Completing all shadows (Tags) on this Unit excluding acid etched shadows" dataDxfId="1"/>
    <tableColumn id="16" xr3:uid="{8B398D2A-958C-4D66-8074-E2BF0C53D245}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AB0C1-DF55-4F0F-BF10-B6D2CB143AE5}">
  <dimension ref="A1:U207"/>
  <sheetViews>
    <sheetView tabSelected="1" workbookViewId="0">
      <pane xSplit="1" ySplit="1" topLeftCell="B94" activePane="bottomRight" state="frozen"/>
      <selection pane="topRight"/>
      <selection pane="bottomLeft"/>
      <selection pane="bottomRight" activeCell="O104" sqref="O104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>
        <v>45947</v>
      </c>
      <c r="C4" s="12" t="s">
        <v>23</v>
      </c>
      <c r="D4" s="40">
        <v>1</v>
      </c>
      <c r="E4" s="40">
        <v>3</v>
      </c>
      <c r="F4" s="40">
        <v>3</v>
      </c>
      <c r="G4" s="40">
        <v>0</v>
      </c>
      <c r="H4" s="40">
        <v>0</v>
      </c>
      <c r="I4" s="14"/>
      <c r="J4" s="40"/>
      <c r="K4" s="14"/>
      <c r="L4" s="40"/>
      <c r="M4" s="13" t="s">
        <v>21</v>
      </c>
      <c r="N4" s="15" t="s">
        <v>22</v>
      </c>
      <c r="O4" s="11">
        <v>45947</v>
      </c>
      <c r="P4" s="42"/>
      <c r="R4" s="20">
        <v>0</v>
      </c>
      <c r="S4" s="21">
        <f>COUNTA(A:A)-1</f>
        <v>118</v>
      </c>
      <c r="T4" s="21">
        <f>COUNTA(O:O)-1</f>
        <v>19</v>
      </c>
      <c r="U4" s="22">
        <f>T4/S4</f>
        <v>0.16101694915254236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>
        <v>45951</v>
      </c>
      <c r="C15" s="12" t="s">
        <v>23</v>
      </c>
      <c r="D15" s="40">
        <v>1</v>
      </c>
      <c r="E15" s="40">
        <v>60</v>
      </c>
      <c r="F15" s="40">
        <v>60</v>
      </c>
      <c r="G15" s="40">
        <v>0</v>
      </c>
      <c r="H15" s="40">
        <v>0</v>
      </c>
      <c r="I15" s="14"/>
      <c r="J15" s="40"/>
      <c r="K15" s="14"/>
      <c r="L15" s="40"/>
      <c r="M15" s="13" t="s">
        <v>21</v>
      </c>
      <c r="N15" s="15" t="s">
        <v>24</v>
      </c>
      <c r="O15" s="11">
        <v>45951</v>
      </c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>
        <v>45957</v>
      </c>
      <c r="C23" s="12" t="s">
        <v>23</v>
      </c>
      <c r="D23" s="40">
        <v>1</v>
      </c>
      <c r="E23" s="40">
        <v>1</v>
      </c>
      <c r="F23" s="40">
        <v>1</v>
      </c>
      <c r="G23" s="40">
        <v>0</v>
      </c>
      <c r="H23" s="40">
        <v>0</v>
      </c>
      <c r="I23" s="14"/>
      <c r="J23" s="40"/>
      <c r="K23" s="14"/>
      <c r="L23" s="40"/>
      <c r="M23" s="13" t="s">
        <v>21</v>
      </c>
      <c r="N23" s="15" t="s">
        <v>24</v>
      </c>
      <c r="O23" s="11">
        <v>45957</v>
      </c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>
        <v>45960</v>
      </c>
      <c r="C29" s="12" t="s">
        <v>23</v>
      </c>
      <c r="D29" s="40">
        <v>1</v>
      </c>
      <c r="E29" s="40">
        <v>1</v>
      </c>
      <c r="F29" s="40">
        <v>1</v>
      </c>
      <c r="G29" s="40">
        <v>0</v>
      </c>
      <c r="H29" s="40">
        <v>0</v>
      </c>
      <c r="I29" s="14"/>
      <c r="J29" s="40"/>
      <c r="K29" s="14"/>
      <c r="L29" s="40"/>
      <c r="M29" s="13" t="s">
        <v>21</v>
      </c>
      <c r="N29" s="15" t="s">
        <v>24</v>
      </c>
      <c r="O29" s="11">
        <v>45960</v>
      </c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>
        <v>45951</v>
      </c>
      <c r="C31" s="12" t="s">
        <v>23</v>
      </c>
      <c r="D31" s="40">
        <v>1</v>
      </c>
      <c r="E31" s="40">
        <v>2</v>
      </c>
      <c r="F31" s="40">
        <v>2</v>
      </c>
      <c r="G31" s="40">
        <v>0</v>
      </c>
      <c r="H31" s="40">
        <v>0</v>
      </c>
      <c r="I31" s="14"/>
      <c r="J31" s="40"/>
      <c r="K31" s="14"/>
      <c r="L31" s="40"/>
      <c r="M31" s="13" t="s">
        <v>21</v>
      </c>
      <c r="N31" s="15" t="s">
        <v>24</v>
      </c>
      <c r="O31" s="11">
        <v>45951</v>
      </c>
      <c r="P31" s="42"/>
    </row>
    <row r="32" spans="1:16" ht="15" customHeight="1" x14ac:dyDescent="0.3">
      <c r="A32" s="35">
        <v>21031</v>
      </c>
      <c r="B32" s="11">
        <v>45958</v>
      </c>
      <c r="C32" s="12" t="s">
        <v>23</v>
      </c>
      <c r="D32" s="40">
        <v>2</v>
      </c>
      <c r="E32" s="40">
        <v>17</v>
      </c>
      <c r="F32" s="40">
        <v>8</v>
      </c>
      <c r="G32" s="40">
        <v>9</v>
      </c>
      <c r="H32" s="40">
        <v>2</v>
      </c>
      <c r="I32" s="14">
        <v>45959</v>
      </c>
      <c r="J32" s="40">
        <v>9</v>
      </c>
      <c r="K32" s="14"/>
      <c r="L32" s="40"/>
      <c r="M32" s="13" t="s">
        <v>21</v>
      </c>
      <c r="N32" s="15" t="s">
        <v>24</v>
      </c>
      <c r="O32" s="11">
        <v>45958</v>
      </c>
      <c r="P32" s="42"/>
    </row>
    <row r="33" spans="1:16" ht="15" customHeight="1" x14ac:dyDescent="0.3">
      <c r="A33" s="35">
        <v>21032</v>
      </c>
      <c r="B33" s="11">
        <v>45958</v>
      </c>
      <c r="C33" s="12" t="s">
        <v>23</v>
      </c>
      <c r="D33" s="40">
        <v>1</v>
      </c>
      <c r="E33" s="40">
        <v>12</v>
      </c>
      <c r="F33" s="40">
        <v>4</v>
      </c>
      <c r="G33" s="40">
        <v>8</v>
      </c>
      <c r="H33" s="40">
        <v>1</v>
      </c>
      <c r="I33" s="14">
        <v>45960</v>
      </c>
      <c r="J33" s="40">
        <v>8</v>
      </c>
      <c r="K33" s="14"/>
      <c r="L33" s="40"/>
      <c r="M33" s="13" t="s">
        <v>21</v>
      </c>
      <c r="N33" s="15" t="s">
        <v>24</v>
      </c>
      <c r="O33" s="11">
        <v>45960</v>
      </c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>
        <v>45953</v>
      </c>
      <c r="C43" s="12" t="s">
        <v>23</v>
      </c>
      <c r="D43" s="40">
        <v>1</v>
      </c>
      <c r="E43" s="40">
        <v>1</v>
      </c>
      <c r="F43" s="40">
        <v>1</v>
      </c>
      <c r="G43" s="40">
        <v>0</v>
      </c>
      <c r="H43" s="40">
        <v>0</v>
      </c>
      <c r="I43" s="14"/>
      <c r="J43" s="40"/>
      <c r="K43" s="14"/>
      <c r="L43" s="40"/>
      <c r="M43" s="13" t="s">
        <v>21</v>
      </c>
      <c r="N43" s="15" t="s">
        <v>24</v>
      </c>
      <c r="O43" s="11">
        <v>45953</v>
      </c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>
        <v>45950</v>
      </c>
      <c r="C45" s="12" t="s">
        <v>23</v>
      </c>
      <c r="D45" s="40">
        <v>1</v>
      </c>
      <c r="E45" s="40">
        <v>1</v>
      </c>
      <c r="F45" s="40">
        <v>1</v>
      </c>
      <c r="G45" s="40">
        <v>0</v>
      </c>
      <c r="H45" s="40">
        <v>0</v>
      </c>
      <c r="I45" s="14"/>
      <c r="J45" s="40"/>
      <c r="K45" s="14"/>
      <c r="L45" s="40"/>
      <c r="M45" s="13" t="s">
        <v>21</v>
      </c>
      <c r="N45" s="15" t="s">
        <v>24</v>
      </c>
      <c r="O45" s="11">
        <v>45950</v>
      </c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>
        <v>45950</v>
      </c>
      <c r="C63" s="12" t="s">
        <v>23</v>
      </c>
      <c r="D63" s="40">
        <v>1</v>
      </c>
      <c r="E63" s="40">
        <v>1</v>
      </c>
      <c r="F63" s="40">
        <v>1</v>
      </c>
      <c r="G63" s="40">
        <v>0</v>
      </c>
      <c r="H63" s="40">
        <v>0</v>
      </c>
      <c r="I63" s="14"/>
      <c r="J63" s="40"/>
      <c r="K63" s="14"/>
      <c r="L63" s="40"/>
      <c r="M63" s="13" t="s">
        <v>21</v>
      </c>
      <c r="N63" s="15" t="s">
        <v>24</v>
      </c>
      <c r="O63" s="11">
        <v>45950</v>
      </c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>
        <v>45958</v>
      </c>
      <c r="C70" s="12" t="s">
        <v>23</v>
      </c>
      <c r="D70" s="40">
        <v>1</v>
      </c>
      <c r="E70" s="40">
        <v>2</v>
      </c>
      <c r="F70" s="40">
        <v>2</v>
      </c>
      <c r="G70" s="40">
        <v>0</v>
      </c>
      <c r="H70" s="40">
        <v>0</v>
      </c>
      <c r="I70" s="14"/>
      <c r="J70" s="40"/>
      <c r="K70" s="14"/>
      <c r="L70" s="40"/>
      <c r="M70" s="13" t="s">
        <v>21</v>
      </c>
      <c r="N70" s="15" t="s">
        <v>24</v>
      </c>
      <c r="O70" s="11">
        <v>45958</v>
      </c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>
        <v>45949</v>
      </c>
      <c r="C85" s="27" t="s">
        <v>23</v>
      </c>
      <c r="D85" s="41">
        <v>2</v>
      </c>
      <c r="E85" s="41">
        <v>460</v>
      </c>
      <c r="F85" s="41">
        <v>460</v>
      </c>
      <c r="G85" s="41">
        <v>0</v>
      </c>
      <c r="H85" s="41">
        <v>0</v>
      </c>
      <c r="I85" s="29"/>
      <c r="J85" s="41"/>
      <c r="K85" s="29"/>
      <c r="L85" s="41"/>
      <c r="M85" s="28" t="s">
        <v>21</v>
      </c>
      <c r="N85" s="30" t="s">
        <v>24</v>
      </c>
      <c r="O85" s="26">
        <v>45949</v>
      </c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>
        <v>45957</v>
      </c>
      <c r="C94" s="27" t="s">
        <v>23</v>
      </c>
      <c r="D94" s="41">
        <v>2</v>
      </c>
      <c r="E94" s="41">
        <v>2</v>
      </c>
      <c r="F94" s="41">
        <v>2</v>
      </c>
      <c r="G94" s="41">
        <v>0</v>
      </c>
      <c r="H94" s="41">
        <v>0</v>
      </c>
      <c r="I94" s="29"/>
      <c r="J94" s="41"/>
      <c r="K94" s="29"/>
      <c r="L94" s="41"/>
      <c r="M94" s="28" t="s">
        <v>21</v>
      </c>
      <c r="N94" s="30" t="s">
        <v>24</v>
      </c>
      <c r="O94" s="26">
        <v>45957</v>
      </c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>
        <v>45963</v>
      </c>
      <c r="C101" s="27" t="s">
        <v>23</v>
      </c>
      <c r="D101" s="41">
        <v>1</v>
      </c>
      <c r="E101" s="41">
        <v>6</v>
      </c>
      <c r="F101" s="41">
        <v>6</v>
      </c>
      <c r="G101" s="41">
        <v>0</v>
      </c>
      <c r="H101" s="41">
        <v>0</v>
      </c>
      <c r="I101" s="29"/>
      <c r="J101" s="41"/>
      <c r="K101" s="29"/>
      <c r="L101" s="41"/>
      <c r="M101" s="28" t="s">
        <v>21</v>
      </c>
      <c r="N101" s="30" t="s">
        <v>24</v>
      </c>
      <c r="O101" s="26">
        <v>45963</v>
      </c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>
        <v>45957</v>
      </c>
      <c r="C110" s="27" t="s">
        <v>23</v>
      </c>
      <c r="D110" s="41">
        <v>1</v>
      </c>
      <c r="E110" s="41">
        <v>25</v>
      </c>
      <c r="F110" s="41">
        <v>20</v>
      </c>
      <c r="G110" s="41">
        <v>5</v>
      </c>
      <c r="H110" s="41">
        <v>1</v>
      </c>
      <c r="I110" s="29">
        <v>45960</v>
      </c>
      <c r="J110" s="41">
        <v>5</v>
      </c>
      <c r="K110" s="29"/>
      <c r="L110" s="41"/>
      <c r="M110" s="28" t="s">
        <v>21</v>
      </c>
      <c r="N110" s="30" t="s">
        <v>24</v>
      </c>
      <c r="O110" s="26">
        <v>45957</v>
      </c>
      <c r="P110" s="43"/>
    </row>
    <row r="111" spans="1:16" ht="18.75" x14ac:dyDescent="0.3">
      <c r="A111" s="39">
        <v>21110</v>
      </c>
      <c r="B111" s="26">
        <v>45957</v>
      </c>
      <c r="C111" s="27" t="s">
        <v>23</v>
      </c>
      <c r="D111" s="41">
        <v>1</v>
      </c>
      <c r="E111" s="41">
        <v>1</v>
      </c>
      <c r="F111" s="41">
        <v>1</v>
      </c>
      <c r="G111" s="41">
        <v>0</v>
      </c>
      <c r="H111" s="41">
        <v>0</v>
      </c>
      <c r="I111" s="29"/>
      <c r="J111" s="41"/>
      <c r="K111" s="29"/>
      <c r="L111" s="41"/>
      <c r="M111" s="28" t="s">
        <v>21</v>
      </c>
      <c r="N111" s="30" t="s">
        <v>24</v>
      </c>
      <c r="O111" s="26">
        <v>45957</v>
      </c>
      <c r="P111" s="43"/>
    </row>
    <row r="112" spans="1:16" ht="18.75" x14ac:dyDescent="0.3">
      <c r="A112" s="39">
        <v>21111</v>
      </c>
      <c r="B112" s="26">
        <v>45957</v>
      </c>
      <c r="C112" s="27" t="s">
        <v>23</v>
      </c>
      <c r="D112" s="41">
        <v>1</v>
      </c>
      <c r="E112" s="41">
        <v>1</v>
      </c>
      <c r="F112" s="41">
        <v>1</v>
      </c>
      <c r="G112" s="41">
        <v>0</v>
      </c>
      <c r="H112" s="41">
        <v>0</v>
      </c>
      <c r="I112" s="29"/>
      <c r="J112" s="41"/>
      <c r="K112" s="29"/>
      <c r="L112" s="41"/>
      <c r="M112" s="28" t="s">
        <v>21</v>
      </c>
      <c r="N112" s="30" t="s">
        <v>24</v>
      </c>
      <c r="O112" s="26">
        <v>45957</v>
      </c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>
        <v>45959</v>
      </c>
      <c r="C116" s="27" t="s">
        <v>23</v>
      </c>
      <c r="D116" s="41">
        <v>1</v>
      </c>
      <c r="E116" s="41">
        <v>1</v>
      </c>
      <c r="F116" s="41">
        <v>1</v>
      </c>
      <c r="G116" s="41">
        <v>0</v>
      </c>
      <c r="H116" s="41">
        <v>0</v>
      </c>
      <c r="I116" s="29"/>
      <c r="J116" s="41"/>
      <c r="K116" s="29"/>
      <c r="L116" s="41"/>
      <c r="M116" s="28" t="s">
        <v>21</v>
      </c>
      <c r="N116" s="30" t="s">
        <v>24</v>
      </c>
      <c r="O116" s="26">
        <v>45958</v>
      </c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>
        <v>45950</v>
      </c>
      <c r="C118" s="27" t="s">
        <v>23</v>
      </c>
      <c r="D118" s="41">
        <v>1</v>
      </c>
      <c r="E118" s="41">
        <v>1</v>
      </c>
      <c r="F118" s="41">
        <v>1</v>
      </c>
      <c r="G118" s="41">
        <v>0</v>
      </c>
      <c r="H118" s="41">
        <v>0</v>
      </c>
      <c r="I118" s="29"/>
      <c r="J118" s="41"/>
      <c r="K118" s="29"/>
      <c r="L118" s="41"/>
      <c r="M118" s="28" t="s">
        <v>21</v>
      </c>
      <c r="N118" s="30" t="s">
        <v>24</v>
      </c>
      <c r="O118" s="26">
        <v>45950</v>
      </c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RCDwo9dV5DFO+Vlh3I4gxhTZ+erRSQPv4l3+W4lQELWfC7qmbjZHQQiKPEmDnKtCTXWYY2Z1ovlaevciKdekiA==" saltValue="TkWKd72qqrpAGavnWaKnm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119 I2:I119 K2:K119 O2:O119" xr:uid="{D339B586-D44C-470E-B010-C5E1CB0C6886}">
      <formula1>45658</formula1>
    </dataValidation>
    <dataValidation type="whole" operator="greaterThanOrEqual" allowBlank="1" showInputMessage="1" showErrorMessage="1" sqref="A2:A119 D2:H119 J2:J119 L2:L119 P2:P119" xr:uid="{F8BC17B2-BCB5-401F-B67F-F48714EBBFAD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1A31A-883B-4D20-BF8D-35C96D733BAD}">
  <dimension ref="A1:U207"/>
  <sheetViews>
    <sheetView workbookViewId="0">
      <selection activeCell="O112" sqref="O112"/>
    </sheetView>
  </sheetViews>
  <sheetFormatPr defaultColWidth="9.140625" defaultRowHeight="15" x14ac:dyDescent="0.25"/>
  <cols>
    <col min="1" max="1" width="12" style="46" bestFit="1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4</v>
      </c>
      <c r="U4" s="22">
        <f>T4/S4</f>
        <v>3.3898305084745763E-2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>
        <v>45958</v>
      </c>
      <c r="C31" s="12" t="s">
        <v>23</v>
      </c>
      <c r="D31" s="40">
        <v>1</v>
      </c>
      <c r="E31" s="40">
        <v>2</v>
      </c>
      <c r="F31" s="40">
        <v>2</v>
      </c>
      <c r="G31" s="40">
        <v>0</v>
      </c>
      <c r="H31" s="40">
        <v>0</v>
      </c>
      <c r="I31" s="14"/>
      <c r="J31" s="40"/>
      <c r="K31" s="14"/>
      <c r="L31" s="40"/>
      <c r="M31" s="13" t="s">
        <v>21</v>
      </c>
      <c r="N31" s="15" t="s">
        <v>24</v>
      </c>
      <c r="O31" s="11">
        <v>45958</v>
      </c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>
        <v>45958</v>
      </c>
      <c r="C85" s="27" t="s">
        <v>23</v>
      </c>
      <c r="D85" s="41">
        <v>3</v>
      </c>
      <c r="E85" s="41">
        <v>5</v>
      </c>
      <c r="F85" s="41">
        <v>5</v>
      </c>
      <c r="G85" s="41">
        <v>0</v>
      </c>
      <c r="H85" s="41">
        <v>0</v>
      </c>
      <c r="I85" s="29"/>
      <c r="J85" s="41"/>
      <c r="K85" s="29"/>
      <c r="L85" s="41"/>
      <c r="M85" s="28" t="s">
        <v>21</v>
      </c>
      <c r="N85" s="30" t="s">
        <v>24</v>
      </c>
      <c r="O85" s="26">
        <v>45958</v>
      </c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>
        <v>45960</v>
      </c>
      <c r="C110" s="27" t="s">
        <v>23</v>
      </c>
      <c r="D110" s="41">
        <v>1</v>
      </c>
      <c r="E110" s="41">
        <v>1</v>
      </c>
      <c r="F110" s="41">
        <v>1</v>
      </c>
      <c r="G110" s="41">
        <v>0</v>
      </c>
      <c r="H110" s="41">
        <v>0</v>
      </c>
      <c r="I110" s="29"/>
      <c r="J110" s="41"/>
      <c r="K110" s="29"/>
      <c r="L110" s="41"/>
      <c r="M110" s="28" t="s">
        <v>21</v>
      </c>
      <c r="N110" s="30" t="s">
        <v>24</v>
      </c>
      <c r="O110" s="26">
        <v>45960</v>
      </c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>
        <v>45951</v>
      </c>
      <c r="C118" s="27" t="s">
        <v>23</v>
      </c>
      <c r="D118" s="41">
        <v>1</v>
      </c>
      <c r="E118" s="41">
        <v>110</v>
      </c>
      <c r="F118" s="41">
        <v>110</v>
      </c>
      <c r="G118" s="41">
        <v>0</v>
      </c>
      <c r="H118" s="41">
        <v>0</v>
      </c>
      <c r="I118" s="29"/>
      <c r="J118" s="41"/>
      <c r="K118" s="29"/>
      <c r="L118" s="41"/>
      <c r="M118" s="28" t="s">
        <v>21</v>
      </c>
      <c r="N118" s="30" t="s">
        <v>24</v>
      </c>
      <c r="O118" s="26">
        <v>45951</v>
      </c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dXLHnMx45funr1JugqNy6hNOiO1u4KcHQM3ACFontMsk3lxQMLUPdepM25/eBhfb5N6LXOlAqGbyEiAviGTNuA==" saltValue="sd7T6khMuawK8mIDv8VYX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4F05A544-C938-4774-8DA3-390E7F3340E7}">
      <formula1>0</formula1>
    </dataValidation>
    <dataValidation type="date" operator="greaterThanOrEqual" allowBlank="1" showInputMessage="1" showErrorMessage="1" sqref="B2:B119 I2:I119 K2:K119 O2:O119" xr:uid="{3DAA6892-5DE2-44FE-872A-3457C237D6EA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8C3FD-42EF-40BB-8251-DA968673AA8D}">
  <dimension ref="A1:U207"/>
  <sheetViews>
    <sheetView workbookViewId="0">
      <selection activeCell="D14" sqref="D14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Dtt2tUkdoIKPnViohF9TiMj6ltkAsxYhoqcJNRSEFqcqCXzd4YDV9nqMPFb1U2Q2JGm/m2viusVKA2uifgGheA==" saltValue="+yivI+mZxA0eKZO/u75dU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0BA845B1-66FC-4416-BFAA-D62ADB70ABC9}">
      <formula1>0</formula1>
    </dataValidation>
    <dataValidation type="date" operator="greaterThanOrEqual" allowBlank="1" showInputMessage="1" showErrorMessage="1" sqref="B2:B119 I2:I119 K2:K119 O2:O119" xr:uid="{7A1DEE77-7623-416E-B2E4-73560FE4A3EF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A1405-1274-4F11-9C9D-4CF757BE719E}">
  <dimension ref="A1:U207"/>
  <sheetViews>
    <sheetView workbookViewId="0">
      <selection activeCell="I7" sqref="I7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GITKBkl+aEgLc94wPKoXYcbskZuVXj3sF20i/dBWv8q9fMaV33DXEodLSCMp8IxCKzhTAOnaFJT2oRtpxXWXcA==" saltValue="cQU1xrbmXEF9BZR2DIXKU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7FF741E9-E0CA-4D8A-BDAF-EAA00BDC8C57}">
      <formula1>0</formula1>
    </dataValidation>
    <dataValidation type="date" operator="greaterThanOrEqual" allowBlank="1" showInputMessage="1" showErrorMessage="1" sqref="B2:B119 I2:I119 K2:K119 O2:O119" xr:uid="{DBEB7408-20EE-48D0-A228-0912DD628AE0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1E0C6-C3CD-49BB-A8B9-71B1FE805F95}">
  <dimension ref="A1:U207"/>
  <sheetViews>
    <sheetView workbookViewId="0">
      <selection activeCell="H14" sqref="H14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ECmfvFTTEHsP5DphDTp72moQhMM3ptxUvzt/dCmFDSE2H/k1JAqidyRgeZ1lArMiT/dREtrNfESj7Ec2htBBFg==" saltValue="QEWNxRNBPVA9hMOI+MCSF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C932E9A2-DA99-46BA-8208-5C79C19C6E70}">
      <formula1>0</formula1>
    </dataValidation>
    <dataValidation type="date" operator="greaterThanOrEqual" allowBlank="1" showInputMessage="1" showErrorMessage="1" sqref="B2:B119 I2:I119 K2:K119 O2:O119" xr:uid="{0405F988-414B-4917-A137-B55ABA59AFE6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60C96-12BF-4FFB-9897-E2EDE7DFA236}">
  <dimension ref="A1:U207"/>
  <sheetViews>
    <sheetView workbookViewId="0">
      <selection activeCell="H15" sqref="H15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9gWNYBQsk9vij3ML+Itpb8aeN6xEl79V4WKAxMTzU57P0ST9gsWIkbFn/I5Rtrz+jgZJlvEN7vqqPBeDzwkKVA==" saltValue="xTtjYuV5EJ2/Md+xjHZ45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0CE18B7C-CF25-4D5B-83D2-BB0E1D57F2E4}">
      <formula1>0</formula1>
    </dataValidation>
    <dataValidation type="date" operator="greaterThanOrEqual" allowBlank="1" showInputMessage="1" showErrorMessage="1" sqref="B2:B119 I2:I119 K2:K119 O2:O119" xr:uid="{25C55581-9930-46E6-B2E9-39CAA965680C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AA74D-BBA4-47AF-B7FC-12262095506A}">
  <dimension ref="A1:U207"/>
  <sheetViews>
    <sheetView workbookViewId="0">
      <selection activeCell="H11" sqref="H1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9F0wneenL6kI5EoVOfz+6FNtoSqibLN1hslWobsHh83fA4caXwyMJ027nFNLgBRelKKRz/4gohSLJ7pD0jPCYw==" saltValue="PgBjrV9wP0qxVEIPQkGX+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3789B2E7-F28D-40EC-A140-AB683B2355D8}">
      <formula1>0</formula1>
    </dataValidation>
    <dataValidation type="date" operator="greaterThanOrEqual" allowBlank="1" showInputMessage="1" showErrorMessage="1" sqref="B2:B119 I2:I119 K2:K119 O2:O119" xr:uid="{CBB5B759-80B5-4616-B769-84A261B9361C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1CFA9-671C-4352-8301-D044B63C7B71}">
  <dimension ref="A1:U207"/>
  <sheetViews>
    <sheetView workbookViewId="0">
      <selection activeCell="H16" sqref="H16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7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13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13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13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13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13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13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13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13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13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13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13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13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13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13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13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13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13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13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13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13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13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13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13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13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13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13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13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13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13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13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13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13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13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13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13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13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13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13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13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13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13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13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13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13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13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13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13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13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13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13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13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13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13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13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13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13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13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13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13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13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13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13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13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13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13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13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13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13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13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13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13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13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28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28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28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28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28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28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28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28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28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28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28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28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28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28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28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28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28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28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28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28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28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28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28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28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28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28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28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28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28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28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28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28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28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28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28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28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28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28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28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28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28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28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28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28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28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28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iq+Bdfzrstb6M5DYAkrwzJY3L7nYEL4GpXqzvRbJRUHrdJ2aOOQT1wtqKzbDGQoxBLYnrpcLNjJrXhCB0OM9NA==" saltValue="h8k6BAt8D4WSVSwiXFkJp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32150C63-BE53-4C23-B984-19F953DE463B}">
      <formula1>0</formula1>
    </dataValidation>
    <dataValidation type="date" operator="greaterThanOrEqual" allowBlank="1" showInputMessage="1" showErrorMessage="1" sqref="B2:B119 I2:I119 K2:K119 O2:O119" xr:uid="{04641AE9-EBD9-4462-9727-D9CDBD275010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7F0D6-AC6C-4EB4-A410-13AB9AA6C9CC}">
  <dimension ref="A1:U207"/>
  <sheetViews>
    <sheetView workbookViewId="0">
      <selection activeCell="L11" sqref="L1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7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XD2UaLMVbWH82moRBvijsdUS8DyNjyabvBDR2UEMdPH12TnE2KyrdvxVDNi3lx7J8denP52B2dbkpUAHSkcHTw==" saltValue="zNsBSgubd2kw6NdJI/tmZ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8BA10176-3E1F-42A7-B66E-E456855506F4}">
      <formula1>0</formula1>
    </dataValidation>
    <dataValidation type="date" operator="greaterThanOrEqual" allowBlank="1" showInputMessage="1" showErrorMessage="1" sqref="B2:B119 I2:I119 K2:K119 O2:O119" xr:uid="{DDED89FF-FD0B-4BA8-B473-36BB17CE861D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56A34-3019-46B6-904F-228FC8269997}">
  <dimension ref="A1:U207"/>
  <sheetViews>
    <sheetView workbookViewId="0">
      <selection activeCell="I27" sqref="I27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w8xe15IVQepCMDPuif1LeLGcZOOdRr6JUm0DDaU/wgRv9YUonPaL80gUE8aMRniae29mq1OPZrz3K90dhCkkqg==" saltValue="2W3r52xCaDu2IDZPBXLIl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44FCE1EB-2AE0-45FC-B3D3-AA13696708F1}">
      <formula1>0</formula1>
    </dataValidation>
    <dataValidation type="date" operator="greaterThanOrEqual" allowBlank="1" showInputMessage="1" showErrorMessage="1" sqref="B2:B119 I2:I119 K2:K119 O2:O119" xr:uid="{563ECC11-7570-4715-8EE9-FF13D631BB0B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11F8F-0B63-4D26-AF5A-E368705ECCD2}">
  <dimension ref="A1:U207"/>
  <sheetViews>
    <sheetView workbookViewId="0">
      <selection activeCell="H110" sqref="H110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xyyI0uxGicd1zwnoEyAY68PVCBq3yXQdXLzs/fZXhpsVar4N5xMG+kohm2+fadFVkgT0ZRvFtjBAg290tVG0cg==" saltValue="GN+xsdyoDYMpi+8+1JFR6A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119 I2:I119 K2:K119 O2:O119" xr:uid="{700ED2FD-E72E-4919-90D7-67696B46081E}">
      <formula1>45658</formula1>
    </dataValidation>
    <dataValidation type="whole" operator="greaterThanOrEqual" allowBlank="1" showInputMessage="1" showErrorMessage="1" sqref="A2:A119 D2:H119 J2:J119 L2:L119 P2:P119" xr:uid="{AF3B2EAF-56FC-41B0-93D5-60F4D4842B23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C7BFD-DDB6-4483-84F7-6A712EAB1CF0}">
  <dimension ref="A1:U207"/>
  <sheetViews>
    <sheetView workbookViewId="0">
      <selection activeCell="H110" sqref="H110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qrQ5/4MfLoa2UilNNKLqfvHIsn5vPcNY/ZgiP5UuSo7malJGcDv2cXj5V4oKkOIpvCpdyuEwhjtvzv6JLNz3dQ==" saltValue="PKrOz9FUXbr52xJRNw19D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B586440C-7022-4620-B684-FF98163F647D}">
      <formula1>0</formula1>
    </dataValidation>
    <dataValidation type="date" operator="greaterThanOrEqual" allowBlank="1" showInputMessage="1" showErrorMessage="1" sqref="B2:B119 I2:I119 K2:K119 O2:O119" xr:uid="{889AF43D-DFBC-4B4A-8427-E986A29BE303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7CB4F-C433-4CEA-BA0F-E9EDF93A4076}">
  <dimension ref="A1:U207"/>
  <sheetViews>
    <sheetView workbookViewId="0">
      <selection activeCell="I18" sqref="I18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1v9YSfrRg9z9xRk+Xas15Bho0hbAGRUgQmSsUneLTYa2xve1WwPz1PCjGb4IjejuPxMI+1mhOpaNz+DkX3BYyg==" saltValue="jxElDuHKCdKU2RGix272X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119 I2:I119 K2:K119 O2:O119" xr:uid="{E9B2A97B-F597-421B-BDED-DA087700BA08}">
      <formula1>45658</formula1>
    </dataValidation>
    <dataValidation type="whole" operator="greaterThanOrEqual" allowBlank="1" showInputMessage="1" showErrorMessage="1" sqref="A2:A119 D2:H119 J2:J119 L2:L119 P2:P119" xr:uid="{923567BE-DC5A-4FAF-B012-26D199C36993}">
      <formula1>0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9" ma:contentTypeDescription="Create a new document." ma:contentTypeScope="" ma:versionID="9d0a3a6d5f46151a18bbe240688808cd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031130cb593861622ae9b5a1f99c458a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2E2D90-D71D-4B29-A1FC-78BC5FA14248}">
  <ds:schemaRefs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d5486727-c7ef-48ef-8f67-294a70abf30d"/>
    <ds:schemaRef ds:uri="f09d0ae9-c6ff-4e57-bd1f-955be6ad47ac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78F4AAED-5E0C-45D3-A303-B109E22D76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9d0ae9-c6ff-4e57-bd1f-955be6ad47ac"/>
    <ds:schemaRef ds:uri="d5486727-c7ef-48ef-8f67-294a70abf3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7A0325E-771A-4937-9A89-AEC566AF210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Metropolitan</vt:lpstr>
      <vt:lpstr>Repeat Attacks 1</vt:lpstr>
      <vt:lpstr>Repeat Attacks 2</vt:lpstr>
      <vt:lpstr>Repeat Attacks 3</vt:lpstr>
      <vt:lpstr>Repeat Attacks 4</vt:lpstr>
      <vt:lpstr>Repeat Attacks 5</vt:lpstr>
      <vt:lpstr>Repeat Attacks 6</vt:lpstr>
      <vt:lpstr>Repeat Attacks 7</vt:lpstr>
      <vt:lpstr>Repeat Attacks 8</vt:lpstr>
      <vt:lpstr>Repeat Attacks 9</vt:lpstr>
      <vt:lpstr>Repeat Attacks 10</vt:lpstr>
      <vt:lpstr>Repeat Attacks 11</vt:lpstr>
      <vt:lpstr>Repeat Attacks 12</vt:lpstr>
    </vt:vector>
  </TitlesOfParts>
  <Manager/>
  <Company>ABM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Mourad Zerrouk</dc:creator>
  <cp:keywords/>
  <dc:description/>
  <cp:lastModifiedBy>Bogdan Baiceanu</cp:lastModifiedBy>
  <cp:revision/>
  <dcterms:created xsi:type="dcterms:W3CDTF">2025-10-14T11:42:09Z</dcterms:created>
  <dcterms:modified xsi:type="dcterms:W3CDTF">2025-11-03T04:10:19Z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