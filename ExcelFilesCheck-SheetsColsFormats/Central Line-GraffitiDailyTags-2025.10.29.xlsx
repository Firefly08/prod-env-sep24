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48" documentId="8_{C52D28C8-DB36-419C-9FE7-06F9832A3641}" xr6:coauthVersionLast="47" xr6:coauthVersionMax="47" xr10:uidLastSave="{1E4133A6-E813-439A-B264-1BF9CD0C1A60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<sst xmlns="http://schemas.openxmlformats.org/spreadsheetml/2006/main" count="1269" uniqueCount="114">
  <si>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</si>
  <si>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</si>
  <si>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</si>
  <si>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</si>
  <si>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</si>
  <si>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</si>
  <si>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</si>
  <si>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</si>
  <si>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</si>
  <si>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</si>
  <si>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</si>
  <si>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</si>
  <si>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</si>
  <si>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</si>
  <si>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</si>
  <si>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</si>
  <si>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</si>
  <si>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</si>
  <si>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</si>
  <si>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</si>
  <si>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</si>
  <si>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</si>
  <si>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</si>
  <si>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</si>
  <si>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</si>
  <si>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</si>
  <si>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</si>
  <si>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</si>
  <si>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</si>
  <si>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</si>
  <si>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</si>
  <si>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</si>
  <si>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</si>
  <si>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</si>
  <si>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</si>
  <si>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</si>
  <si>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</si>
  <si>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</si>
  <si>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</si>
  <si>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</si>
  <si>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</si>
  <si>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</si>
  <si>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</si>
  <si>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</si>
  <si>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</si>
  <si>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</si>
  <si>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</si>
  <si>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</si>
  <si>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</si>
  <si>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</si>
  <si>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</si>
  <si>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</si>
  <si>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</si>
  <si>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</si>
  <si>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</si>
  <si>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</si>
  <si>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</si>
  <si>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</si>
  <si>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</si>
  <si>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</si>
  <si>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Achile D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</si>
  <si>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</si>
  <si>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</si>
  <si>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</si>
  <si>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</si>
  <si>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</si>
  <si>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</si>
  <si>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</si>
  <si>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</si>
  <si>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</si>
  <si>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</si>
  <si>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</si>
  <si>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</si>
  <si>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</si>
  <si>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</si>
  <si>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</si>
  <si>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</si>
  <si>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</si>
  <si>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</si>
  <si>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</si>
  <si>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</si>
  <si>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</si>
  <si>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</si>
  <si>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</si>
  <si>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</si>
  <si>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</si>
  <si>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</si>
  <si>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</si>
  <si>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</si>
  <si>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</si>
  <si>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</si>
  <si>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</si>
  <si>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</si>
  <si>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</si>
  <si>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</si>
  <si>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</si>
  <si>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</si>
  <si>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</si>
  <si>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</si>
  <si>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</si>
  <si>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</si>
  <si>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</si>
  <si>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</si>
  <si>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Acile D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</si>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</sst>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0054B2-6683-4520-AE1A-A46D64042C74}" name="TagsRA10" displayName="TagsRA10" ref="A1:P341" totalsRowShown="0" headerRowDxfId="199" dataDxfId="198" tableBorderDxfId="197">
  <autoFilter ref="A1:P341" xr:uid="{90991185-A119-4635-9444-D621C29FCDB6}"/>
  <tableColumns count="16">
    <tableColumn id="1" xr3:uid="{3E9AF8AE-66D3-4FB2-B445-17CA310457AF}" name="Unit No." dataDxfId="196" dataCellStyle="Normal 2"/>
    <tableColumn id="2" xr3:uid="{77BF6909-8F8B-4489-BDA5-62ED200095FF}" name="DATE" dataDxfId="195"/>
    <tableColumn id="3" xr3:uid="{25BEDCCB-34F0-42FB-8E81-AFE82BC38174}" name="Status" dataDxfId="194"/>
    <tableColumn id="4" xr3:uid="{494A52AF-0E24-47AA-B73D-E37CEB13E3F6}" name="Number of cars affected by graffiti/shadows on this unit" dataDxfId="193"/>
    <tableColumn id="5" xr3:uid="{4DC121A8-E5E9-4B10-B91F-C9D1D5CE5D02}" name="Total Number of Tags found" dataDxfId="192"/>
    <tableColumn id="6" xr3:uid="{5943815D-2D4E-4F7D-835C-C68704F3B5AE}" name="Total Tags Removed / Cleaned" dataDxfId="191"/>
    <tableColumn id="7" xr3:uid="{BB804B3B-5B50-42BF-81B9-C7A54E60D79D}" name="Total Tags Not Cleaned on this Unit" dataDxfId="190"/>
    <tableColumn id="8" xr3:uid="{7BEA9607-7084-4DB0-B3D7-B399A49A70CD}" name="Car Number (s)  of Tags not cleaned (shadows)" dataDxfId="189"/>
    <tableColumn id="9" xr3:uid="{F5F4B478-A66E-4184-9916-5F2D9D71126C}" name="Date of 2nd visit to clean remaining tags" dataDxfId="188"/>
    <tableColumn id="10" xr3:uid="{61FCCE26-00AA-4141-BBEA-688C784FC181}" name="Number of tags removed" dataDxfId="187"/>
    <tableColumn id="11" xr3:uid="{4FB44E03-B29E-4A04-A71D-43D2DC6BC69D}" name="Date of 3rd visit to clean remaining tags" dataDxfId="186"/>
    <tableColumn id="12" xr3:uid="{935398B0-484B-4078-B656-4EAF1334438E}" name="Number of tags removed2" dataDxfId="185"/>
    <tableColumn id="13" xr3:uid="{EF51E8A8-F41B-4E88-99D9-36D0FF90D593}" name="Train Inspected and Fit for service    (Y/N)" dataDxfId="184"/>
    <tableColumn id="14" xr3:uid="{A4BFF48F-FEE8-4D3D-94D0-2DE847FB49B5}" name="Inspected by Supervisor/Manager (Name)" dataDxfId="183"/>
    <tableColumn id="15" xr3:uid="{7C031F90-B6B3-49BE-B66F-2CE85BF07798}" name="Date of Completing all shadows (Tags) on this Unit excluding acid etched shadows" dataDxfId="182"/>
    <tableColumn id="16" xr3:uid="{7AB6560F-E58A-404C-8029-E2A6D9E5A8BB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0D9B2E-A3A2-44CC-8E9E-33103187CFF2}" name="TagsRA11" displayName="TagsRA11" ref="A1:P341" totalsRowShown="0" headerRowDxfId="180" dataDxfId="179" tableBorderDxfId="178">
  <autoFilter ref="A1:P341" xr:uid="{90991185-A119-4635-9444-D621C29FCDB6}"/>
  <tableColumns count="16">
    <tableColumn id="1" xr3:uid="{3B3AD56F-9C31-4F6A-A033-81B5933B33B8}" name="Unit No." dataDxfId="177" dataCellStyle="Normal 2"/>
    <tableColumn id="2" xr3:uid="{693D8F8A-AA80-4051-AF94-69CE19FF1E00}" name="DATE" dataDxfId="176"/>
    <tableColumn id="3" xr3:uid="{3DE8359E-F804-4CA4-878A-C4FF77FECBF3}" name="Status" dataDxfId="175"/>
    <tableColumn id="4" xr3:uid="{A31A2622-1C16-4037-BA65-2FD80A779BAF}" name="Number of cars affected by graffiti/shadows on this unit" dataDxfId="174"/>
    <tableColumn id="5" xr3:uid="{02A10EA7-6900-4859-9297-1AD0BBB0D2CA}" name="Total Number of Tags found" dataDxfId="173"/>
    <tableColumn id="6" xr3:uid="{1CDE1255-5FE9-400A-8CF3-FA06C45C3F53}" name="Total Tags Removed / Cleaned" dataDxfId="172"/>
    <tableColumn id="7" xr3:uid="{1D8096B5-A709-4B3E-95E9-4AA306AC2760}" name="Total Tags Not Cleaned on this Unit" dataDxfId="171"/>
    <tableColumn id="8" xr3:uid="{94A701F5-DC35-45CC-8F3C-3B741E4BFCC2}" name="Car Number (s)  of Tags not cleaned (shadows)" dataDxfId="170"/>
    <tableColumn id="9" xr3:uid="{3659DE6A-4DC8-4F63-BE73-273EA439549F}" name="Date of 2nd visit to clean remaining tags" dataDxfId="169"/>
    <tableColumn id="10" xr3:uid="{0775ABC0-13C2-4839-880E-1D749E1C99B0}" name="Number of tags removed" dataDxfId="168"/>
    <tableColumn id="11" xr3:uid="{54E1FF79-B9E9-4273-AA9C-5F94727F4586}" name="Date of 3rd visit to clean remaining tags" dataDxfId="167"/>
    <tableColumn id="12" xr3:uid="{5CAEA495-039E-4F0F-93F1-96137B848DB9}" name="Number of tags removed2" dataDxfId="166"/>
    <tableColumn id="13" xr3:uid="{1ED2FAC7-AEB4-4D6B-B0C7-14B34BD7F3E3}" name="Train Inspected and Fit for service    (Y/N)" dataDxfId="165"/>
    <tableColumn id="14" xr3:uid="{E368D83E-838F-41AE-AB0B-5739C892E06A}" name="Inspected by Supervisor/Manager (Name)" dataDxfId="164"/>
    <tableColumn id="15" xr3:uid="{E837054F-87A5-4B12-99E9-23D242067009}" name="Date of Completing all shadows (Tags) on this Unit excluding acid etched shadows" dataDxfId="163"/>
    <tableColumn id="16" xr3:uid="{1BB843E5-67FA-4422-8FAA-897705D754CE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1D6BAE-F5EE-4007-A68F-620EAF60C820}" name="TagsRA12" displayName="TagsRA12" ref="A1:P341" totalsRowShown="0" headerRowDxfId="161" dataDxfId="160" tableBorderDxfId="159">
  <autoFilter ref="A1:P341" xr:uid="{90991185-A119-4635-9444-D621C29FCDB6}"/>
  <tableColumns count="16">
    <tableColumn id="1" xr3:uid="{BC6A3721-B1B9-4526-9046-33AF971432D6}" name="Unit No." dataDxfId="158" dataCellStyle="Normal 2"/>
    <tableColumn id="2" xr3:uid="{93D979F0-6CEC-4202-B52A-16D8749743E6}" name="DATE" dataDxfId="157"/>
    <tableColumn id="3" xr3:uid="{1CBF1761-8287-49EE-9E4F-D7E3CAC51868}" name="Status" dataDxfId="156"/>
    <tableColumn id="4" xr3:uid="{D7DDB20E-674B-4144-A406-1E8D4BD51EA6}" name="Number of cars affected by graffiti/shadows on this unit" dataDxfId="155"/>
    <tableColumn id="5" xr3:uid="{59D2B6C0-CEB6-416A-B1B0-E34B2C220162}" name="Total Number of Tags found" dataDxfId="154"/>
    <tableColumn id="6" xr3:uid="{0F5D18B9-8ED3-46CE-90E1-D731E7F1DF64}" name="Total Tags Removed / Cleaned" dataDxfId="153"/>
    <tableColumn id="7" xr3:uid="{554D1C9D-B81C-46AB-A27A-EC280241CC7B}" name="Total Tags Not Cleaned on this Unit" dataDxfId="152"/>
    <tableColumn id="8" xr3:uid="{1A0D3623-6840-4694-8081-D67978028BB3}" name="Car Number (s)  of Tags not cleaned (shadows)" dataDxfId="151"/>
    <tableColumn id="9" xr3:uid="{25D8337C-AA97-4E36-9DA7-470EA5C393C8}" name="Date of 2nd visit to clean remaining tags" dataDxfId="150"/>
    <tableColumn id="10" xr3:uid="{BC91F873-7606-4258-B4E4-60A851A36F63}" name="Number of tags removed" dataDxfId="149"/>
    <tableColumn id="11" xr3:uid="{A97ECCAA-B007-4613-B419-9E39082478B7}" name="Date of 3rd visit to clean remaining tags" dataDxfId="148"/>
    <tableColumn id="12" xr3:uid="{B52588A7-2C2A-42D2-9B6A-8437A60EAB28}" name="Number of tags removed2" dataDxfId="147"/>
    <tableColumn id="13" xr3:uid="{56C4C100-B5BD-4B33-AEDA-9F0FEA378567}" name="Train Inspected and Fit for service    (Y/N)" dataDxfId="146"/>
    <tableColumn id="14" xr3:uid="{73159168-7D9C-4F55-86D6-FAF41EE00141}" name="Inspected by Supervisor/Manager (Name)" dataDxfId="145"/>
    <tableColumn id="15" xr3:uid="{B04B6CE5-DD24-42DA-894A-1FBA5A1EBBA7}" name="Date of Completing all shadows (Tags) on this Unit excluding acid etched shadows" dataDxfId="144"/>
    <tableColumn id="16" xr3:uid="{61C6D092-FB19-4965-ACED-64728444A7FF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258</v>
      </c>
      <c r="U4" s="53">
        <f>T4/S4*100</f>
        <v>75.882352941176464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5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68">
        <v>45959</v>
      </c>
      <c r="C122" s="16"/>
      <c r="D122" s="52">
        <v>2</v>
      </c>
      <c r="E122" s="52">
        <v>202</v>
      </c>
      <c r="F122" s="52">
        <v>202</v>
      </c>
      <c r="G122" s="52">
        <v>0</v>
      </c>
      <c r="H122" s="52">
        <v>0</v>
      </c>
      <c r="I122" s="60"/>
      <c r="J122" s="52"/>
      <c r="K122" s="60"/>
      <c r="L122" s="52"/>
      <c r="M122" s="52" t="s">
        <v>0</v>
      </c>
      <c r="N122" s="17" t="s">
        <v>60</v>
      </c>
      <c r="O122" s="51">
        <v>45959</v>
      </c>
      <c r="P122" s="47"/>
    </row>
    <row r="123" spans="1:16" x14ac:dyDescent="0.25">
      <c r="A123" s="46" t="s">
        <v>61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62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63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64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65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66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67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68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69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70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71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72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73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74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75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76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77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78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79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80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81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82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83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84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85</v>
      </c>
      <c r="B150" s="65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60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65">
        <v>45958</v>
      </c>
      <c r="C253" s="16"/>
      <c r="D253" s="52">
        <v>2</v>
      </c>
      <c r="E253" s="52">
        <v>185</v>
      </c>
      <c r="F253" s="52">
        <v>185</v>
      </c>
      <c r="G253" s="52">
        <v>0</v>
      </c>
      <c r="H253" s="52">
        <v>0</v>
      </c>
      <c r="I253" s="60"/>
      <c r="J253" s="52"/>
      <c r="K253" s="60"/>
      <c r="L253" s="52"/>
      <c r="M253" s="52" t="s">
        <v>0</v>
      </c>
      <c r="N253" s="17" t="s">
        <v>103</v>
      </c>
      <c r="O253" s="51">
        <v>45958</v>
      </c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60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68">
        <v>45959</v>
      </c>
      <c r="C308" s="16"/>
      <c r="D308" s="52">
        <v>2</v>
      </c>
      <c r="E308" s="52">
        <v>176</v>
      </c>
      <c r="F308" s="52">
        <v>176</v>
      </c>
      <c r="G308" s="52">
        <v>0</v>
      </c>
      <c r="H308" s="52">
        <v>0</v>
      </c>
      <c r="I308" s="60"/>
      <c r="J308" s="52"/>
      <c r="K308" s="60"/>
      <c r="L308" s="52"/>
      <c r="M308" s="52" t="s">
        <v>0</v>
      </c>
      <c r="N308" s="17" t="s">
        <v>60</v>
      </c>
      <c r="O308" s="51">
        <v>45959</v>
      </c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60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104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105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104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104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104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104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lgorithmName="SHA-512" hashValue="1dLi4tHfjFTeqMnusAmgS8MEBlQLaM/WNLOtpSkJpJzX/O4cXj4ANpmxwI1DxKI1FyC8HwyKxhc2zrzs/wnXDA==" saltValue="JDSmiX1jgitPcdA4Po+HhQ==" spinCount="100000" sheet="1" objects="1" scenarios="1" sort="0"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147</v>
      </c>
      <c r="U4" s="53">
        <f>T4/S4*100</f>
        <v>43.235294117647058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106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106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65">
        <v>45958</v>
      </c>
      <c r="C29" s="16"/>
      <c r="D29" s="52">
        <v>2</v>
      </c>
      <c r="E29" s="52">
        <v>76</v>
      </c>
      <c r="F29" s="52">
        <v>76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60</v>
      </c>
      <c r="O29" s="51">
        <v>45958</v>
      </c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106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106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106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106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105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107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106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65">
        <v>45958</v>
      </c>
      <c r="C95" s="16"/>
      <c r="D95" s="52">
        <v>2</v>
      </c>
      <c r="E95" s="52">
        <v>122</v>
      </c>
      <c r="F95" s="52">
        <v>122</v>
      </c>
      <c r="G95" s="52">
        <v>0</v>
      </c>
      <c r="H95" s="52">
        <v>0</v>
      </c>
      <c r="I95" s="60"/>
      <c r="J95" s="52"/>
      <c r="K95" s="60"/>
      <c r="L95" s="52"/>
      <c r="M95" s="52" t="s">
        <v>0</v>
      </c>
      <c r="N95" s="17" t="s">
        <v>106</v>
      </c>
      <c r="O95" s="51">
        <v>45958</v>
      </c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106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106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65">
        <v>45958</v>
      </c>
      <c r="C121" s="16"/>
      <c r="D121" s="52">
        <v>2</v>
      </c>
      <c r="E121" s="52">
        <v>73</v>
      </c>
      <c r="F121" s="52">
        <v>73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60</v>
      </c>
      <c r="O121" s="51">
        <v>45958</v>
      </c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105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108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108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68">
        <v>45959</v>
      </c>
      <c r="C187" s="16"/>
      <c r="D187" s="52">
        <v>2</v>
      </c>
      <c r="E187" s="52">
        <v>162</v>
      </c>
      <c r="F187" s="52">
        <v>162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106</v>
      </c>
      <c r="O187" s="51">
        <v>45959</v>
      </c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108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108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108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109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108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108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104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108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104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110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108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108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108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104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109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108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108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108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104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109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108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104</v>
      </c>
      <c r="O314" s="51">
        <v>45809</v>
      </c>
      <c r="P314" s="47"/>
    </row>
    <row r="315" spans="1:16" x14ac:dyDescent="0.25">
      <c r="A315" s="55">
        <v>93412</v>
      </c>
      <c r="B315" s="65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60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104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108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104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107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108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108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108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104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104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108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108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189" workbookViewId="0">
      <selection activeCell="D202" sqref="D202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55</v>
      </c>
      <c r="U4" s="53">
        <f>T4/S4*100</f>
        <v>16.176470588235293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106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111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106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111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106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106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106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106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106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106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111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111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111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104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106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60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104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104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106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112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68">
        <v>45959</v>
      </c>
      <c r="C200" s="16"/>
      <c r="D200" s="52">
        <v>2</v>
      </c>
      <c r="E200" s="52">
        <v>165</v>
      </c>
      <c r="F200" s="52">
        <v>165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45959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106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112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112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106</v>
      </c>
      <c r="O265" s="51">
        <v>45819</v>
      </c>
      <c r="P265" s="47"/>
    </row>
    <row r="266" spans="1:16" x14ac:dyDescent="0.25">
      <c r="A266" s="42">
        <v>93180</v>
      </c>
      <c r="B266" s="65">
        <v>45958</v>
      </c>
      <c r="C266" s="16"/>
      <c r="D266" s="52">
        <v>2</v>
      </c>
      <c r="E266" s="52">
        <v>74</v>
      </c>
      <c r="F266" s="52">
        <v>74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45958</v>
      </c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112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112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112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113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B67" sqref="B67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7</v>
      </c>
      <c r="U4" s="53">
        <f>T4/S4*100</f>
        <v>2.0588235294117645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60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104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104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104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307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297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topLeftCell="A315"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7609-F283-4FAD-80D3-5BB06B11A25E}">
  <dimension ref="A1:U341"/>
  <sheetViews>
    <sheetView topLeftCell="A315"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52E5137D-D22D-44CB-80E6-72740E36AF22}">
      <formula1>0</formula1>
    </dataValidation>
    <dataValidation type="date" operator="greaterThanOrEqual" allowBlank="1" showInputMessage="1" showErrorMessage="1" sqref="B2:B341 I2:I341 K2:K341 O2:O341" xr:uid="{C53DE50C-FE17-4112-AB7B-3158F025447B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A3B5F5-0D3A-49B5-8B13-D92F47763FEE}">
          <x14:formula1>
            <xm:f>Inspected!$A$1:$A$2</xm:f>
          </x14:formula1>
          <xm:sqref>N2:N341</xm:sqref>
        </x14:dataValidation>
        <x14:dataValidation type="list" allowBlank="1" showInputMessage="1" showErrorMessage="1" xr:uid="{0939EE77-36F1-48B2-B147-D740E2CC2FF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48D0-A987-47CC-8E6C-D8B64B41D52B}">
  <dimension ref="A1:U341"/>
  <sheetViews>
    <sheetView topLeftCell="A315"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8AAECB3-F492-4513-B48E-807D491DB554}">
      <formula1>45658</formula1>
    </dataValidation>
    <dataValidation type="whole" operator="greaterThanOrEqual" allowBlank="1" showInputMessage="1" showErrorMessage="1" sqref="A2:A341 D2:H341 G1 J2:J341 L2:L341" xr:uid="{F399095A-A3CA-4F8D-9DC8-F049C1D3907B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D55B65-30F8-41F3-BC2B-23C8CE81D375}">
          <x14:formula1>
            <xm:f>Inspected!$F$1</xm:f>
          </x14:formula1>
          <xm:sqref>C2:C341</xm:sqref>
        </x14:dataValidation>
        <x14:dataValidation type="list" allowBlank="1" showInputMessage="1" showErrorMessage="1" xr:uid="{4D66B218-F4FF-4F76-BDC2-9A0E67352B4B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CB47-A4F6-4754-B119-B26335E4D38A}">
  <dimension ref="A1:U341"/>
  <sheetViews>
    <sheetView topLeftCell="A306" workbookViewId="0">
      <selection activeCell="J317" sqref="J317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57E73BB3-0AD9-47AD-960D-2146772AC06B}">
      <formula1>0</formula1>
    </dataValidation>
    <dataValidation type="date" operator="greaterThanOrEqual" allowBlank="1" showInputMessage="1" showErrorMessage="1" sqref="B2:B341 I2:I341 K2:K341 O2:O341" xr:uid="{19588D95-2299-42A0-877F-29F644081373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EEC127-1CEB-4DB8-B0A5-EA663CB7F623}">
          <x14:formula1>
            <xm:f>Inspected!$A$1:$A$2</xm:f>
          </x14:formula1>
          <xm:sqref>N2:N341</xm:sqref>
        </x14:dataValidation>
        <x14:dataValidation type="list" allowBlank="1" showInputMessage="1" showErrorMessage="1" xr:uid="{40BA9DCF-71AB-4180-BB4C-3BCB84187811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d5486727-c7ef-48ef-8f67-294a70abf30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09d0ae9-c6ff-4e57-bd1f-955be6ad47a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2025-11-02T21:04:38Z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