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o2188\Downloads\111\"/>
    </mc:Choice>
  </mc:AlternateContent>
  <xr:revisionPtr revIDLastSave="0" documentId="13_ncr:1_{81B1FB44-19ED-4B65-8801-9FADCA299F68}" xr6:coauthVersionLast="47" xr6:coauthVersionMax="47" xr10:uidLastSave="{00000000-0000-0000-0000-000000000000}"/>
  <bookViews>
    <workbookView xWindow="-120" yWindow="-120" windowWidth="29040" windowHeight="15720" tabRatio="770" firstSheet="5" activeTab="12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<sst xmlns="http://schemas.openxmlformats.org/spreadsheetml/2006/main" count="1279" uniqueCount="114">
  <si>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</si>
  <si>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</si>
  <si>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</si>
  <si>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</si>
  <si>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</si>
  <si>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</si>
  <si>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</si>
  <si>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</si>
  <si>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</si>
  <si>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</si>
  <si>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</si>
  <si>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</si>
  <si>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</si>
  <si>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</si>
  <si>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</si>
  <si>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</si>
  <si>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</si>
  <si>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</si>
  <si>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</si>
  <si>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</si>
  <si>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</si>
  <si>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</si>
  <si>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</si>
  <si>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</si>
  <si>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</si>
  <si>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</si>
  <si>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</si>
  <si>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</si>
  <si>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</si>
  <si>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</si>
  <si>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</si>
  <si>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</si>
  <si>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</si>
  <si>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</si>
  <si>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</si>
  <si>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</si>
  <si>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</si>
  <si>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</si>
  <si>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</si>
  <si>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</si>
  <si>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</si>
  <si>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</si>
  <si>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</si>
  <si>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</si>
  <si>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</si>
  <si>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</si>
  <si>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</si>
  <si>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</si>
  <si>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</si>
  <si>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</si>
  <si>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</si>
  <si>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</si>
  <si>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</si>
  <si>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</si>
  <si>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</si>
  <si>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</si>
  <si>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</si>
  <si>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</si>
  <si>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</si>
  <si>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</si>
  <si>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Achile D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</si>
  <si>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</si>
  <si>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</si>
  <si>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</si>
  <si>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</si>
  <si>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</si>
  <si>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</si>
  <si>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</si>
  <si>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</si>
  <si>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</si>
  <si>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</si>
  <si>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</si>
  <si>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</si>
  <si>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</si>
  <si>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</si>
  <si>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</si>
  <si>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</si>
  <si>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</si>
  <si>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</si>
  <si>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</si>
  <si>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</si>
  <si>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</si>
  <si>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</si>
  <si>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</si>
  <si>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</si>
  <si>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</si>
  <si>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</si>
  <si>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</si>
  <si>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</si>
  <si>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</si>
  <si>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</si>
  <si>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</si>
  <si>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</si>
  <si>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</si>
  <si>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</si>
  <si>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</si>
  <si>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</si>
  <si>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</si>
  <si>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</si>
  <si>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</si>
  <si>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</si>
  <si>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</si>
  <si>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</si>
  <si>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Acile D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</si>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</sst>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432AB6-EE7E-428E-B51A-4C8048471612}" name="TagsRA10" displayName="TagsRA10" ref="A1:P341" totalsRowShown="0" headerRowDxfId="199" dataDxfId="198" tableBorderDxfId="197">
  <autoFilter ref="A1:P341" xr:uid="{90991185-A119-4635-9444-D621C29FCDB6}"/>
  <tableColumns count="16">
    <tableColumn id="1" xr3:uid="{F471DB88-D346-4754-9B8D-5A22292E5F48}" name="Unit No." dataDxfId="196" dataCellStyle="Normal 2"/>
    <tableColumn id="2" xr3:uid="{4A1A4424-1CEA-43D0-9643-F1916864F326}" name="DATE" dataDxfId="195"/>
    <tableColumn id="3" xr3:uid="{9F9B4244-2043-4B5D-A8F5-B6A9D8B01095}" name="Status" dataDxfId="194"/>
    <tableColumn id="4" xr3:uid="{67AD0D7F-E2BD-427F-B970-D74471AE5FE2}" name="Number of cars affected by graffiti/shadows on this unit" dataDxfId="193"/>
    <tableColumn id="5" xr3:uid="{09ABE9E6-1526-41CA-A3A1-EBDE7ABCD043}" name="Total Number of Tags found" dataDxfId="192"/>
    <tableColumn id="6" xr3:uid="{369445EB-0168-4D25-A5AE-CA6EBB741D3D}" name="Total Tags Removed / Cleaned" dataDxfId="191"/>
    <tableColumn id="7" xr3:uid="{4BFCC4D6-3A23-4C5F-AC69-FE9B760EAEE9}" name="Total Tags Not Cleaned on this Unit" dataDxfId="190"/>
    <tableColumn id="8" xr3:uid="{9310C7C5-0E99-4DF6-979D-EC41206993B9}" name="Car Number (s)  of Tags not cleaned (shadows)" dataDxfId="189"/>
    <tableColumn id="9" xr3:uid="{5B755323-9560-4838-A6F6-A7986DBC7DA7}" name="Date of 2nd visit to clean remaining tags" dataDxfId="188"/>
    <tableColumn id="10" xr3:uid="{586D9254-A71E-490A-8478-7FF65548579E}" name="Number of tags removed" dataDxfId="187"/>
    <tableColumn id="11" xr3:uid="{F32F6629-9CB6-4AFE-90B2-0862CEE875F6}" name="Date of 3rd visit to clean remaining tags" dataDxfId="186"/>
    <tableColumn id="12" xr3:uid="{A324FCCB-4B56-41DE-9784-329DE0172D04}" name="Number of tags removed2" dataDxfId="185"/>
    <tableColumn id="13" xr3:uid="{84F7FF20-345B-4D76-AC41-1D949A55DA7E}" name="Train Inspected and Fit for service    (Y/N)" dataDxfId="184"/>
    <tableColumn id="14" xr3:uid="{D15644FA-8788-403C-97B4-02382DFBF585}" name="Inspected by Supervisor/Manager (Name)" dataDxfId="183"/>
    <tableColumn id="15" xr3:uid="{97EEC1D1-B063-40A2-B793-4FA4A239AB65}" name="Date of Completing all shadows (Tags) on this Unit excluding acid etched shadows" dataDxfId="182"/>
    <tableColumn id="16" xr3:uid="{3CE916D0-B41E-48AD-915C-21D8C3B26A70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E7F1EE-6A1F-4DB5-852F-82EE0F6EF0B3}" name="TagsRA11" displayName="TagsRA11" ref="A1:P341" totalsRowShown="0" headerRowDxfId="180" dataDxfId="179" tableBorderDxfId="178">
  <autoFilter ref="A1:P341" xr:uid="{90991185-A119-4635-9444-D621C29FCDB6}"/>
  <tableColumns count="16">
    <tableColumn id="1" xr3:uid="{5B442D0C-7E89-4BE4-A6CB-3909F3947166}" name="Unit No." dataDxfId="177" dataCellStyle="Normal 2"/>
    <tableColumn id="2" xr3:uid="{322E29B2-3DF1-4D9C-B89E-7C1B6F358A4C}" name="DATE" dataDxfId="176"/>
    <tableColumn id="3" xr3:uid="{293C402E-E25E-42E4-AE54-B5CC725DA9ED}" name="Status" dataDxfId="175"/>
    <tableColumn id="4" xr3:uid="{30A6E258-6DB0-4324-92E0-D0B707E01C5B}" name="Number of cars affected by graffiti/shadows on this unit" dataDxfId="174"/>
    <tableColumn id="5" xr3:uid="{50F58733-76D9-48EB-9367-C6CDF9989AC4}" name="Total Number of Tags found" dataDxfId="173"/>
    <tableColumn id="6" xr3:uid="{AD88C460-70A0-4E6D-8BDE-EFDCF113C7B8}" name="Total Tags Removed / Cleaned" dataDxfId="172"/>
    <tableColumn id="7" xr3:uid="{94727489-9A82-4E5B-B6A3-81BEB1BC273A}" name="Total Tags Not Cleaned on this Unit" dataDxfId="171"/>
    <tableColumn id="8" xr3:uid="{72B204F4-2A15-4998-8273-607BC76CC182}" name="Car Number (s)  of Tags not cleaned (shadows)" dataDxfId="170"/>
    <tableColumn id="9" xr3:uid="{D90BA64D-5827-49EA-868A-E35D586A3CF5}" name="Date of 2nd visit to clean remaining tags" dataDxfId="169"/>
    <tableColumn id="10" xr3:uid="{710A6997-4232-4B8F-B155-133AC4410D2B}" name="Number of tags removed" dataDxfId="168"/>
    <tableColumn id="11" xr3:uid="{74B5F1CE-7AC4-4C81-ACB3-70BBDCCADF43}" name="Date of 3rd visit to clean remaining tags" dataDxfId="167"/>
    <tableColumn id="12" xr3:uid="{A007208A-C29B-46E2-8334-3746E847A6BD}" name="Number of tags removed2" dataDxfId="166"/>
    <tableColumn id="13" xr3:uid="{AE564CAB-26F0-430E-A257-E6E1A195F366}" name="Train Inspected and Fit for service    (Y/N)" dataDxfId="165"/>
    <tableColumn id="14" xr3:uid="{569A4A12-6C04-4918-BFF8-9C9735A7A0CA}" name="Inspected by Supervisor/Manager (Name)" dataDxfId="164"/>
    <tableColumn id="15" xr3:uid="{918DC303-2CA9-40DF-9281-92CAF7D975D4}" name="Date of Completing all shadows (Tags) on this Unit excluding acid etched shadows" dataDxfId="163"/>
    <tableColumn id="16" xr3:uid="{6804DEF1-B2C1-4BCA-9A41-4758E10DE98A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B4693E-79A3-4013-BB97-6DA032B28976}" name="TagsRA12" displayName="TagsRA12" ref="A1:P341" totalsRowShown="0" headerRowDxfId="161" dataDxfId="160" tableBorderDxfId="159">
  <autoFilter ref="A1:P341" xr:uid="{90991185-A119-4635-9444-D621C29FCDB6}"/>
  <tableColumns count="16">
    <tableColumn id="1" xr3:uid="{09E55F63-524E-4B29-B07D-65F19AEBECC6}" name="Unit No." dataDxfId="158" dataCellStyle="Normal 2"/>
    <tableColumn id="2" xr3:uid="{7279FF58-32AB-44A6-9546-906D69C01806}" name="DATE" dataDxfId="157"/>
    <tableColumn id="3" xr3:uid="{076B8D42-5528-4606-891F-186FA3D9E6B4}" name="Status" dataDxfId="156"/>
    <tableColumn id="4" xr3:uid="{F6745C75-7CD9-4B91-86D8-D5E9B1202BEF}" name="Number of cars affected by graffiti/shadows on this unit" dataDxfId="155"/>
    <tableColumn id="5" xr3:uid="{DF9A8A2C-FACA-4B0E-A18D-68F9863BE4AC}" name="Total Number of Tags found" dataDxfId="154"/>
    <tableColumn id="6" xr3:uid="{B62B5860-6DCC-49D2-93BA-9F19017C2330}" name="Total Tags Removed / Cleaned" dataDxfId="153"/>
    <tableColumn id="7" xr3:uid="{22FF8DEB-05E6-4D78-B4D0-E7873EE79EFC}" name="Total Tags Not Cleaned on this Unit" dataDxfId="152"/>
    <tableColumn id="8" xr3:uid="{4C5EFBB4-E201-4DBE-933E-8031CAACF204}" name="Car Number (s)  of Tags not cleaned (shadows)" dataDxfId="151"/>
    <tableColumn id="9" xr3:uid="{496272B6-473F-43A2-81F6-5A67AE8B9254}" name="Date of 2nd visit to clean remaining tags" dataDxfId="150"/>
    <tableColumn id="10" xr3:uid="{9AF0BD0C-3FAB-47AD-8315-56789C43741F}" name="Number of tags removed" dataDxfId="149"/>
    <tableColumn id="11" xr3:uid="{1FCE0D4A-333C-4BDB-93C0-1ED2AEB84811}" name="Date of 3rd visit to clean remaining tags" dataDxfId="148"/>
    <tableColumn id="12" xr3:uid="{822D60F7-CFB8-422E-A8E9-6211C8E62FC1}" name="Number of tags removed2" dataDxfId="147"/>
    <tableColumn id="13" xr3:uid="{EF6667E8-2190-434F-9C17-BBEBBBD33007}" name="Train Inspected and Fit for service    (Y/N)" dataDxfId="146"/>
    <tableColumn id="14" xr3:uid="{7AB10651-ABEA-4CE5-B82D-881D57B4CAB8}" name="Inspected by Supervisor/Manager (Name)" dataDxfId="145"/>
    <tableColumn id="15" xr3:uid="{8C4BC090-BB58-48D8-AFD5-EE8A6E0B80E4}" name="Date of Completing all shadows (Tags) on this Unit excluding acid etched shadows" dataDxfId="144"/>
    <tableColumn id="16" xr3:uid="{CD88508D-9468-480E-AF7B-61D88D96EA32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workbookViewId="0">
      <selection activeCell="O10" sqref="O10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260</v>
      </c>
      <c r="U4" s="53">
        <f>T4/S4*100</f>
        <v>76.470588235294116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68">
        <v>45960</v>
      </c>
      <c r="C106" s="16"/>
      <c r="D106" s="52">
        <v>2</v>
      </c>
      <c r="E106" s="52">
        <v>235</v>
      </c>
      <c r="F106" s="52">
        <v>235</v>
      </c>
      <c r="G106" s="52">
        <v>0</v>
      </c>
      <c r="H106" s="52">
        <v>0</v>
      </c>
      <c r="I106" s="60"/>
      <c r="J106" s="52"/>
      <c r="K106" s="60"/>
      <c r="L106" s="52"/>
      <c r="M106" s="52" t="s">
        <v>26</v>
      </c>
      <c r="N106" s="17" t="s">
        <v>20</v>
      </c>
      <c r="O106" s="51">
        <v>45960</v>
      </c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5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65">
        <v>45959</v>
      </c>
      <c r="C122" s="16"/>
      <c r="D122" s="52">
        <v>2</v>
      </c>
      <c r="E122" s="52">
        <v>202</v>
      </c>
      <c r="F122" s="52">
        <v>202</v>
      </c>
      <c r="G122" s="52">
        <v>0</v>
      </c>
      <c r="H122" s="52">
        <v>0</v>
      </c>
      <c r="I122" s="60"/>
      <c r="J122" s="52"/>
      <c r="K122" s="60"/>
      <c r="L122" s="52"/>
      <c r="M122" s="52" t="s">
        <v>0</v>
      </c>
      <c r="N122" s="17" t="s">
        <v>60</v>
      </c>
      <c r="O122" s="51">
        <v>45959</v>
      </c>
      <c r="P122" s="47"/>
    </row>
    <row r="123" spans="1:16" x14ac:dyDescent="0.25">
      <c r="A123" s="46" t="s">
        <v>61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62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63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64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65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66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67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68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69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70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71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72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73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74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75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76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77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78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79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80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81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82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83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84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85</v>
      </c>
      <c r="B150" s="65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60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65">
        <v>45958</v>
      </c>
      <c r="C253" s="16"/>
      <c r="D253" s="52">
        <v>2</v>
      </c>
      <c r="E253" s="52">
        <v>185</v>
      </c>
      <c r="F253" s="52">
        <v>185</v>
      </c>
      <c r="G253" s="52">
        <v>0</v>
      </c>
      <c r="H253" s="52">
        <v>0</v>
      </c>
      <c r="I253" s="60"/>
      <c r="J253" s="52"/>
      <c r="K253" s="60"/>
      <c r="L253" s="52"/>
      <c r="M253" s="52" t="s">
        <v>0</v>
      </c>
      <c r="N253" s="17" t="s">
        <v>103</v>
      </c>
      <c r="O253" s="51">
        <v>45958</v>
      </c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68">
        <v>45960</v>
      </c>
      <c r="C262" s="16"/>
      <c r="D262" s="52">
        <v>2</v>
      </c>
      <c r="E262" s="52">
        <v>129</v>
      </c>
      <c r="F262" s="52">
        <v>129</v>
      </c>
      <c r="G262" s="52">
        <v>0</v>
      </c>
      <c r="H262" s="52">
        <v>0</v>
      </c>
      <c r="I262" s="60"/>
      <c r="J262" s="52"/>
      <c r="K262" s="60"/>
      <c r="L262" s="52"/>
      <c r="M262" s="52" t="s">
        <v>0</v>
      </c>
      <c r="N262" s="17" t="s">
        <v>60</v>
      </c>
      <c r="O262" s="51">
        <v>45960</v>
      </c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60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65">
        <v>45959</v>
      </c>
      <c r="C308" s="16"/>
      <c r="D308" s="52">
        <v>2</v>
      </c>
      <c r="E308" s="52">
        <v>176</v>
      </c>
      <c r="F308" s="52">
        <v>176</v>
      </c>
      <c r="G308" s="52">
        <v>0</v>
      </c>
      <c r="H308" s="52">
        <v>0</v>
      </c>
      <c r="I308" s="60"/>
      <c r="J308" s="52"/>
      <c r="K308" s="60"/>
      <c r="L308" s="52"/>
      <c r="M308" s="52" t="s">
        <v>0</v>
      </c>
      <c r="N308" s="17" t="s">
        <v>60</v>
      </c>
      <c r="O308" s="51">
        <v>45959</v>
      </c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60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104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105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104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104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104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104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sort="0"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B11" sqref="B11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148</v>
      </c>
      <c r="U4" s="53">
        <f>T4/S4*100</f>
        <v>43.529411764705884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106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106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65">
        <v>45958</v>
      </c>
      <c r="C29" s="16"/>
      <c r="D29" s="52">
        <v>2</v>
      </c>
      <c r="E29" s="52">
        <v>76</v>
      </c>
      <c r="F29" s="52">
        <v>76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60</v>
      </c>
      <c r="O29" s="51">
        <v>45958</v>
      </c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106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106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106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106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105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107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106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65">
        <v>45958</v>
      </c>
      <c r="C95" s="16"/>
      <c r="D95" s="52">
        <v>2</v>
      </c>
      <c r="E95" s="52">
        <v>122</v>
      </c>
      <c r="F95" s="52">
        <v>122</v>
      </c>
      <c r="G95" s="52">
        <v>0</v>
      </c>
      <c r="H95" s="52">
        <v>0</v>
      </c>
      <c r="I95" s="60"/>
      <c r="J95" s="52"/>
      <c r="K95" s="60"/>
      <c r="L95" s="52"/>
      <c r="M95" s="52" t="s">
        <v>0</v>
      </c>
      <c r="N95" s="17" t="s">
        <v>106</v>
      </c>
      <c r="O95" s="51">
        <v>45958</v>
      </c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106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106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65">
        <v>45958</v>
      </c>
      <c r="C121" s="16"/>
      <c r="D121" s="52">
        <v>2</v>
      </c>
      <c r="E121" s="52">
        <v>73</v>
      </c>
      <c r="F121" s="52">
        <v>73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60</v>
      </c>
      <c r="O121" s="51">
        <v>45958</v>
      </c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105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108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108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65">
        <v>45959</v>
      </c>
      <c r="C187" s="16"/>
      <c r="D187" s="52">
        <v>2</v>
      </c>
      <c r="E187" s="52">
        <v>162</v>
      </c>
      <c r="F187" s="52">
        <v>162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106</v>
      </c>
      <c r="O187" s="51">
        <v>45959</v>
      </c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108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108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108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109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108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108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104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108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104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110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108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108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108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104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109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108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108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108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>
        <v>144</v>
      </c>
      <c r="F294" s="52">
        <v>144</v>
      </c>
      <c r="G294" s="52">
        <v>0</v>
      </c>
      <c r="H294" s="52">
        <v>0</v>
      </c>
      <c r="I294" s="60"/>
      <c r="J294" s="52"/>
      <c r="K294" s="60"/>
      <c r="L294" s="52"/>
      <c r="M294" s="52" t="s">
        <v>0</v>
      </c>
      <c r="N294" s="17" t="s">
        <v>20</v>
      </c>
      <c r="O294" s="51">
        <v>45960</v>
      </c>
      <c r="P294" s="47"/>
    </row>
    <row r="295" spans="1:16" x14ac:dyDescent="0.25">
      <c r="A295" s="55">
        <v>93238</v>
      </c>
      <c r="B295" s="68">
        <v>45960</v>
      </c>
      <c r="C295" s="16"/>
      <c r="D295" s="52">
        <v>2</v>
      </c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104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109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108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104</v>
      </c>
      <c r="O314" s="51">
        <v>45809</v>
      </c>
      <c r="P314" s="47"/>
    </row>
    <row r="315" spans="1:16" x14ac:dyDescent="0.25">
      <c r="A315" s="55">
        <v>93412</v>
      </c>
      <c r="B315" s="65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60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104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108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104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107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108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108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108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104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104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108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108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305" workbookViewId="0">
      <selection activeCell="B333" sqref="B333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56</v>
      </c>
      <c r="U4" s="53">
        <f>T4/S4*100</f>
        <v>16.470588235294116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106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111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106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111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106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106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106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106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106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106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111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68">
        <v>45960</v>
      </c>
      <c r="C77" s="16"/>
      <c r="D77" s="52">
        <v>2</v>
      </c>
      <c r="E77" s="52">
        <v>126</v>
      </c>
      <c r="F77" s="52">
        <v>126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60</v>
      </c>
      <c r="O77" s="51">
        <v>45960</v>
      </c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111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111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104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106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60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104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104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106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112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65">
        <v>45959</v>
      </c>
      <c r="C200" s="16"/>
      <c r="D200" s="52">
        <v>2</v>
      </c>
      <c r="E200" s="52">
        <v>165</v>
      </c>
      <c r="F200" s="52">
        <v>165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45959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106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112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112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106</v>
      </c>
      <c r="O265" s="51">
        <v>45819</v>
      </c>
      <c r="P265" s="47"/>
    </row>
    <row r="266" spans="1:16" x14ac:dyDescent="0.25">
      <c r="A266" s="42">
        <v>93180</v>
      </c>
      <c r="B266" s="65">
        <v>45958</v>
      </c>
      <c r="C266" s="16"/>
      <c r="D266" s="52">
        <v>2</v>
      </c>
      <c r="E266" s="52">
        <v>74</v>
      </c>
      <c r="F266" s="52">
        <v>74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45958</v>
      </c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112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112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112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113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C335" sqref="C335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8</v>
      </c>
      <c r="U4" s="53">
        <f>T4/S4*100</f>
        <v>2.3529411764705883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60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104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104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104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68">
        <v>45960</v>
      </c>
      <c r="C330" s="16"/>
      <c r="D330" s="52">
        <v>2</v>
      </c>
      <c r="E330" s="52">
        <v>87</v>
      </c>
      <c r="F330" s="52">
        <v>87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60</v>
      </c>
      <c r="O330" s="51">
        <v>45960</v>
      </c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J10" sqref="J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B1EA-D8A6-4877-957A-D70BDEC9D954}">
  <dimension ref="A1:U341"/>
  <sheetViews>
    <sheetView topLeftCell="A279" workbookViewId="0">
      <selection activeCell="J300" sqref="J30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EA855F1A-BA07-4E89-8FAA-41B2AC34E3CE}">
      <formula1>0</formula1>
    </dataValidation>
    <dataValidation type="date" operator="greaterThanOrEqual" allowBlank="1" showInputMessage="1" showErrorMessage="1" sqref="B2:B341 I2:I341 K2:K341 O2:O341" xr:uid="{968321AD-E82A-4F1B-995D-A174ABD2AB63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DD394B-5BD5-4DDE-A435-DB7BB03D555A}">
          <x14:formula1>
            <xm:f>Inspected!$A$1:$A$2</xm:f>
          </x14:formula1>
          <xm:sqref>N2:N341</xm:sqref>
        </x14:dataValidation>
        <x14:dataValidation type="list" allowBlank="1" showInputMessage="1" showErrorMessage="1" xr:uid="{5E5993DC-85CF-48BC-A218-0F1406C31D20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725E-4BF2-492E-A438-39588181880E}">
  <dimension ref="A1:U341"/>
  <sheetViews>
    <sheetView tabSelected="1" topLeftCell="A279" workbookViewId="0">
      <selection activeCell="M293" sqref="M293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D767C6D8-29A7-48C2-862C-0D32CE3A9438}">
      <formula1>45658</formula1>
    </dataValidation>
    <dataValidation type="whole" operator="greaterThanOrEqual" allowBlank="1" showInputMessage="1" showErrorMessage="1" sqref="A2:A341 D2:H341 G1 J2:J341 L2:L341" xr:uid="{874E3BCE-4EC4-4098-BF00-65FAD7859A7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9A4A89-3256-4B36-B582-61EB1CC0C34B}">
          <x14:formula1>
            <xm:f>Inspected!$F$1</xm:f>
          </x14:formula1>
          <xm:sqref>C2:C341</xm:sqref>
        </x14:dataValidation>
        <x14:dataValidation type="list" allowBlank="1" showInputMessage="1" showErrorMessage="1" xr:uid="{F532B6F2-66FD-4352-A21D-C942CC9729B9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7F86-E4E5-436E-B8D0-9BE13E57AFBC}">
  <dimension ref="A1:U341"/>
  <sheetViews>
    <sheetView workbookViewId="0">
      <selection activeCell="B14" sqref="B1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sort="0" autoFilter="0"/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FCB469ED-1B4E-4129-AFAD-50B7210491B7}">
      <formula1>0</formula1>
    </dataValidation>
    <dataValidation type="date" operator="greaterThanOrEqual" allowBlank="1" showInputMessage="1" showErrorMessage="1" sqref="B2:B341 I2:I341 K2:K341 O2:O341" xr:uid="{82538722-6D8F-49AD-A362-4E535508573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AA1AA0-C465-40CB-8FDA-544AB804AFCC}">
          <x14:formula1>
            <xm:f>Inspected!$A$1:$A$2</xm:f>
          </x14:formula1>
          <xm:sqref>N2:N341</xm:sqref>
        </x14:dataValidation>
        <x14:dataValidation type="list" allowBlank="1" showInputMessage="1" showErrorMessage="1" xr:uid="{712A6AE4-B547-4257-9AE1-5F7498F044D9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f09d0ae9-c6ff-4e57-bd1f-955be6ad47ac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customXml/itemProps2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2025-11-03T09:43:23Z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