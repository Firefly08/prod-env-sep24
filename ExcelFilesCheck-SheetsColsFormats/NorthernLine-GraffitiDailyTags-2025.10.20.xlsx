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21" documentId="13_ncr:1_{1E1E5BEC-5BEE-42AB-81D4-08B890F79E33}" xr6:coauthVersionLast="47" xr6:coauthVersionMax="47" xr10:uidLastSave="{7375EA89-40A4-40C6-A80B-E41ABEC4E8A1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<sst xmlns="http://schemas.openxmlformats.org/spreadsheetml/2006/main" count="305" uniqueCount="26">
  <si>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</si>
  <si>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</si>
  <si>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</si>
  <si>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</si>
  <si>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</si>
  <si>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</si>
  <si>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</si>
  <si>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</si>
  <si>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</si>
  <si>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</si>
  <si>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</si>
  <si>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</si>
  <si>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</si>
  <si>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</si>
  <si>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</si>
  <si>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</si>
  <si>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</si>
  <si>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</si>
  <si>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</si>
  <si>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</si>
  <si>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</si>
  <si>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</si>
  <si>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</si>
  <si>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Michael</t>
  </si>
  <si>
    <t>Violina</t>
  </si>
  <si>
    <t>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</si>
</sst>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95F9E7-925C-4CD3-BB52-F315C701FE32}" name="TagsRA10" displayName="TagsRA10" ref="A1:P213" totalsRowShown="0" headerRowDxfId="53" tableBorderDxfId="52">
  <autoFilter ref="A1:P213" xr:uid="{8C459B2E-0469-4808-A7E2-2087F0BC89FF}"/>
  <tableColumns count="16">
    <tableColumn id="1" xr3:uid="{026EE15F-66B3-4F2A-B150-30BB609A9224}" name="Unit No." dataDxfId="51"/>
    <tableColumn id="2" xr3:uid="{9ADD993E-C620-4B0D-BA90-9767DAD256DD}" name="DATE" dataDxfId="50"/>
    <tableColumn id="3" xr3:uid="{74F8C67D-5349-4797-BA9E-979E03E2D226}" name="Status" dataDxfId="49"/>
    <tableColumn id="4" xr3:uid="{A130DD68-F9DF-4C36-BF01-036B323B02A2}" name="Number of cars affected by graffiti/shadows on this unit" dataDxfId="48"/>
    <tableColumn id="5" xr3:uid="{3EC3C872-C6FC-4163-812D-4BA5A7B6F110}" name="Total Number of Tags found" dataDxfId="47"/>
    <tableColumn id="6" xr3:uid="{E25427F1-C523-418B-8782-CC824D31B0CF}" name="Total Tags Removed / Cleaned" dataDxfId="46"/>
    <tableColumn id="7" xr3:uid="{C0E19810-C5AC-41DD-A791-2E949CFDA652}" name="Total Tags Not Cleaned on this Unit" dataDxfId="45"/>
    <tableColumn id="8" xr3:uid="{4F64DA70-042F-41E4-B7E0-928151089EA2}" name="Car Number (s)  of Tags not cleaned (shadows)" dataDxfId="44"/>
    <tableColumn id="9" xr3:uid="{FE5B147B-CECD-446F-A5CC-2BE477F63492}" name="Date of 2nd visit to clean remaining tags" dataDxfId="43"/>
    <tableColumn id="10" xr3:uid="{25E13FEF-FB5D-4AB9-9118-3A056A9DB087}" name="Number of tags removed" dataDxfId="42"/>
    <tableColumn id="11" xr3:uid="{FBBC8A83-1D75-4A79-8C63-0499DA77C6CA}" name="Date of 3rd visit to clean remaining tags" dataDxfId="41"/>
    <tableColumn id="12" xr3:uid="{2DEFEA4D-3A62-40AA-BD3A-81F75DBAC213}" name="Number of tags removed2" dataDxfId="40"/>
    <tableColumn id="13" xr3:uid="{98BC6B3A-0630-45C2-B005-C866FF51010C}" name="Train Inspected and Fit for service    (Y/N)" dataDxfId="39"/>
    <tableColumn id="14" xr3:uid="{17257A30-9741-4683-A3EF-025577B097F4}" name="Inspected by Supervisor/Manager (Name)" dataDxfId="38"/>
    <tableColumn id="15" xr3:uid="{C237C35D-B555-4710-8D43-0EF6A9C62EA9}" name="Date of Completing all shadows (Tags) on this Unit excluding acid etched shadows" dataDxfId="37"/>
    <tableColumn id="16" xr3:uid="{B30364AE-8C59-48B8-9622-70CA3CDEAB1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301094-6705-4493-9EAB-2E4626BF5E75}" name="TagsRA11" displayName="TagsRA11" ref="A1:P213" totalsRowShown="0" headerRowDxfId="35" tableBorderDxfId="34">
  <autoFilter ref="A1:P213" xr:uid="{8C459B2E-0469-4808-A7E2-2087F0BC89FF}"/>
  <tableColumns count="16">
    <tableColumn id="1" xr3:uid="{54BBC078-9BD1-4FD2-A97F-D26F285744D1}" name="Unit No." dataDxfId="33"/>
    <tableColumn id="2" xr3:uid="{E0C3AD0C-7EFC-4801-B220-96E4619F6962}" name="DATE" dataDxfId="32"/>
    <tableColumn id="3" xr3:uid="{33CE68B1-4006-47FA-BAB7-A2CB03AC6156}" name="Status" dataDxfId="31"/>
    <tableColumn id="4" xr3:uid="{81F519F2-CC2C-4B6F-AD05-CA724E6E7B8E}" name="Number of cars affected by graffiti/shadows on this unit" dataDxfId="30"/>
    <tableColumn id="5" xr3:uid="{2A252C7E-879A-46EF-B416-9A5398CC7775}" name="Total Number of Tags found" dataDxfId="29"/>
    <tableColumn id="6" xr3:uid="{C8327118-7632-44BC-8E42-DD5D14F5A18A}" name="Total Tags Removed / Cleaned" dataDxfId="28"/>
    <tableColumn id="7" xr3:uid="{BBE546CC-E11C-4737-9057-5ADC200BA601}" name="Total Tags Not Cleaned on this Unit" dataDxfId="27"/>
    <tableColumn id="8" xr3:uid="{0F7C8D18-B5DF-4D6C-AF61-12F421C206B4}" name="Car Number (s)  of Tags not cleaned (shadows)" dataDxfId="26"/>
    <tableColumn id="9" xr3:uid="{5C56E5E5-AED9-45C6-9F4D-4F4ECD7DE591}" name="Date of 2nd visit to clean remaining tags" dataDxfId="25"/>
    <tableColumn id="10" xr3:uid="{1E9DD004-D398-401F-B669-C429405B3602}" name="Number of tags removed" dataDxfId="24"/>
    <tableColumn id="11" xr3:uid="{79BE4601-2769-41BE-8E3C-7B4F02C7D70D}" name="Date of 3rd visit to clean remaining tags" dataDxfId="23"/>
    <tableColumn id="12" xr3:uid="{57446546-8743-449C-A7E5-926BCF0BD757}" name="Number of tags removed2" dataDxfId="22"/>
    <tableColumn id="13" xr3:uid="{D603A8DB-9FC6-4B29-9EEF-BC428C4121B5}" name="Train Inspected and Fit for service    (Y/N)" dataDxfId="21"/>
    <tableColumn id="14" xr3:uid="{1831A9B6-AAC2-4449-860B-9A883C585D3E}" name="Inspected by Supervisor/Manager (Name)" dataDxfId="20"/>
    <tableColumn id="15" xr3:uid="{7F65CF96-B9D3-453D-AE69-E7042F4B8E33}" name="Date of Completing all shadows (Tags) on this Unit excluding acid etched shadows" dataDxfId="19"/>
    <tableColumn id="16" xr3:uid="{B4462194-FD4B-4A5C-A26C-5B825EC36572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12C87A-2003-46FC-A736-57FBEAFAD2FF}" name="TagsRA12" displayName="TagsRA12" ref="A1:P213" totalsRowShown="0" headerRowDxfId="17" tableBorderDxfId="16">
  <autoFilter ref="A1:P213" xr:uid="{8C459B2E-0469-4808-A7E2-2087F0BC89FF}"/>
  <tableColumns count="16">
    <tableColumn id="1" xr3:uid="{F690F8AB-7C6C-4EDB-833D-C4655CCFB2B6}" name="Unit No." dataDxfId="15"/>
    <tableColumn id="2" xr3:uid="{D7C8CC70-69F3-4FC0-97A6-4E0EF77825BD}" name="DATE" dataDxfId="14"/>
    <tableColumn id="3" xr3:uid="{2B660D40-E4B8-4B9A-8B75-9C78B0F0712C}" name="Status" dataDxfId="13"/>
    <tableColumn id="4" xr3:uid="{F05308BC-0566-4D71-A9D0-0FF5C6436AC6}" name="Number of cars affected by graffiti/shadows on this unit" dataDxfId="12"/>
    <tableColumn id="5" xr3:uid="{368D1CF2-A52A-41F5-B271-1D38062F66C6}" name="Total Number of Tags found" dataDxfId="11"/>
    <tableColumn id="6" xr3:uid="{40B9EE15-E905-4801-8BA0-40A0CF509DC2}" name="Total Tags Removed / Cleaned" dataDxfId="10"/>
    <tableColumn id="7" xr3:uid="{53B786CA-0D4F-4025-9F5B-11EC7370CB7E}" name="Total Tags Not Cleaned on this Unit" dataDxfId="9"/>
    <tableColumn id="8" xr3:uid="{C77C4647-CCE4-4DC0-8E83-FD2FD5ECE143}" name="Car Number (s)  of Tags not cleaned (shadows)" dataDxfId="8"/>
    <tableColumn id="9" xr3:uid="{7341C9CC-1AF3-4879-8E8D-D2DF7208674C}" name="Date of 2nd visit to clean remaining tags" dataDxfId="7"/>
    <tableColumn id="10" xr3:uid="{35B11F0A-DF93-4784-9F6C-FEE7D5E2DA79}" name="Number of tags removed" dataDxfId="6"/>
    <tableColumn id="11" xr3:uid="{CF4DCE72-56B7-4531-8666-BB5CAC8822D9}" name="Date of 3rd visit to clean remaining tags" dataDxfId="5"/>
    <tableColumn id="12" xr3:uid="{90A08180-FDEB-47CF-B082-E3F68D1DABB1}" name="Number of tags removed2" dataDxfId="4"/>
    <tableColumn id="13" xr3:uid="{DC9DC1B1-8889-4B9E-A2D0-0BA017B55972}" name="Train Inspected and Fit for service    (Y/N)" dataDxfId="3"/>
    <tableColumn id="14" xr3:uid="{D210E566-3943-4857-A24F-4288B85E048D}" name="Inspected by Supervisor/Manager (Name)" dataDxfId="2"/>
    <tableColumn id="15" xr3:uid="{B084B4CE-E45E-4F1F-9589-8704F40725BF}" name="Date of Completing all shadows (Tags) on this Unit excluding acid etched shadows" dataDxfId="1"/>
    <tableColumn id="16" xr3:uid="{0DF98F03-CEFF-4BAE-A539-AA3E019BB9A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15</v>
      </c>
      <c r="U4" s="21">
        <f>T4/S4</f>
        <v>7.0754716981132074E-2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23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23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24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24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23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23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24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B73" sqref="B73:O7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I24" sqref="I2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61F3-2E8C-4B90-9BA5-7674FD598DD9}">
  <dimension ref="A1:U347"/>
  <sheetViews>
    <sheetView tabSelected="1" workbookViewId="0">
      <selection activeCell="J17" sqref="J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35DE85B-6526-42D6-8A0C-894796CEBE1D}">
      <formula1>0</formula1>
    </dataValidation>
    <dataValidation type="date" operator="greaterThanOrEqual" allowBlank="1" showInputMessage="1" showErrorMessage="1" sqref="B2:B213 I2:I213 K2:K213 O2:O213" xr:uid="{EDE273BF-2029-417B-92D1-6DE2C5781A09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9078-5188-4813-84DB-3CF451EDBAD0}">
  <dimension ref="A1:U347"/>
  <sheetViews>
    <sheetView topLeftCell="A6" workbookViewId="0">
      <selection activeCell="I24" sqref="I2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A9345AB4-C371-4142-A286-621B3921AE2C}">
      <formula1>45658</formula1>
    </dataValidation>
    <dataValidation type="whole" operator="greaterThanOrEqual" allowBlank="1" showInputMessage="1" showErrorMessage="1" sqref="A2:A213 D2:H213 J2:J213 L2:L213 P2:P213" xr:uid="{BE3E7C36-2AEF-4CEA-A62E-B971BCBD76A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43CB-6DC8-4989-A08A-1AE8CBA46174}">
  <dimension ref="A1:U347"/>
  <sheetViews>
    <sheetView topLeftCell="A6" workbookViewId="0">
      <selection activeCell="K22" sqref="K2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B395034-E169-4589-8652-AAEE1A1BBB7D}">
      <formula1>0</formula1>
    </dataValidation>
    <dataValidation type="date" operator="greaterThanOrEqual" allowBlank="1" showInputMessage="1" showErrorMessage="1" sqref="B2:B213 I2:I213 K2:K213 O2:O213" xr:uid="{AA3BDC62-8E97-4F87-9C89-452DDCB135EC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f09d0ae9-c6ff-4e57-bd1f-955be6ad47a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CDDBE72-A7D1-4216-A942-031B75AF8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