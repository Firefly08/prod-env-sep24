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28" documentId="13_ncr:1_{396C4AB3-B9B8-4642-B625-64F39B46BC53}" xr6:coauthVersionLast="47" xr6:coauthVersionMax="47" xr10:uidLastSave="{BB1D2895-5896-44AA-9D62-8682657CB9F8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<sst xmlns="http://schemas.openxmlformats.org/spreadsheetml/2006/main" count="1014" uniqueCount="34">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</sst>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988193-5D0D-4300-92FF-B0132ED81709}" name="TagsRA10" displayName="TagsRA10" ref="A1:P73" totalsRowShown="0" headerRowDxfId="53" tableBorderDxfId="52">
  <autoFilter ref="A1:P73" xr:uid="{30E73D74-4515-4083-9342-4DA04CAF52D8}"/>
  <tableColumns count="16">
    <tableColumn id="1" xr3:uid="{389E018C-42D8-4DB5-AFB7-5EDCA0CC32B2}" name="Unit No." dataDxfId="51"/>
    <tableColumn id="2" xr3:uid="{8C86E6D2-4131-4850-9E69-5E3F51DC1760}" name="DATE" dataDxfId="50"/>
    <tableColumn id="3" xr3:uid="{49770DC6-F103-44D7-9E30-F83549081585}" name="Status" dataDxfId="49"/>
    <tableColumn id="4" xr3:uid="{E3F8577E-25CA-4855-B4A0-5FBD2760BCC5}" name="Number of cars affected by graffiti/shadows on this unit" dataDxfId="48"/>
    <tableColumn id="5" xr3:uid="{D9083460-952B-40DC-8986-E951FBA4A597}" name="Total Number of Tags found" dataDxfId="47"/>
    <tableColumn id="6" xr3:uid="{AE046177-A1D1-49B1-AFD5-BBE31232AB57}" name="Total Tags Removed / Cleaned" dataDxfId="46"/>
    <tableColumn id="7" xr3:uid="{8FD28BB8-06C7-4250-995F-2C8418B40A09}" name="Total Tags Not Cleaned on this Unit" dataDxfId="45"/>
    <tableColumn id="8" xr3:uid="{F14F312C-98B1-4C28-8087-3E20A86479CA}" name="Car Number (s)  of Tags not cleaned (shadows)" dataDxfId="44"/>
    <tableColumn id="9" xr3:uid="{6F69B6D2-D78F-4A79-8275-4E2F58895849}" name="Date of 2nd visit to clean remaining tags" dataDxfId="43"/>
    <tableColumn id="10" xr3:uid="{5D30D5EC-05FC-4EF1-AD6D-E22086D56004}" name="Number of tags removed" dataDxfId="42"/>
    <tableColumn id="11" xr3:uid="{134943C0-9352-4F5F-BAEF-85A2D310DFC4}" name="Date of 3rd visit to clean remaining tags" dataDxfId="41"/>
    <tableColumn id="12" xr3:uid="{C50CB074-D208-4F43-AAC0-314430159189}" name="Number of tags removed2" dataDxfId="40"/>
    <tableColumn id="13" xr3:uid="{94E29C34-AA91-43BA-915D-39D5F23F464C}" name="Train Inspected and Fit for service    (Y/N)" dataDxfId="39"/>
    <tableColumn id="14" xr3:uid="{03CD1CA8-E85A-41CA-842D-D97400BCB60F}" name="Inspected by Supervisor/Manager (Name)" dataDxfId="38"/>
    <tableColumn id="15" xr3:uid="{3AB367A9-AD32-424D-A686-FD6D2E60EFB0}" name="Date of Completing all shadows (Tags) on this Unit excluding acid etched shadows" dataDxfId="37"/>
    <tableColumn id="16" xr3:uid="{DCC819E7-3048-42CB-BCDA-9D2253C10DB6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88ED99-3DBA-4A07-9E31-5100368DDA3C}" name="TagsRA11" displayName="TagsRA11" ref="A1:P73" totalsRowShown="0" headerRowDxfId="35" tableBorderDxfId="34">
  <autoFilter ref="A1:P73" xr:uid="{30E73D74-4515-4083-9342-4DA04CAF52D8}"/>
  <tableColumns count="16">
    <tableColumn id="1" xr3:uid="{D7DE66AB-690F-4CAA-B875-CBE3156E8185}" name="Unit No." dataDxfId="33"/>
    <tableColumn id="2" xr3:uid="{324F57B1-FBD9-4E81-81CF-745CDE1EAD07}" name="DATE" dataDxfId="32"/>
    <tableColumn id="3" xr3:uid="{AB7862A9-59A1-45EE-B38B-8253D3633344}" name="Status" dataDxfId="31"/>
    <tableColumn id="4" xr3:uid="{631AC1C0-2614-4328-861F-592B3B566FCA}" name="Number of cars affected by graffiti/shadows on this unit" dataDxfId="30"/>
    <tableColumn id="5" xr3:uid="{F55B5846-5D3C-4A7D-B177-25416281C94D}" name="Total Number of Tags found" dataDxfId="29"/>
    <tableColumn id="6" xr3:uid="{5C5FFC3A-2640-4847-910A-89BA638F6D48}" name="Total Tags Removed / Cleaned" dataDxfId="28"/>
    <tableColumn id="7" xr3:uid="{F271BC0B-993E-4BDE-AE64-03DE6A4B190E}" name="Total Tags Not Cleaned on this Unit" dataDxfId="27"/>
    <tableColumn id="8" xr3:uid="{A845F29E-6C1A-4AD5-86D9-88C901C180CE}" name="Car Number (s)  of Tags not cleaned (shadows)" dataDxfId="26"/>
    <tableColumn id="9" xr3:uid="{F3E85D96-6BC3-425B-BF14-39375017CD3A}" name="Date of 2nd visit to clean remaining tags" dataDxfId="25"/>
    <tableColumn id="10" xr3:uid="{8E7EE9EA-DE6C-406E-994A-2A719EBA8215}" name="Number of tags removed" dataDxfId="24"/>
    <tableColumn id="11" xr3:uid="{8649E4F5-FB11-4936-A912-BB7BA8EAE9BA}" name="Date of 3rd visit to clean remaining tags" dataDxfId="23"/>
    <tableColumn id="12" xr3:uid="{C23C799C-CDEF-4A4E-89E5-3D9E831A5358}" name="Number of tags removed2" dataDxfId="22"/>
    <tableColumn id="13" xr3:uid="{D03172BE-5D45-4A8F-A8FA-D6211927BD90}" name="Train Inspected and Fit for service    (Y/N)" dataDxfId="21"/>
    <tableColumn id="14" xr3:uid="{BA6052BD-CEED-4A56-A132-B6B4786E76B5}" name="Inspected by Supervisor/Manager (Name)" dataDxfId="20"/>
    <tableColumn id="15" xr3:uid="{9F09F111-BA50-44D6-9A02-3346F5A5E35F}" name="Date of Completing all shadows (Tags) on this Unit excluding acid etched shadows" dataDxfId="19"/>
    <tableColumn id="16" xr3:uid="{9F5591FC-C6CF-4D00-BE99-98E29BE8AEAC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4A5AF1-34F6-4634-8188-6FCC6640E16C}" name="TagsRA12" displayName="TagsRA12" ref="A1:P73" totalsRowShown="0" headerRowDxfId="17" tableBorderDxfId="16">
  <autoFilter ref="A1:P73" xr:uid="{30E73D74-4515-4083-9342-4DA04CAF52D8}"/>
  <tableColumns count="16">
    <tableColumn id="1" xr3:uid="{6BE591FE-71BC-4941-B61F-720FBCF22FE4}" name="Unit No." dataDxfId="15"/>
    <tableColumn id="2" xr3:uid="{FA7DFF9D-AA29-4A8D-B49F-592018B7D1ED}" name="DATE" dataDxfId="14"/>
    <tableColumn id="3" xr3:uid="{4660EB83-22E5-45DA-A361-0F9A36FBB676}" name="Status" dataDxfId="13"/>
    <tableColumn id="4" xr3:uid="{019F13AC-920D-4257-8988-665F739C334E}" name="Number of cars affected by graffiti/shadows on this unit" dataDxfId="12"/>
    <tableColumn id="5" xr3:uid="{1F3BD0B4-C566-4F29-BA90-7B911F41C776}" name="Total Number of Tags found" dataDxfId="11"/>
    <tableColumn id="6" xr3:uid="{7F5C25AB-819C-434A-81B8-4F87B4BC8054}" name="Total Tags Removed / Cleaned" dataDxfId="10"/>
    <tableColumn id="7" xr3:uid="{FB8E1C40-0B64-4A38-A1E8-CF569AC34278}" name="Total Tags Not Cleaned on this Unit" dataDxfId="9"/>
    <tableColumn id="8" xr3:uid="{601C5000-20EA-46D4-B62A-1456E40A2CEF}" name="Car Number (s)  of Tags not cleaned (shadows)" dataDxfId="8"/>
    <tableColumn id="9" xr3:uid="{470673F2-3549-4BDF-94B9-B0C49565AFC8}" name="Date of 2nd visit to clean remaining tags" dataDxfId="7"/>
    <tableColumn id="10" xr3:uid="{B7FA48AD-C53C-424F-B419-21D2E0346228}" name="Number of tags removed" dataDxfId="6"/>
    <tableColumn id="11" xr3:uid="{5CFD9968-21F5-4D48-A724-D85EF599CD26}" name="Date of 3rd visit to clean remaining tags" dataDxfId="5"/>
    <tableColumn id="12" xr3:uid="{3DC99508-9E2D-43A7-9713-DD6008CBDF0E}" name="Number of tags removed2" dataDxfId="4"/>
    <tableColumn id="13" xr3:uid="{FBC684E5-D097-4B8D-909B-DD2B9426B748}" name="Train Inspected and Fit for service    (Y/N)" dataDxfId="3"/>
    <tableColumn id="14" xr3:uid="{A4D7CD49-90A7-4425-82AB-597FF31468FA}" name="Inspected by Supervisor/Manager (Name)" dataDxfId="2"/>
    <tableColumn id="15" xr3:uid="{8E6CC212-8BEE-4CA5-864D-718F64E4B894}" name="Date of Completing all shadows (Tags) on this Unit excluding acid etched shadows" dataDxfId="1"/>
    <tableColumn id="16" xr3:uid="{362BCD11-FD9B-4D05-8280-51F7E119A7B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D29" workbookViewId="0">
      <selection activeCell="Q43" sqref="Q43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 x14ac:dyDescent="0.35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 x14ac:dyDescent="0.3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 x14ac:dyDescent="0.3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 x14ac:dyDescent="0.3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 x14ac:dyDescent="0.3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 x14ac:dyDescent="0.3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 x14ac:dyDescent="0.3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 x14ac:dyDescent="0.3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 x14ac:dyDescent="0.3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 x14ac:dyDescent="0.3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 x14ac:dyDescent="0.3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 x14ac:dyDescent="0.3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 x14ac:dyDescent="0.3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 x14ac:dyDescent="0.3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 x14ac:dyDescent="0.3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 x14ac:dyDescent="0.3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 x14ac:dyDescent="0.3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 x14ac:dyDescent="0.3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 x14ac:dyDescent="0.3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 x14ac:dyDescent="0.3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 x14ac:dyDescent="0.3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 x14ac:dyDescent="0.3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 x14ac:dyDescent="0.3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 x14ac:dyDescent="0.3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 x14ac:dyDescent="0.3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 x14ac:dyDescent="0.3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 x14ac:dyDescent="0.3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 x14ac:dyDescent="0.3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 x14ac:dyDescent="0.3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 x14ac:dyDescent="0.3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 x14ac:dyDescent="0.3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 x14ac:dyDescent="0.3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 x14ac:dyDescent="0.3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 x14ac:dyDescent="0.3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 x14ac:dyDescent="0.3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 x14ac:dyDescent="0.3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 x14ac:dyDescent="0.3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 x14ac:dyDescent="0.3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 x14ac:dyDescent="0.3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 x14ac:dyDescent="0.3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 x14ac:dyDescent="0.3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 x14ac:dyDescent="0.3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 x14ac:dyDescent="0.3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 x14ac:dyDescent="0.3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 x14ac:dyDescent="0.3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 x14ac:dyDescent="0.3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 x14ac:dyDescent="0.3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 x14ac:dyDescent="0.3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 x14ac:dyDescent="0.3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 x14ac:dyDescent="0.3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 x14ac:dyDescent="0.3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 x14ac:dyDescent="0.3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 x14ac:dyDescent="0.3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 x14ac:dyDescent="0.3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 x14ac:dyDescent="0.3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 x14ac:dyDescent="0.3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 x14ac:dyDescent="0.3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.75" x14ac:dyDescent="0.3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.75" x14ac:dyDescent="0.3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.75" x14ac:dyDescent="0.3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.75" x14ac:dyDescent="0.3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.75" x14ac:dyDescent="0.3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 x14ac:dyDescent="0.25">
      <c r="A75" s="27" t="s">
        <v>26</v>
      </c>
      <c r="B75" s="28"/>
    </row>
    <row r="76" spans="1:16" ht="30" x14ac:dyDescent="0.25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13" workbookViewId="0">
      <selection activeCell="Q40" sqref="Q40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63</v>
      </c>
      <c r="U4" s="16">
        <f>T4/S4</f>
        <v>0.875</v>
      </c>
    </row>
    <row r="5" spans="1:21" ht="15" customHeight="1" x14ac:dyDescent="0.3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 x14ac:dyDescent="0.3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 x14ac:dyDescent="0.3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 x14ac:dyDescent="0.3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 x14ac:dyDescent="0.3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 x14ac:dyDescent="0.3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 x14ac:dyDescent="0.3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 x14ac:dyDescent="0.3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 x14ac:dyDescent="0.3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 x14ac:dyDescent="0.3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 x14ac:dyDescent="0.3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 x14ac:dyDescent="0.3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 x14ac:dyDescent="0.3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 x14ac:dyDescent="0.3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 x14ac:dyDescent="0.3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 x14ac:dyDescent="0.3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 x14ac:dyDescent="0.3">
      <c r="A26" s="63">
        <v>3256</v>
      </c>
      <c r="B26" s="55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 x14ac:dyDescent="0.3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 x14ac:dyDescent="0.3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 x14ac:dyDescent="0.3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 x14ac:dyDescent="0.3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 x14ac:dyDescent="0.3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 x14ac:dyDescent="0.3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 x14ac:dyDescent="0.3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 x14ac:dyDescent="0.3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 x14ac:dyDescent="0.3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 x14ac:dyDescent="0.3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 x14ac:dyDescent="0.3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5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 x14ac:dyDescent="0.3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 x14ac:dyDescent="0.3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 x14ac:dyDescent="0.3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 x14ac:dyDescent="0.3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 x14ac:dyDescent="0.3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 x14ac:dyDescent="0.3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 x14ac:dyDescent="0.3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 x14ac:dyDescent="0.3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 x14ac:dyDescent="0.3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 x14ac:dyDescent="0.3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 x14ac:dyDescent="0.3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 x14ac:dyDescent="0.3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 x14ac:dyDescent="0.3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 x14ac:dyDescent="0.3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 x14ac:dyDescent="0.3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 x14ac:dyDescent="0.3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 x14ac:dyDescent="0.3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 x14ac:dyDescent="0.3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 x14ac:dyDescent="0.3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.75" x14ac:dyDescent="0.3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.75" x14ac:dyDescent="0.3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.75" x14ac:dyDescent="0.3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.75" x14ac:dyDescent="0.3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.75" x14ac:dyDescent="0.3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26"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 x14ac:dyDescent="0.3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 x14ac:dyDescent="0.3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 x14ac:dyDescent="0.3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 x14ac:dyDescent="0.3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 x14ac:dyDescent="0.3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 x14ac:dyDescent="0.3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 x14ac:dyDescent="0.3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 x14ac:dyDescent="0.3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 x14ac:dyDescent="0.3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 x14ac:dyDescent="0.3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 x14ac:dyDescent="0.3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 x14ac:dyDescent="0.3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 x14ac:dyDescent="0.3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 x14ac:dyDescent="0.3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 x14ac:dyDescent="0.3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 x14ac:dyDescent="0.3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 x14ac:dyDescent="0.3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 x14ac:dyDescent="0.3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 x14ac:dyDescent="0.3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 x14ac:dyDescent="0.3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 x14ac:dyDescent="0.3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 x14ac:dyDescent="0.3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 x14ac:dyDescent="0.3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 x14ac:dyDescent="0.3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 x14ac:dyDescent="0.3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 x14ac:dyDescent="0.3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 x14ac:dyDescent="0.3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 x14ac:dyDescent="0.3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 x14ac:dyDescent="0.3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 x14ac:dyDescent="0.3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 x14ac:dyDescent="0.3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 x14ac:dyDescent="0.3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 x14ac:dyDescent="0.3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 x14ac:dyDescent="0.3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 x14ac:dyDescent="0.3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 x14ac:dyDescent="0.3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 x14ac:dyDescent="0.3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 x14ac:dyDescent="0.3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 x14ac:dyDescent="0.3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 x14ac:dyDescent="0.3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 x14ac:dyDescent="0.3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.75" x14ac:dyDescent="0.3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.75" x14ac:dyDescent="0.3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.75" x14ac:dyDescent="0.3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.75" x14ac:dyDescent="0.3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.75" x14ac:dyDescent="0.3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R28" sqref="R2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8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51</v>
      </c>
      <c r="U4" s="16">
        <f>T4/S4</f>
        <v>0.70833333333333337</v>
      </c>
    </row>
    <row r="5" spans="1:21" ht="15" customHeight="1" x14ac:dyDescent="0.3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 x14ac:dyDescent="0.3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 x14ac:dyDescent="0.3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 x14ac:dyDescent="0.3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 x14ac:dyDescent="0.3">
      <c r="A10" s="63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 x14ac:dyDescent="0.3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customHeight="1" x14ac:dyDescent="0.3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 x14ac:dyDescent="0.3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customHeight="1" x14ac:dyDescent="0.3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 x14ac:dyDescent="0.3">
      <c r="A20" s="6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 x14ac:dyDescent="0.3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 x14ac:dyDescent="0.3">
      <c r="A25" s="6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 x14ac:dyDescent="0.3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 x14ac:dyDescent="0.3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customHeight="1" x14ac:dyDescent="0.3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customHeight="1" x14ac:dyDescent="0.3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customHeight="1" x14ac:dyDescent="0.3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 x14ac:dyDescent="0.3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 x14ac:dyDescent="0.3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 x14ac:dyDescent="0.3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 x14ac:dyDescent="0.3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customHeight="1" x14ac:dyDescent="0.3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 x14ac:dyDescent="0.3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 x14ac:dyDescent="0.3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 x14ac:dyDescent="0.3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 x14ac:dyDescent="0.3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 x14ac:dyDescent="0.3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 x14ac:dyDescent="0.3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 x14ac:dyDescent="0.3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customHeight="1" x14ac:dyDescent="0.3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customHeight="1" x14ac:dyDescent="0.3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 x14ac:dyDescent="0.3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customHeight="1" x14ac:dyDescent="0.3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 x14ac:dyDescent="0.3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customHeight="1" x14ac:dyDescent="0.3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 x14ac:dyDescent="0.3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customHeight="1" x14ac:dyDescent="0.3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 x14ac:dyDescent="0.3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.75" x14ac:dyDescent="0.3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.75" x14ac:dyDescent="0.3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.75" x14ac:dyDescent="0.3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.75" x14ac:dyDescent="0.3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I1" workbookViewId="0">
      <selection activeCell="N7" sqref="N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44</v>
      </c>
      <c r="U4" s="21">
        <f>T4/S4</f>
        <v>0.61111111111111116</v>
      </c>
    </row>
    <row r="5" spans="1:21" ht="15" customHeight="1" x14ac:dyDescent="0.3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 x14ac:dyDescent="0.3">
      <c r="A6" s="9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 x14ac:dyDescent="0.3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 x14ac:dyDescent="0.3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 x14ac:dyDescent="0.35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 x14ac:dyDescent="0.3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 x14ac:dyDescent="0.3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 x14ac:dyDescent="0.3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 x14ac:dyDescent="0.3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 x14ac:dyDescent="0.3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 x14ac:dyDescent="0.3">
      <c r="A20" s="18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3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18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 x14ac:dyDescent="0.3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 x14ac:dyDescent="0.3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 x14ac:dyDescent="0.3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 x14ac:dyDescent="0.3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 x14ac:dyDescent="0.35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 x14ac:dyDescent="0.3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 x14ac:dyDescent="0.3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 x14ac:dyDescent="0.3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 x14ac:dyDescent="0.3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 x14ac:dyDescent="0.3">
      <c r="A43" s="18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 x14ac:dyDescent="0.35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 x14ac:dyDescent="0.3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 x14ac:dyDescent="0.3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 x14ac:dyDescent="0.3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 x14ac:dyDescent="0.3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 x14ac:dyDescent="0.3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 x14ac:dyDescent="0.3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 x14ac:dyDescent="0.35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 x14ac:dyDescent="0.3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 x14ac:dyDescent="0.3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 x14ac:dyDescent="0.3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 x14ac:dyDescent="0.3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 x14ac:dyDescent="0.3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 x14ac:dyDescent="0.3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 x14ac:dyDescent="0.3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 x14ac:dyDescent="0.35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 x14ac:dyDescent="0.3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 x14ac:dyDescent="0.3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.75" x14ac:dyDescent="0.3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.75" x14ac:dyDescent="0.3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.75" x14ac:dyDescent="0.3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.75" x14ac:dyDescent="0.3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.75" x14ac:dyDescent="0.3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11" workbookViewId="0">
      <selection activeCell="D11" sqref="D1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36</v>
      </c>
      <c r="U4" s="21">
        <f>T4/S4</f>
        <v>0.5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5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5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5"/>
      <c r="N8" s="25"/>
      <c r="O8" s="51"/>
      <c r="P8" s="61"/>
    </row>
    <row r="9" spans="1:21" ht="15" customHeight="1" x14ac:dyDescent="0.3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 x14ac:dyDescent="0.3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 x14ac:dyDescent="0.35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 x14ac:dyDescent="0.3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 x14ac:dyDescent="0.3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 x14ac:dyDescent="0.3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5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 x14ac:dyDescent="0.3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 x14ac:dyDescent="0.3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 x14ac:dyDescent="0.3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 x14ac:dyDescent="0.3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 x14ac:dyDescent="0.3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 x14ac:dyDescent="0.3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 x14ac:dyDescent="0.3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 x14ac:dyDescent="0.3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 x14ac:dyDescent="0.3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5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 x14ac:dyDescent="0.3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 x14ac:dyDescent="0.35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 x14ac:dyDescent="0.3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 x14ac:dyDescent="0.3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 x14ac:dyDescent="0.3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 x14ac:dyDescent="0.3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 x14ac:dyDescent="0.3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 x14ac:dyDescent="0.3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 x14ac:dyDescent="0.35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 x14ac:dyDescent="0.3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 x14ac:dyDescent="0.3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 x14ac:dyDescent="0.3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5"/>
      <c r="N62" s="25"/>
      <c r="O62" s="51"/>
      <c r="P62" s="61"/>
    </row>
    <row r="63" spans="1:16" ht="15" customHeight="1" x14ac:dyDescent="0.3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 x14ac:dyDescent="0.3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 x14ac:dyDescent="0.35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 x14ac:dyDescent="0.3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 x14ac:dyDescent="0.3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.75" x14ac:dyDescent="0.3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.75" x14ac:dyDescent="0.3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.75" x14ac:dyDescent="0.3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32" zoomScaleNormal="100" workbookViewId="0">
      <selection activeCell="P27" sqref="P2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25</v>
      </c>
      <c r="U4" s="21">
        <f>T4/S4</f>
        <v>0.34722222222222221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 x14ac:dyDescent="0.3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 x14ac:dyDescent="0.3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 x14ac:dyDescent="0.3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 x14ac:dyDescent="0.3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 x14ac:dyDescent="0.3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 x14ac:dyDescent="0.35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.75" x14ac:dyDescent="0.3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G45" zoomScaleNormal="100" workbookViewId="0">
      <selection activeCell="P47" sqref="P4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11</v>
      </c>
      <c r="U4" s="21">
        <f>T4/S4</f>
        <v>0.15277777777777779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 x14ac:dyDescent="0.3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 x14ac:dyDescent="0.35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.75" x14ac:dyDescent="0.3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8" zoomScaleNormal="100" workbookViewId="0">
      <selection activeCell="R72" sqref="R7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6</v>
      </c>
      <c r="U4" s="21">
        <f>T4/S4</f>
        <v>8.3333333333333329E-2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9" zoomScaleNormal="100" workbookViewId="0">
      <selection activeCell="G16" sqref="G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B432-2E23-4217-A0E0-B8FC344704B3}">
  <dimension ref="A1:U207"/>
  <sheetViews>
    <sheetView topLeftCell="A49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ADE26B0-64CB-418C-9007-AC0CE11B5D6A}">
      <formula1>45658</formula1>
    </dataValidation>
    <dataValidation type="whole" operator="greaterThanOrEqual" allowBlank="1" showInputMessage="1" showErrorMessage="1" sqref="A2:A73 D2:H73 J2:J73 L2:L73 P2:P73" xr:uid="{FCE93F4A-EDFE-499B-ABE9-FB82E14CF904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A08D83-95AA-4502-AA6E-C83FA0FF1821}">
          <x14:formula1>
            <xm:f>Inspected!$A$1:$A$2</xm:f>
          </x14:formula1>
          <xm:sqref>M2:M73</xm:sqref>
        </x14:dataValidation>
        <x14:dataValidation type="list" allowBlank="1" showInputMessage="1" showErrorMessage="1" xr:uid="{04BB96B9-0587-4193-B40A-22EBD17194B9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CB95-B17D-4852-A83B-0E392ECF8F30}">
  <dimension ref="A1:U207"/>
  <sheetViews>
    <sheetView topLeftCell="A49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AE54ECFF-A129-4C15-B15D-8AD675C295A6}">
      <formula1>0</formula1>
    </dataValidation>
    <dataValidation type="date" operator="greaterThanOrEqual" allowBlank="1" showInputMessage="1" showErrorMessage="1" sqref="B2:B73 I2:I73 K2:K73 O2:O73" xr:uid="{8A4EC8BE-AFB7-4D10-8851-5E7EFB89531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6CA197-8703-48A7-B217-B280A4DF4B2F}">
          <x14:formula1>
            <xm:f>Inspected!$D$1</xm:f>
          </x14:formula1>
          <xm:sqref>C2:C73</xm:sqref>
        </x14:dataValidation>
        <x14:dataValidation type="list" allowBlank="1" showInputMessage="1" showErrorMessage="1" xr:uid="{8245F65B-CB20-491C-A37C-7E055B5DBE3B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5E2B-4979-4DB5-A66D-99CD2705AB24}">
  <dimension ref="A1:U207"/>
  <sheetViews>
    <sheetView topLeftCell="A49" zoomScaleNormal="100" workbookViewId="0">
      <selection activeCell="F56" sqref="F5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F07D50B3-D44E-48A0-8CF5-165B893C5BE5}">
      <formula1>45658</formula1>
    </dataValidation>
    <dataValidation type="whole" operator="greaterThanOrEqual" allowBlank="1" showInputMessage="1" showErrorMessage="1" sqref="A2:A73 D2:H73 J2:J73 L2:L73 P2:P73" xr:uid="{92CA3FA8-2363-45AE-B347-8A66D26B1632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79BBDE-51CB-4F69-B680-594D1799B74B}">
          <x14:formula1>
            <xm:f>Inspected!$A$1:$A$2</xm:f>
          </x14:formula1>
          <xm:sqref>M2:M73</xm:sqref>
        </x14:dataValidation>
        <x14:dataValidation type="list" allowBlank="1" showInputMessage="1" showErrorMessage="1" xr:uid="{59ADC41C-DBC4-4F68-9A6B-CB5DA7433732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d5486727-c7ef-48ef-8f67-294a70abf30d"/>
    <ds:schemaRef ds:uri="f09d0ae9-c6ff-4e57-bd1f-955be6ad47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