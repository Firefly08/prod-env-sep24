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78" documentId="13_ncr:1_{7B7AF347-BD34-4092-ACB5-6D3E8F1FE75A}" xr6:coauthVersionLast="47" xr6:coauthVersionMax="47" xr10:uidLastSave="{79F9CEA7-581D-4392-8AF3-7443994A23E8}"/>
  <bookViews>
    <workbookView xWindow="-120" yWindow="-120" windowWidth="29040" windowHeight="15720" firstSheet="7" activeTab="10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U4" i="14"/>
  <c r="T4" i="14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<sst xmlns="http://schemas.openxmlformats.org/spreadsheetml/2006/main" count="360" uniqueCount="29">
  <si>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</si>
  <si>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</si>
  <si>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</si>
  <si>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</si>
  <si>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</si>
  <si>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</si>
  <si>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</si>
  <si>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</si>
  <si>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</si>
  <si>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</si>
  <si>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</si>
  <si>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</si>
  <si>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</si>
  <si>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</si>
  <si>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</si>
  <si>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</si>
  <si>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</si>
  <si>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</si>
  <si>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</si>
  <si>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</si>
  <si>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</si>
  <si>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Service Train</t>
  </si>
  <si>
    <t>Y</t>
  </si>
  <si>
    <t>V Vasileva</t>
  </si>
  <si>
    <t>S. Boateng</t>
  </si>
  <si>
    <t>M KAZI</t>
  </si>
  <si>
    <t>M Fernandes</t>
  </si>
  <si>
    <t>M Kazi</t>
  </si>
  <si>
    <t>M kazi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</si>
</sst>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039A2EB-2612-4836-8E26-3FEC2C33062F}" name="TagsRA10" displayName="TagsRA10" ref="A1:P267" totalsRowShown="0" headerRowDxfId="53" tableBorderDxfId="52">
  <autoFilter ref="A1:P267" xr:uid="{4D85A389-B6F7-470C-AA91-6FB3DD16320D}"/>
  <tableColumns count="16">
    <tableColumn id="1" xr3:uid="{B94D8EA2-695B-4112-BAD7-A58299B1BEB1}" name="Unit No." dataDxfId="51"/>
    <tableColumn id="2" xr3:uid="{415AC821-BB03-4066-96A5-A46CB61E7DA0}" name="DATE" dataDxfId="50"/>
    <tableColumn id="3" xr3:uid="{8CD97559-510B-487B-823D-B6EE3C8726ED}" name="Status" dataDxfId="49"/>
    <tableColumn id="4" xr3:uid="{E1603728-C6FE-4D17-988F-E495228557E8}" name="Number of cars affected by graffiti/shadows on this unit" dataDxfId="48"/>
    <tableColumn id="5" xr3:uid="{BD9B6E24-631E-4702-963E-72AEE8FEED87}" name="Total Number of Tags found" dataDxfId="47"/>
    <tableColumn id="6" xr3:uid="{42A2CD4F-F062-418C-A27A-A7D67302BA32}" name="Total Tags Removed / Cleaned" dataDxfId="46"/>
    <tableColumn id="7" xr3:uid="{33B10CFA-2ADA-4D8E-B164-095F5840BACD}" name="Total Tags Not Cleaned on this Unit" dataDxfId="45"/>
    <tableColumn id="8" xr3:uid="{B042C63A-9D64-4224-BDBA-B6203734356D}" name="Car Number (s)  of Tags not cleaned (shadows)" dataDxfId="44"/>
    <tableColumn id="9" xr3:uid="{65303A8A-C76F-4F0E-A5C5-A8B0188A2165}" name="Date of 2nd visit to clean remaining tags" dataDxfId="43"/>
    <tableColumn id="10" xr3:uid="{DF3E2496-57F2-4853-BA53-B01EDA90FCA6}" name="Number of tags removed" dataDxfId="42"/>
    <tableColumn id="11" xr3:uid="{2F44FABC-A842-4603-8476-3971CD682536}" name="Date of 3rd visit to clean remaining tags" dataDxfId="41"/>
    <tableColumn id="12" xr3:uid="{0CDD5C79-D520-486D-9000-DE5E285F476C}" name="Number of tags removed2" dataDxfId="40"/>
    <tableColumn id="13" xr3:uid="{ECD9D13F-1A9E-45B9-8E08-DE39D9291741}" name="Train Inspected and Fit for service    (Y/N)" dataDxfId="39"/>
    <tableColumn id="14" xr3:uid="{A7E0F96A-E67F-4C23-A3D8-0943E6555B18}" name="Inspected by Supervisor/Manager (Name)" dataDxfId="38"/>
    <tableColumn id="15" xr3:uid="{056C7DED-8DB1-4A33-AE9F-DE950C5E6DC0}" name="Date of Completing all shadows (Tags) on this Unit excluding acid etched shadows" dataDxfId="37"/>
    <tableColumn id="16" xr3:uid="{43E8C7FD-1C89-4F13-9B77-B7325175BD2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E44AF3-B12E-4218-A4B2-85BC384F8592}" name="TagsRA11" displayName="TagsRA11" ref="A1:P267" totalsRowShown="0" headerRowDxfId="35" tableBorderDxfId="34">
  <autoFilter ref="A1:P267" xr:uid="{4D85A389-B6F7-470C-AA91-6FB3DD16320D}"/>
  <tableColumns count="16">
    <tableColumn id="1" xr3:uid="{9AA45D91-16ED-42A4-BC93-7E2B8BBBA113}" name="Unit No." dataDxfId="33"/>
    <tableColumn id="2" xr3:uid="{4B6FE20E-C66F-4C32-9B60-E15148D25311}" name="DATE" dataDxfId="32"/>
    <tableColumn id="3" xr3:uid="{4A813711-56EF-4BA1-9277-7929FEAE8B9C}" name="Status" dataDxfId="31"/>
    <tableColumn id="4" xr3:uid="{D31B04DB-F4D7-447E-B0D2-F1D8BCF26224}" name="Number of cars affected by graffiti/shadows on this unit" dataDxfId="30"/>
    <tableColumn id="5" xr3:uid="{3B24EA95-F49F-47B2-A2B4-76B1E4505F98}" name="Total Number of Tags found" dataDxfId="29"/>
    <tableColumn id="6" xr3:uid="{BF75F783-4B56-4DD5-BF5F-48F46898D0B3}" name="Total Tags Removed / Cleaned" dataDxfId="28"/>
    <tableColumn id="7" xr3:uid="{F1382D95-7E56-45DF-AC9C-B9CB5821A9A9}" name="Total Tags Not Cleaned on this Unit" dataDxfId="27"/>
    <tableColumn id="8" xr3:uid="{0C379DBA-6352-4484-8CAC-1E9C24C73A3D}" name="Car Number (s)  of Tags not cleaned (shadows)" dataDxfId="26"/>
    <tableColumn id="9" xr3:uid="{EF1BAB7B-56FE-4ABD-97B3-17784B57CEE1}" name="Date of 2nd visit to clean remaining tags" dataDxfId="25"/>
    <tableColumn id="10" xr3:uid="{281002A4-6C01-4EA3-B596-860794A0EFED}" name="Number of tags removed" dataDxfId="24"/>
    <tableColumn id="11" xr3:uid="{31BCD7D2-AFC9-4743-A0E5-E96F49C4FB58}" name="Date of 3rd visit to clean remaining tags" dataDxfId="23"/>
    <tableColumn id="12" xr3:uid="{E9A6DC86-C76B-4FC2-AF1D-7F7F805E24E9}" name="Number of tags removed2" dataDxfId="22"/>
    <tableColumn id="13" xr3:uid="{FEAFB40A-6C7E-471F-B583-B78507ECA25E}" name="Train Inspected and Fit for service    (Y/N)" dataDxfId="21"/>
    <tableColumn id="14" xr3:uid="{78BAD1B4-AE95-4FC8-A3AC-D785F0495844}" name="Inspected by Supervisor/Manager (Name)" dataDxfId="20"/>
    <tableColumn id="15" xr3:uid="{1507C741-C54C-4A0A-A0D2-C98DEFA95A43}" name="Date of Completing all shadows (Tags) on this Unit excluding acid etched shadows" dataDxfId="19"/>
    <tableColumn id="16" xr3:uid="{AD4AC742-E9F9-4B2F-859A-B1C4341BD2B0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7DC06F7-BF78-4541-AE26-11610F66B598}" name="TagsRA12" displayName="TagsRA12" ref="A1:P267" totalsRowShown="0" headerRowDxfId="17" tableBorderDxfId="16">
  <autoFilter ref="A1:P267" xr:uid="{4D85A389-B6F7-470C-AA91-6FB3DD16320D}"/>
  <tableColumns count="16">
    <tableColumn id="1" xr3:uid="{EF0692E7-7EAE-40B7-86CE-FFECD6017C2A}" name="Unit No." dataDxfId="15"/>
    <tableColumn id="2" xr3:uid="{F64DEAF3-778D-4125-A804-C6FCD01DEED0}" name="DATE" dataDxfId="14"/>
    <tableColumn id="3" xr3:uid="{7682FC8B-6D89-4AD7-A332-FC0F78EF8CD4}" name="Status" dataDxfId="13"/>
    <tableColumn id="4" xr3:uid="{52404712-D43C-4011-8A04-5F4B0D52C59B}" name="Number of cars affected by graffiti/shadows on this unit" dataDxfId="12"/>
    <tableColumn id="5" xr3:uid="{019DD9CC-7D9E-4D6B-B5DF-EA75CC2531CA}" name="Total Number of Tags found" dataDxfId="11"/>
    <tableColumn id="6" xr3:uid="{C9A23246-3296-46C9-9D36-740492884FA2}" name="Total Tags Removed / Cleaned" dataDxfId="10"/>
    <tableColumn id="7" xr3:uid="{85422930-4978-4963-8A7B-75E9F88BD0ED}" name="Total Tags Not Cleaned on this Unit" dataDxfId="9"/>
    <tableColumn id="8" xr3:uid="{51F9D8BB-B9C1-40B8-9519-1D5288A2C72A}" name="Car Number (s)  of Tags not cleaned (shadows)" dataDxfId="8"/>
    <tableColumn id="9" xr3:uid="{EDFA4191-0970-41D8-9734-88A0D19F1B1D}" name="Date of 2nd visit to clean remaining tags" dataDxfId="7"/>
    <tableColumn id="10" xr3:uid="{FE3C9047-E6DC-4BED-8775-AA6ED3C918E8}" name="Number of tags removed" dataDxfId="6"/>
    <tableColumn id="11" xr3:uid="{9DE2D088-8029-47AB-A0AF-E8DACA711153}" name="Date of 3rd visit to clean remaining tags" dataDxfId="5"/>
    <tableColumn id="12" xr3:uid="{2AC30915-5705-43A3-9505-9A3410D94ED8}" name="Number of tags removed2" dataDxfId="4"/>
    <tableColumn id="13" xr3:uid="{178E09CC-56C5-4C65-B9BE-3F837FEA8B1C}" name="Train Inspected and Fit for service    (Y/N)" dataDxfId="3"/>
    <tableColumn id="14" xr3:uid="{7E3ABE91-6185-4DBD-8154-5D5EA0827249}" name="Inspected by Supervisor/Manager (Name)" dataDxfId="2"/>
    <tableColumn id="15" xr3:uid="{DCFB6EBA-4655-4A5F-8EE3-52925690DBD3}" name="Date of Completing all shadows (Tags) on this Unit excluding acid etched shadows" dataDxfId="1"/>
    <tableColumn id="16" xr3:uid="{8A7C96DC-E414-4B95-875D-3EE27F3F91BE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workbookViewId="0">
      <pane xSplit="1" ySplit="1" topLeftCell="B46" activePane="bottomRight" state="frozen"/>
      <selection pane="topRight"/>
      <selection pane="bottomLeft"/>
      <selection pane="bottomRight" activeCell="O91" sqref="O9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21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22</v>
      </c>
      <c r="N17" s="33" t="s">
        <v>23</v>
      </c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>
        <v>45947</v>
      </c>
      <c r="C20" s="30"/>
      <c r="D20" s="46">
        <v>2</v>
      </c>
      <c r="E20" s="46">
        <v>420</v>
      </c>
      <c r="F20" s="46">
        <v>420</v>
      </c>
      <c r="G20" s="46">
        <v>0</v>
      </c>
      <c r="H20" s="46">
        <v>0</v>
      </c>
      <c r="I20" s="32"/>
      <c r="J20" s="46"/>
      <c r="K20" s="32"/>
      <c r="L20" s="46"/>
      <c r="M20" s="31" t="s">
        <v>22</v>
      </c>
      <c r="N20" s="33" t="s">
        <v>24</v>
      </c>
      <c r="O20" s="29"/>
      <c r="P20" s="50"/>
    </row>
    <row r="21" spans="1:16" ht="15" customHeight="1" x14ac:dyDescent="0.25">
      <c r="A21" s="43">
        <v>21342</v>
      </c>
      <c r="B21" s="29">
        <v>45948</v>
      </c>
      <c r="C21" s="30" t="s">
        <v>21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22</v>
      </c>
      <c r="N21" s="33" t="s">
        <v>23</v>
      </c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21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22</v>
      </c>
      <c r="N24" s="33" t="s">
        <v>25</v>
      </c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21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26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45948</v>
      </c>
      <c r="C30" s="30" t="s">
        <v>21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22</v>
      </c>
      <c r="N30" s="33" t="s">
        <v>23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21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22</v>
      </c>
      <c r="N39" s="33" t="s">
        <v>23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21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22</v>
      </c>
      <c r="N43" s="33" t="s">
        <v>26</v>
      </c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21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22</v>
      </c>
      <c r="N47" s="33" t="s">
        <v>23</v>
      </c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22</v>
      </c>
      <c r="N65" s="33" t="s">
        <v>25</v>
      </c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22</v>
      </c>
      <c r="N67" s="33" t="s">
        <v>25</v>
      </c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>
        <v>45948</v>
      </c>
      <c r="C69" s="30" t="s">
        <v>21</v>
      </c>
      <c r="D69" s="46">
        <v>2</v>
      </c>
      <c r="E69" s="46">
        <v>160</v>
      </c>
      <c r="F69" s="46">
        <v>160</v>
      </c>
      <c r="G69" s="46"/>
      <c r="H69" s="46"/>
      <c r="I69" s="32"/>
      <c r="J69" s="46"/>
      <c r="K69" s="32"/>
      <c r="L69" s="46"/>
      <c r="M69" s="31" t="s">
        <v>22</v>
      </c>
      <c r="N69" s="33" t="s">
        <v>24</v>
      </c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22</v>
      </c>
      <c r="N74" s="36" t="s">
        <v>25</v>
      </c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>
        <v>45946</v>
      </c>
      <c r="C79" s="30" t="s">
        <v>21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22</v>
      </c>
      <c r="N79" s="36" t="s">
        <v>23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>
        <v>45946</v>
      </c>
      <c r="C83" s="30" t="s">
        <v>21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22</v>
      </c>
      <c r="N83" s="36" t="s">
        <v>25</v>
      </c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>
        <v>45948</v>
      </c>
      <c r="C91" s="30" t="s">
        <v>21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22</v>
      </c>
      <c r="N91" s="36" t="s">
        <v>23</v>
      </c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22</v>
      </c>
      <c r="N93" s="36" t="s">
        <v>27</v>
      </c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>
        <v>45945</v>
      </c>
      <c r="C98" s="30" t="s">
        <v>21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22</v>
      </c>
      <c r="N98" s="36" t="s">
        <v>26</v>
      </c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21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22</v>
      </c>
      <c r="N104" s="36" t="s">
        <v>25</v>
      </c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>
        <v>45948</v>
      </c>
      <c r="C111" s="30" t="s">
        <v>21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22</v>
      </c>
      <c r="N111" s="36" t="s">
        <v>25</v>
      </c>
      <c r="O111" s="29"/>
      <c r="P111" s="51"/>
    </row>
    <row r="112" spans="1:16" x14ac:dyDescent="0.25">
      <c r="A112" s="44">
        <v>21524</v>
      </c>
      <c r="B112" s="29">
        <v>45947</v>
      </c>
      <c r="C112" s="30" t="s">
        <v>21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22</v>
      </c>
      <c r="N112" s="36" t="s">
        <v>25</v>
      </c>
      <c r="O112" s="29"/>
      <c r="P112" s="51"/>
    </row>
    <row r="113" spans="1:16" x14ac:dyDescent="0.25">
      <c r="A113" s="44">
        <v>21526</v>
      </c>
      <c r="B113" s="29">
        <v>45947</v>
      </c>
      <c r="C113" s="30" t="s">
        <v>21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22</v>
      </c>
      <c r="N113" s="36" t="s">
        <v>25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21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22</v>
      </c>
      <c r="N119" s="36" t="s">
        <v>25</v>
      </c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21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22</v>
      </c>
      <c r="N121" s="36" t="s">
        <v>25</v>
      </c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22</v>
      </c>
      <c r="N198" s="27" t="s">
        <v>28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22</v>
      </c>
      <c r="N200" s="27" t="s">
        <v>27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22</v>
      </c>
      <c r="N207" s="27" t="s">
        <v>27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22</v>
      </c>
      <c r="N210" s="27" t="s">
        <v>26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22</v>
      </c>
      <c r="N226" s="27" t="s">
        <v>27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22</v>
      </c>
      <c r="N245" s="27" t="s">
        <v>27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B2:B267 I2:I267 K2:K267 O2:O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workbookViewId="0">
      <pane xSplit="1" ySplit="1" topLeftCell="B62" activePane="bottomRight" state="frozen"/>
      <selection pane="topRight"/>
      <selection pane="bottomLeft"/>
      <selection pane="bottomRight" activeCell="B69" sqref="B6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11"/>
      <c r="C4" s="12"/>
      <c r="D4" s="55"/>
      <c r="E4" s="55"/>
      <c r="F4" s="55"/>
      <c r="G4" s="55"/>
      <c r="H4" s="55"/>
      <c r="I4" s="14"/>
      <c r="J4" s="55"/>
      <c r="K4" s="14"/>
      <c r="L4" s="55"/>
      <c r="M4" s="13"/>
      <c r="N4" s="15"/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2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/>
      <c r="C11" s="12"/>
      <c r="D11" s="55"/>
      <c r="E11" s="55"/>
      <c r="F11" s="55"/>
      <c r="G11" s="55"/>
      <c r="H11" s="55"/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/>
      <c r="C17" s="12"/>
      <c r="D17" s="55"/>
      <c r="E17" s="55"/>
      <c r="F17" s="55"/>
      <c r="G17" s="55"/>
      <c r="H17" s="55"/>
      <c r="I17" s="14"/>
      <c r="J17" s="55"/>
      <c r="K17" s="14"/>
      <c r="L17" s="55"/>
      <c r="M17" s="13"/>
      <c r="N17" s="15"/>
      <c r="O17" s="11"/>
      <c r="P17" s="56"/>
    </row>
    <row r="18" spans="1:16" ht="15" customHeight="1" x14ac:dyDescent="0.2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25">
      <c r="A19" s="43">
        <v>21338</v>
      </c>
      <c r="B19" s="11"/>
      <c r="C19" s="12"/>
      <c r="D19" s="55"/>
      <c r="E19" s="55"/>
      <c r="F19" s="55"/>
      <c r="G19" s="55"/>
      <c r="H19" s="55"/>
      <c r="I19" s="14"/>
      <c r="J19" s="55"/>
      <c r="K19" s="14"/>
      <c r="L19" s="55"/>
      <c r="M19" s="13"/>
      <c r="N19" s="15"/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22</v>
      </c>
      <c r="N20" s="15" t="s">
        <v>26</v>
      </c>
      <c r="O20" s="11"/>
      <c r="P20" s="56"/>
    </row>
    <row r="21" spans="1:16" ht="15" customHeight="1" x14ac:dyDescent="0.25">
      <c r="A21" s="43">
        <v>21342</v>
      </c>
      <c r="B21" s="11"/>
      <c r="C21" s="12"/>
      <c r="D21" s="55"/>
      <c r="E21" s="55"/>
      <c r="F21" s="55"/>
      <c r="G21" s="55"/>
      <c r="H21" s="55"/>
      <c r="I21" s="14"/>
      <c r="J21" s="55"/>
      <c r="K21" s="14"/>
      <c r="L21" s="55"/>
      <c r="M21" s="13"/>
      <c r="N21" s="15"/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/>
      <c r="C23" s="12"/>
      <c r="D23" s="55"/>
      <c r="E23" s="55"/>
      <c r="F23" s="55"/>
      <c r="G23" s="55"/>
      <c r="H23" s="55"/>
      <c r="I23" s="14"/>
      <c r="J23" s="55"/>
      <c r="K23" s="14"/>
      <c r="L23" s="55"/>
      <c r="M23" s="13"/>
      <c r="N23" s="15"/>
      <c r="O23" s="11"/>
      <c r="P23" s="56"/>
    </row>
    <row r="24" spans="1:16" ht="15" customHeight="1" x14ac:dyDescent="0.25">
      <c r="A24" s="43">
        <v>21348</v>
      </c>
      <c r="B24" s="11"/>
      <c r="C24" s="12"/>
      <c r="D24" s="55"/>
      <c r="E24" s="55"/>
      <c r="F24" s="55"/>
      <c r="G24" s="55"/>
      <c r="H24" s="55"/>
      <c r="I24" s="14"/>
      <c r="J24" s="55"/>
      <c r="K24" s="14"/>
      <c r="L24" s="55"/>
      <c r="M24" s="13"/>
      <c r="N24" s="15"/>
      <c r="O24" s="11"/>
      <c r="P24" s="56"/>
    </row>
    <row r="25" spans="1:16" ht="15" customHeight="1" x14ac:dyDescent="0.2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25">
      <c r="A26" s="43">
        <v>21352</v>
      </c>
      <c r="B26" s="11"/>
      <c r="C26" s="12"/>
      <c r="D26" s="55"/>
      <c r="E26" s="55"/>
      <c r="F26" s="55"/>
      <c r="G26" s="55"/>
      <c r="H26" s="55"/>
      <c r="I26" s="14"/>
      <c r="J26" s="55"/>
      <c r="K26" s="14"/>
      <c r="L26" s="55"/>
      <c r="M26" s="13"/>
      <c r="N26" s="15"/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/>
      <c r="C28" s="12"/>
      <c r="D28" s="55"/>
      <c r="E28" s="55"/>
      <c r="F28" s="55"/>
      <c r="G28" s="55"/>
      <c r="H28" s="55"/>
      <c r="I28" s="14"/>
      <c r="J28" s="55"/>
      <c r="K28" s="14"/>
      <c r="L28" s="55"/>
      <c r="M28" s="13"/>
      <c r="N28" s="15"/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/>
      <c r="C30" s="12"/>
      <c r="D30" s="55"/>
      <c r="E30" s="55"/>
      <c r="F30" s="55"/>
      <c r="G30" s="55"/>
      <c r="H30" s="55"/>
      <c r="I30" s="14"/>
      <c r="J30" s="55"/>
      <c r="K30" s="14"/>
      <c r="L30" s="55"/>
      <c r="M30" s="13"/>
      <c r="N30" s="15"/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/>
      <c r="C33" s="12"/>
      <c r="D33" s="55"/>
      <c r="E33" s="55"/>
      <c r="F33" s="55"/>
      <c r="G33" s="55"/>
      <c r="H33" s="55"/>
      <c r="I33" s="14"/>
      <c r="J33" s="55"/>
      <c r="K33" s="14"/>
      <c r="L33" s="55"/>
      <c r="M33" s="13"/>
      <c r="N33" s="15"/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22</v>
      </c>
      <c r="N43" s="15" t="s">
        <v>26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/>
      <c r="C47" s="12"/>
      <c r="D47" s="55"/>
      <c r="E47" s="55"/>
      <c r="F47" s="55"/>
      <c r="G47" s="55"/>
      <c r="H47" s="55"/>
      <c r="I47" s="14"/>
      <c r="J47" s="55"/>
      <c r="K47" s="14"/>
      <c r="L47" s="55"/>
      <c r="M47" s="13"/>
      <c r="N47" s="15"/>
      <c r="O47" s="11"/>
      <c r="P47" s="56"/>
    </row>
    <row r="48" spans="1:16" ht="15" customHeight="1" x14ac:dyDescent="0.25">
      <c r="A48" s="44">
        <v>21396</v>
      </c>
      <c r="B48" s="11"/>
      <c r="C48" s="12"/>
      <c r="D48" s="55"/>
      <c r="E48" s="55"/>
      <c r="F48" s="55"/>
      <c r="G48" s="55"/>
      <c r="H48" s="55"/>
      <c r="I48" s="14"/>
      <c r="J48" s="55"/>
      <c r="K48" s="14"/>
      <c r="L48" s="55"/>
      <c r="M48" s="13"/>
      <c r="N48" s="15"/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/>
      <c r="C51" s="12"/>
      <c r="D51" s="55"/>
      <c r="E51" s="55"/>
      <c r="F51" s="55"/>
      <c r="G51" s="55"/>
      <c r="H51" s="55"/>
      <c r="I51" s="14"/>
      <c r="J51" s="55"/>
      <c r="K51" s="14"/>
      <c r="L51" s="55"/>
      <c r="M51" s="13"/>
      <c r="N51" s="15"/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/>
      <c r="C55" s="12"/>
      <c r="D55" s="55"/>
      <c r="E55" s="55"/>
      <c r="F55" s="55"/>
      <c r="G55" s="55"/>
      <c r="H55" s="55"/>
      <c r="I55" s="14"/>
      <c r="J55" s="55"/>
      <c r="K55" s="14"/>
      <c r="L55" s="55"/>
      <c r="M55" s="13"/>
      <c r="N55" s="15"/>
      <c r="O55" s="11"/>
      <c r="P55" s="56"/>
    </row>
    <row r="56" spans="1:16" ht="15" customHeight="1" x14ac:dyDescent="0.25">
      <c r="A56" s="44">
        <v>21412</v>
      </c>
      <c r="B56" s="11"/>
      <c r="C56" s="12"/>
      <c r="D56" s="55"/>
      <c r="E56" s="55"/>
      <c r="F56" s="55"/>
      <c r="G56" s="55"/>
      <c r="H56" s="55"/>
      <c r="I56" s="14"/>
      <c r="J56" s="55"/>
      <c r="K56" s="14"/>
      <c r="L56" s="55"/>
      <c r="M56" s="13"/>
      <c r="N56" s="15"/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/>
      <c r="C59" s="12"/>
      <c r="D59" s="55"/>
      <c r="E59" s="55"/>
      <c r="F59" s="55"/>
      <c r="G59" s="55"/>
      <c r="H59" s="55"/>
      <c r="I59" s="14"/>
      <c r="J59" s="55"/>
      <c r="K59" s="14"/>
      <c r="L59" s="55"/>
      <c r="M59" s="13"/>
      <c r="N59" s="15"/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/>
      <c r="C61" s="12"/>
      <c r="D61" s="55"/>
      <c r="E61" s="55"/>
      <c r="F61" s="55"/>
      <c r="G61" s="55"/>
      <c r="H61" s="55"/>
      <c r="I61" s="14"/>
      <c r="J61" s="55"/>
      <c r="K61" s="14"/>
      <c r="L61" s="55"/>
      <c r="M61" s="13"/>
      <c r="N61" s="15"/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/>
      <c r="C64" s="12"/>
      <c r="D64" s="55"/>
      <c r="E64" s="55"/>
      <c r="F64" s="55"/>
      <c r="G64" s="55"/>
      <c r="H64" s="55"/>
      <c r="I64" s="14"/>
      <c r="J64" s="55"/>
      <c r="K64" s="14"/>
      <c r="L64" s="55"/>
      <c r="M64" s="13"/>
      <c r="N64" s="15"/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/>
      <c r="C70" s="12"/>
      <c r="D70" s="55"/>
      <c r="E70" s="55"/>
      <c r="F70" s="55"/>
      <c r="G70" s="55"/>
      <c r="H70" s="55"/>
      <c r="I70" s="14"/>
      <c r="J70" s="55"/>
      <c r="K70" s="14"/>
      <c r="L70" s="55"/>
      <c r="M70" s="13"/>
      <c r="N70" s="15"/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/>
      <c r="C77" s="12"/>
      <c r="D77" s="48"/>
      <c r="E77" s="48"/>
      <c r="F77" s="48"/>
      <c r="G77" s="48"/>
      <c r="H77" s="48"/>
      <c r="I77" s="26"/>
      <c r="J77" s="48"/>
      <c r="K77" s="26"/>
      <c r="L77" s="48"/>
      <c r="M77" s="25"/>
      <c r="N77" s="27"/>
      <c r="O77" s="11"/>
      <c r="P77" s="57"/>
    </row>
    <row r="78" spans="1:16" x14ac:dyDescent="0.25">
      <c r="A78" s="44">
        <v>21456</v>
      </c>
      <c r="B78" s="11"/>
      <c r="C78" s="12"/>
      <c r="D78" s="48"/>
      <c r="E78" s="48"/>
      <c r="F78" s="48"/>
      <c r="G78" s="48"/>
      <c r="H78" s="48"/>
      <c r="I78" s="26"/>
      <c r="J78" s="48"/>
      <c r="K78" s="26"/>
      <c r="L78" s="48"/>
      <c r="M78" s="25"/>
      <c r="N78" s="27"/>
      <c r="O78" s="11"/>
      <c r="P78" s="57"/>
    </row>
    <row r="79" spans="1:16" x14ac:dyDescent="0.25">
      <c r="A79" s="44">
        <v>21458</v>
      </c>
      <c r="B79" s="11">
        <v>45947</v>
      </c>
      <c r="C79" s="12"/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22</v>
      </c>
      <c r="N79" s="27" t="s">
        <v>26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/>
      <c r="C86" s="12"/>
      <c r="D86" s="48"/>
      <c r="E86" s="48"/>
      <c r="F86" s="48"/>
      <c r="G86" s="48"/>
      <c r="H86" s="48"/>
      <c r="I86" s="26"/>
      <c r="J86" s="48"/>
      <c r="K86" s="26"/>
      <c r="L86" s="48"/>
      <c r="M86" s="25"/>
      <c r="N86" s="27"/>
      <c r="O86" s="11"/>
      <c r="P86" s="57"/>
    </row>
    <row r="87" spans="1:16" x14ac:dyDescent="0.25">
      <c r="A87" s="44">
        <v>21474</v>
      </c>
      <c r="B87" s="11"/>
      <c r="C87" s="12"/>
      <c r="D87" s="48"/>
      <c r="E87" s="48"/>
      <c r="F87" s="48"/>
      <c r="G87" s="48"/>
      <c r="H87" s="48"/>
      <c r="I87" s="26"/>
      <c r="J87" s="48"/>
      <c r="K87" s="26"/>
      <c r="L87" s="48"/>
      <c r="M87" s="25"/>
      <c r="N87" s="27"/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/>
      <c r="C89" s="12"/>
      <c r="D89" s="48"/>
      <c r="E89" s="48"/>
      <c r="F89" s="48"/>
      <c r="G89" s="48"/>
      <c r="H89" s="48"/>
      <c r="I89" s="26"/>
      <c r="J89" s="48"/>
      <c r="K89" s="26"/>
      <c r="L89" s="48"/>
      <c r="M89" s="25"/>
      <c r="N89" s="27"/>
      <c r="O89" s="11"/>
      <c r="P89" s="57"/>
    </row>
    <row r="90" spans="1:16" x14ac:dyDescent="0.25">
      <c r="A90" s="44">
        <v>21480</v>
      </c>
      <c r="B90" s="11"/>
      <c r="C90" s="12"/>
      <c r="D90" s="48"/>
      <c r="E90" s="48"/>
      <c r="F90" s="48"/>
      <c r="G90" s="48"/>
      <c r="H90" s="48"/>
      <c r="I90" s="26"/>
      <c r="J90" s="48"/>
      <c r="K90" s="26"/>
      <c r="L90" s="48"/>
      <c r="M90" s="25"/>
      <c r="N90" s="27"/>
      <c r="O90" s="11"/>
      <c r="P90" s="57"/>
    </row>
    <row r="91" spans="1:16" x14ac:dyDescent="0.25">
      <c r="A91" s="44">
        <v>21482</v>
      </c>
      <c r="B91" s="11"/>
      <c r="C91" s="12"/>
      <c r="D91" s="48"/>
      <c r="E91" s="48"/>
      <c r="F91" s="48"/>
      <c r="G91" s="48"/>
      <c r="H91" s="48"/>
      <c r="I91" s="26"/>
      <c r="J91" s="48"/>
      <c r="K91" s="26"/>
      <c r="L91" s="48"/>
      <c r="M91" s="25"/>
      <c r="N91" s="27"/>
      <c r="O91" s="11"/>
      <c r="P91" s="57"/>
    </row>
    <row r="92" spans="1:16" x14ac:dyDescent="0.25">
      <c r="A92" s="44">
        <v>21484</v>
      </c>
      <c r="B92" s="11"/>
      <c r="C92" s="12"/>
      <c r="D92" s="48"/>
      <c r="E92" s="48"/>
      <c r="F92" s="48"/>
      <c r="G92" s="48"/>
      <c r="H92" s="48"/>
      <c r="I92" s="26"/>
      <c r="J92" s="48"/>
      <c r="K92" s="26"/>
      <c r="L92" s="48"/>
      <c r="M92" s="25"/>
      <c r="N92" s="27"/>
      <c r="O92" s="11"/>
      <c r="P92" s="57"/>
    </row>
    <row r="93" spans="1:16" x14ac:dyDescent="0.25">
      <c r="A93" s="44">
        <v>21486</v>
      </c>
      <c r="B93" s="11"/>
      <c r="C93" s="12"/>
      <c r="D93" s="48"/>
      <c r="E93" s="48"/>
      <c r="F93" s="48"/>
      <c r="G93" s="48"/>
      <c r="H93" s="48"/>
      <c r="I93" s="26"/>
      <c r="J93" s="48"/>
      <c r="K93" s="26"/>
      <c r="L93" s="48"/>
      <c r="M93" s="25"/>
      <c r="N93" s="27"/>
      <c r="O93" s="11"/>
      <c r="P93" s="57"/>
    </row>
    <row r="94" spans="1:16" x14ac:dyDescent="0.2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/>
      <c r="C102" s="12"/>
      <c r="D102" s="48"/>
      <c r="E102" s="48"/>
      <c r="F102" s="48"/>
      <c r="G102" s="48"/>
      <c r="H102" s="48"/>
      <c r="I102" s="26"/>
      <c r="J102" s="48"/>
      <c r="K102" s="26"/>
      <c r="L102" s="48"/>
      <c r="M102" s="25"/>
      <c r="N102" s="27"/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/>
      <c r="C113" s="12"/>
      <c r="D113" s="48"/>
      <c r="E113" s="48"/>
      <c r="F113" s="48"/>
      <c r="G113" s="48"/>
      <c r="H113" s="48"/>
      <c r="I113" s="26"/>
      <c r="J113" s="48"/>
      <c r="K113" s="26"/>
      <c r="L113" s="48"/>
      <c r="M113" s="25"/>
      <c r="N113" s="27"/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/>
      <c r="C119" s="12"/>
      <c r="D119" s="48"/>
      <c r="E119" s="48"/>
      <c r="F119" s="48"/>
      <c r="G119" s="48"/>
      <c r="H119" s="48"/>
      <c r="I119" s="26"/>
      <c r="J119" s="48"/>
      <c r="K119" s="26"/>
      <c r="L119" s="48"/>
      <c r="M119" s="25"/>
      <c r="N119" s="27"/>
      <c r="O119" s="11"/>
      <c r="P119" s="57"/>
    </row>
    <row r="120" spans="1:16" x14ac:dyDescent="0.2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/>
      <c r="C127" s="12"/>
      <c r="D127" s="48"/>
      <c r="E127" s="48"/>
      <c r="F127" s="48"/>
      <c r="G127" s="48"/>
      <c r="H127" s="48"/>
      <c r="I127" s="26"/>
      <c r="J127" s="48"/>
      <c r="K127" s="26"/>
      <c r="L127" s="48"/>
      <c r="M127" s="25"/>
      <c r="N127" s="27"/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/>
      <c r="C134" s="12"/>
      <c r="D134" s="48"/>
      <c r="E134" s="48"/>
      <c r="F134" s="48"/>
      <c r="G134" s="48"/>
      <c r="H134" s="48"/>
      <c r="I134" s="26"/>
      <c r="J134" s="48"/>
      <c r="K134" s="26"/>
      <c r="L134" s="48"/>
      <c r="M134" s="25"/>
      <c r="N134" s="27"/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22</v>
      </c>
      <c r="N176" s="27" t="s">
        <v>26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workbookViewId="0">
      <selection activeCell="E22" sqref="E2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H262" sqref="H26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F261" sqref="F26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58" workbookViewId="0">
      <selection activeCell="I266" sqref="I266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AC30-FC79-48C0-98F3-25A8852390A7}">
  <dimension ref="A1:U268"/>
  <sheetViews>
    <sheetView tabSelected="1" topLeftCell="A258" workbookViewId="0">
      <selection activeCell="I266" sqref="I266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0F2F455D-9FD3-4776-B894-06D989160DD0}">
      <formula1>0</formula1>
    </dataValidation>
    <dataValidation type="date" operator="greaterThanOrEqual" allowBlank="1" showInputMessage="1" showErrorMessage="1" sqref="B2:B267 I2:I267 K2:K267 O2:O267" xr:uid="{E33B246C-14BF-46D6-8040-FDC1F115520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3ADE-582F-4AAA-8C60-C4F3034E5760}">
  <dimension ref="A1:U268"/>
  <sheetViews>
    <sheetView topLeftCell="A258" workbookViewId="0">
      <selection activeCell="I266" sqref="I266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4E6B73FA-24A7-413E-8BBE-254697F7F516}">
      <formula1>45658</formula1>
    </dataValidation>
    <dataValidation type="whole" operator="greaterThanOrEqual" allowBlank="1" showInputMessage="1" showErrorMessage="1" sqref="P2:P267 D2:H267 J2:J267 L2:L267" xr:uid="{AEB5FE81-0397-434A-A4C4-5ACD8A9173AB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6310-9FCD-4F97-B24E-6BB801DE86F2}">
  <dimension ref="A1:U268"/>
  <sheetViews>
    <sheetView topLeftCell="A258" workbookViewId="0">
      <selection activeCell="H264" sqref="H263:H26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8AEC42B-45CD-4C51-B63A-C433A8F8E39F}">
      <formula1>0</formula1>
    </dataValidation>
    <dataValidation type="date" operator="greaterThanOrEqual" allowBlank="1" showInputMessage="1" showErrorMessage="1" sqref="B2:B267 I2:I267 K2:K267 O2:O267" xr:uid="{A5CB6A4A-F7DC-457C-B498-14D066060B4C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40B450-5743-4A42-AA15-0617A0AB247E}"/>
</file>

<file path=customXml/itemProps2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019DDE-1F7F-4A88-A668-21428B18524E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d5486727-c7ef-48ef-8f67-294a70abf30d"/>
    <ds:schemaRef ds:uri="f09d0ae9-c6ff-4e57-bd1f-955be6ad47ac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