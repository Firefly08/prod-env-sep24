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bmmscloud.sharepoint.com/teams/TfLDepotsTeam/Shared Documents/Graffiti Tags Daily/"/>
    </mc:Choice>
  </mc:AlternateContent>
  <xr:revisionPtr revIDLastSave="82" documentId="13_ncr:1_{6FEECE66-B25E-42D1-A6E7-D62EAA2D7977}" xr6:coauthVersionLast="47" xr6:coauthVersionMax="47" xr10:uidLastSave="{5E800675-0B4D-4F3E-B57B-D8801B2B6C60}"/>
  <bookViews>
    <workbookView xWindow="-120" yWindow="-120" windowWidth="29040" windowHeight="15720" firstSheet="7" activeTab="10" xr2:uid="{DF4174D7-3B55-464B-9855-5BF5A90A54C0}"/>
  </bookViews>
  <sheets>
    <sheet name="Picc line" sheetId="1" r:id="rId1"/>
    <sheet name="Repeat Attacks 1" sheetId="4" r:id="rId2"/>
    <sheet name="Repeat Attacks 2" sheetId="5" r:id="rId3"/>
    <sheet name="Repeat Attacks 3" sheetId="6" r:id="rId4"/>
    <sheet name="Repeat Attacks 4" sheetId="7" r:id="rId5"/>
    <sheet name="Repeat Attacks 5" sheetId="8" r:id="rId6"/>
    <sheet name="Repeat Attacks 6" sheetId="9" r:id="rId7"/>
    <sheet name="Repeat Attacks 7" sheetId="10" r:id="rId8"/>
    <sheet name="Repeat Attacks 8" sheetId="11" r:id="rId9"/>
    <sheet name="Repeat Attacks 9" sheetId="12" r:id="rId10"/>
    <sheet name="Repeat Attacks 10" sheetId="13" r:id="rId11"/>
    <sheet name="Repeat Attacks 11" sheetId="14" r:id="rId12"/>
    <sheet name="Repeat Attacks 12" sheetId="15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5" l="1"/>
  <c r="U4" i="15" s="1"/>
  <c r="S4" i="15"/>
  <c r="T4" i="14"/>
  <c r="U4" i="14" s="1"/>
  <c r="S4" i="14"/>
  <c r="T4" i="13"/>
  <c r="U4" i="13" s="1"/>
  <c r="S4" i="13"/>
  <c r="T4" i="12"/>
  <c r="U4" i="12" s="1"/>
  <c r="S4" i="12"/>
  <c r="T4" i="11"/>
  <c r="U4" i="11" s="1"/>
  <c r="S4" i="11"/>
  <c r="T4" i="10"/>
  <c r="U4" i="10" s="1"/>
  <c r="S4" i="10"/>
  <c r="T4" i="9"/>
  <c r="U4" i="9" s="1"/>
  <c r="S4" i="9"/>
  <c r="T4" i="8"/>
  <c r="U4" i="8" s="1"/>
  <c r="S4" i="8"/>
  <c r="T4" i="7"/>
  <c r="U4" i="7" s="1"/>
  <c r="S4" i="7"/>
  <c r="T4" i="6"/>
  <c r="U4" i="6" s="1"/>
  <c r="S4" i="6"/>
  <c r="T4" i="5"/>
  <c r="U4" i="5" s="1"/>
  <c r="S4" i="5"/>
  <c r="T4" i="4"/>
  <c r="U4" i="4" s="1"/>
  <c r="S4" i="4"/>
  <c r="T4" i="1"/>
  <c r="S4" i="1"/>
  <c r="U4" i="1" l="1"/>
</calcChain>
</file>

<file path=xl/sharedStrings.xml><?xml version="1.0" encoding="utf-8"?>
<sst xmlns="http://schemas.openxmlformats.org/spreadsheetml/2006/main" count="314" uniqueCount="28">
  <si>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</si>
  <si>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</si>
  <si>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</si>
  <si>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</si>
  <si>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</si>
  <si>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</si>
  <si>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</si>
  <si>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</si>
  <si>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</si>
  <si>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</si>
  <si>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</si>
  <si>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</si>
  <si>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</si>
  <si>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</si>
  <si>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</si>
  <si>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</si>
  <si>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Total Units Completed</t>
  </si>
  <si>
    <t>Total Trains</t>
  </si>
  <si>
    <t>Total Units</t>
  </si>
  <si>
    <t>Units Compled</t>
  </si>
  <si>
    <t>% Completed</t>
  </si>
  <si>
    <t>Completed</t>
  </si>
  <si>
    <t>Y</t>
  </si>
  <si>
    <t>Henry</t>
  </si>
  <si>
    <t xml:space="preserve">completed </t>
  </si>
  <si>
    <t>Pavlina</t>
  </si>
  <si>
    <t>completed</t>
  </si>
  <si>
    <t>Sevi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</si>
</sst>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name val="Arial"/>
      <family val="2"/>
    </font>
    <font>
      <b/>
      <sz val="1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indexed="63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9"/>
      </patternFill>
    </fill>
    <fill>
      <patternFill patternType="solid">
        <fgColor rgb="FFC0E6F5"/>
        <bgColor rgb="FFC0E6F5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2" fillId="2" borderId="1" xfId="0" applyFont="1" applyFill="1" applyBorder="1" applyAlignment="1" applyProtection="1">
      <alignment horizontal="center" vertical="center"/>
      <protection hidden="1"/>
    </xf>
    <xf numFmtId="0" fontId="3" fillId="3" borderId="2" xfId="0" applyFont="1" applyFill="1" applyBorder="1" applyAlignment="1" applyProtection="1">
      <alignment horizontal="center" vertical="center" wrapText="1"/>
      <protection hidden="1"/>
    </xf>
    <xf numFmtId="0" fontId="3" fillId="4" borderId="2" xfId="0" applyFont="1" applyFill="1" applyBorder="1" applyAlignment="1" applyProtection="1">
      <alignment horizontal="center" vertical="center" wrapText="1"/>
      <protection hidden="1"/>
    </xf>
    <xf numFmtId="0" fontId="3" fillId="5" borderId="3" xfId="0" applyFont="1" applyFill="1" applyBorder="1" applyAlignment="1" applyProtection="1">
      <alignment horizontal="center" vertical="center" wrapText="1"/>
      <protection hidden="1"/>
    </xf>
    <xf numFmtId="0" fontId="3" fillId="6" borderId="3" xfId="0" applyFont="1" applyFill="1" applyBorder="1" applyAlignment="1" applyProtection="1">
      <alignment horizontal="center" vertical="center" wrapText="1"/>
      <protection hidden="1"/>
    </xf>
    <xf numFmtId="0" fontId="3" fillId="4" borderId="3" xfId="0" applyFont="1" applyFill="1" applyBorder="1" applyAlignment="1" applyProtection="1">
      <alignment horizontal="center" vertical="center" wrapText="1"/>
      <protection hidden="1"/>
    </xf>
    <xf numFmtId="0" fontId="3" fillId="4" borderId="4" xfId="0" applyFont="1" applyFill="1" applyBorder="1" applyAlignment="1" applyProtection="1">
      <alignment horizontal="center" vertical="center" wrapText="1"/>
      <protection hidden="1"/>
    </xf>
    <xf numFmtId="0" fontId="3" fillId="4" borderId="5" xfId="0" applyFont="1" applyFill="1" applyBorder="1" applyAlignment="1" applyProtection="1">
      <alignment horizontal="center" vertical="center" wrapText="1"/>
      <protection hidden="1"/>
    </xf>
    <xf numFmtId="0" fontId="3" fillId="7" borderId="4" xfId="0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>
      <alignment horizontal="left" vertical="top" wrapText="1" indent="1"/>
    </xf>
    <xf numFmtId="164" fontId="4" fillId="0" borderId="4" xfId="0" applyNumberFormat="1" applyFont="1" applyBorder="1" applyAlignment="1" applyProtection="1">
      <alignment horizontal="center" vertical="center"/>
      <protection locked="0"/>
    </xf>
    <xf numFmtId="164" fontId="4" fillId="0" borderId="4" xfId="0" applyNumberFormat="1" applyFont="1" applyBorder="1" applyAlignment="1" applyProtection="1">
      <alignment horizontal="left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14" fontId="4" fillId="0" borderId="4" xfId="0" applyNumberFormat="1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vertical="center"/>
      <protection locked="0"/>
    </xf>
    <xf numFmtId="0" fontId="0" fillId="0" borderId="10" xfId="0" applyBorder="1" applyAlignment="1">
      <alignment horizontal="left" vertical="top" wrapText="1" indent="1"/>
    </xf>
    <xf numFmtId="0" fontId="0" fillId="8" borderId="4" xfId="0" applyFill="1" applyBorder="1" applyAlignment="1">
      <alignment horizontal="left" vertical="top" wrapText="1" indent="1"/>
    </xf>
    <xf numFmtId="0" fontId="0" fillId="9" borderId="4" xfId="0" applyFill="1" applyBorder="1" applyAlignment="1">
      <alignment horizontal="left" vertical="top" wrapText="1" indent="1"/>
    </xf>
    <xf numFmtId="0" fontId="0" fillId="10" borderId="11" xfId="0" applyFill="1" applyBorder="1" applyAlignment="1">
      <alignment horizontal="left" vertical="top" wrapText="1" indent="1"/>
    </xf>
    <xf numFmtId="0" fontId="0" fillId="0" borderId="12" xfId="0" applyBorder="1" applyAlignment="1">
      <alignment horizontal="left" vertical="top" wrapText="1" indent="1"/>
    </xf>
    <xf numFmtId="0" fontId="0" fillId="0" borderId="13" xfId="0" applyBorder="1" applyAlignment="1">
      <alignment horizontal="center" vertical="top" wrapText="1"/>
    </xf>
    <xf numFmtId="0" fontId="0" fillId="0" borderId="14" xfId="1" applyNumberFormat="1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5" fillId="7" borderId="4" xfId="0" applyFont="1" applyFill="1" applyBorder="1" applyAlignment="1" applyProtection="1">
      <alignment horizontal="center" vertical="center"/>
      <protection locked="0"/>
    </xf>
    <xf numFmtId="0" fontId="6" fillId="11" borderId="4" xfId="0" applyFont="1" applyFill="1" applyBorder="1" applyAlignment="1" applyProtection="1">
      <alignment horizontal="center" vertical="center"/>
      <protection hidden="1"/>
    </xf>
    <xf numFmtId="0" fontId="5" fillId="0" borderId="4" xfId="0" applyFont="1" applyBorder="1" applyAlignment="1" applyProtection="1">
      <alignment horizontal="center" vertical="center"/>
      <protection locked="0"/>
    </xf>
    <xf numFmtId="14" fontId="5" fillId="0" borderId="4" xfId="0" applyNumberFormat="1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1" fontId="7" fillId="12" borderId="0" xfId="0" applyNumberFormat="1" applyFont="1" applyFill="1" applyAlignment="1">
      <alignment horizontal="center"/>
    </xf>
    <xf numFmtId="1" fontId="4" fillId="0" borderId="4" xfId="0" applyNumberFormat="1" applyFont="1" applyBorder="1" applyAlignment="1" applyProtection="1">
      <alignment horizontal="center" vertical="center"/>
      <protection locked="0"/>
    </xf>
    <xf numFmtId="1" fontId="5" fillId="0" borderId="4" xfId="0" applyNumberFormat="1" applyFont="1" applyBorder="1" applyAlignment="1" applyProtection="1">
      <alignment horizontal="center" vertical="center"/>
      <protection locked="0"/>
    </xf>
    <xf numFmtId="1" fontId="3" fillId="4" borderId="2" xfId="0" applyNumberFormat="1" applyFont="1" applyFill="1" applyBorder="1" applyAlignment="1" applyProtection="1">
      <alignment horizontal="center" vertical="center" wrapText="1"/>
      <protection hidden="1"/>
    </xf>
    <xf numFmtId="1" fontId="4" fillId="0" borderId="6" xfId="0" applyNumberFormat="1" applyFont="1" applyBorder="1" applyAlignment="1" applyProtection="1">
      <alignment horizontal="center" vertical="center"/>
      <protection locked="0"/>
    </xf>
    <xf numFmtId="1" fontId="5" fillId="0" borderId="6" xfId="0" applyNumberFormat="1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9" xfId="0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23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85A389-B6F7-470C-AA91-6FB3DD16320D}" name="TagsRA0" displayName="TagsRA0" ref="A1:P520" totalsRowShown="0" headerRowDxfId="233" tableBorderDxfId="232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0E424CA6-5D03-491A-BAA3-FB3A6A225152}" name="Unit No." dataDxfId="231"/>
    <tableColumn id="2" xr3:uid="{39827857-BED2-4C08-A188-9A5615C37B85}" name="DATE" dataDxfId="230"/>
    <tableColumn id="3" xr3:uid="{89F24AD6-F189-4770-AE72-D16439F6CB66}" name="Status" dataDxfId="229"/>
    <tableColumn id="4" xr3:uid="{8D8BD4E3-5ECC-4FE2-B9B0-D5FA0E7E1066}" name="Number of cars affected by graffiti/shadows on this unit" dataDxfId="228"/>
    <tableColumn id="5" xr3:uid="{A70B24A6-37A8-4DE7-9E46-39CF8438073A}" name="Total Number of Tags found" dataDxfId="227"/>
    <tableColumn id="6" xr3:uid="{DB40C1DC-92C2-4925-B69F-8071FE051E09}" name="Total Tags Removed / Cleaned" dataDxfId="226"/>
    <tableColumn id="7" xr3:uid="{79E802CE-CDF7-473B-883D-5281873D1424}" name="Total Tags Not Cleaned on this Unit" dataDxfId="225"/>
    <tableColumn id="8" xr3:uid="{DE42A640-2A4A-49AE-BEE9-4B32D0F17A95}" name="Car Number (s)  of Tags not cleaned (shadows)" dataDxfId="224"/>
    <tableColumn id="9" xr3:uid="{7503481E-EF5D-4B66-BFC9-FFF8CF3B0022}" name="Date of 2nd visit to clean remaining tags" dataDxfId="223"/>
    <tableColumn id="10" xr3:uid="{BFD3FB9F-A199-4B31-900F-00D65C2FB184}" name="Number of tags removed" dataDxfId="222"/>
    <tableColumn id="11" xr3:uid="{CC3437A1-0133-4889-9A46-2D5DA16F1781}" name="Date of 3rd visit to clean remaining tags" dataDxfId="221"/>
    <tableColumn id="12" xr3:uid="{53D19E99-0245-499A-832F-1C0A7676020D}" name="Number of tags removed2" dataDxfId="220"/>
    <tableColumn id="13" xr3:uid="{82897E78-E3E0-4B8A-A258-A65951EEC113}" name="Train Inspected and Fit for service    (Y/N)" dataDxfId="219"/>
    <tableColumn id="14" xr3:uid="{F6A9607C-DDAC-434D-B0EE-30916E27A429}" name="Inspected by Supervisor/Manager (Name)" dataDxfId="218"/>
    <tableColumn id="15" xr3:uid="{82017BF6-728A-4C06-A971-92006D701844}" name="Date of Completing all shadows (Tags) on this Unit excluding acid etched shadows" dataDxfId="217"/>
    <tableColumn id="16" xr3:uid="{C88C8AE1-9694-41A0-B53E-CE9729B38684}" name="Car Number (s)  of Tags not cleaned due to acid etched shadows" dataDxfId="2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160848A-F89A-4B71-91AD-C149C8D7EB20}" name="TagsRA1" displayName="TagsRA1" ref="A1:P520" totalsRowShown="0" headerRowDxfId="215" tableBorderDxfId="214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F5408126-1902-4848-8C72-DB02801ABDD0}" name="Unit No." dataDxfId="213"/>
    <tableColumn id="2" xr3:uid="{9A072177-5FB1-415B-BB1C-D67ADDBA4712}" name="DATE" dataDxfId="212"/>
    <tableColumn id="3" xr3:uid="{4270016E-0C15-438E-9251-C6B7B1EDFAF3}" name="Status" dataDxfId="211"/>
    <tableColumn id="4" xr3:uid="{3CC77479-9233-4725-BF63-874655B89E7D}" name="Number of cars affected by graffiti/shadows on this unit" dataDxfId="210"/>
    <tableColumn id="5" xr3:uid="{593A7945-9AAA-4E46-A709-EA53E576F644}" name="Total Number of Tags found" dataDxfId="209"/>
    <tableColumn id="6" xr3:uid="{9402E318-88C7-48D8-9D2B-5BC4088A481A}" name="Total Tags Removed / Cleaned" dataDxfId="208"/>
    <tableColumn id="7" xr3:uid="{54CEE242-EF1A-45C4-AA48-BE1A2124C4D4}" name="Total Tags Not Cleaned on this Unit" dataDxfId="207"/>
    <tableColumn id="8" xr3:uid="{8578DE2E-5A61-43A0-8034-94BF615C7770}" name="Car Number (s)  of Tags not cleaned (shadows)" dataDxfId="206"/>
    <tableColumn id="9" xr3:uid="{2DC63C70-7AAE-47F0-BE2D-27124FC1CC74}" name="Date of 2nd visit to clean remaining tags" dataDxfId="205"/>
    <tableColumn id="10" xr3:uid="{27531FFA-809E-49D2-8C9C-FD6FD6253B41}" name="Number of tags removed" dataDxfId="204"/>
    <tableColumn id="11" xr3:uid="{68D92B75-2347-472B-B3D0-023587BBEB50}" name="Date of 3rd visit to clean remaining tags" dataDxfId="203"/>
    <tableColumn id="12" xr3:uid="{F75CA9F0-916C-4462-B52C-F329AC33300D}" name="Number of tags removed2" dataDxfId="202"/>
    <tableColumn id="13" xr3:uid="{C3DCC3FF-D371-47C6-AA90-C5D8C96302A2}" name="Train Inspected and Fit for service    (Y/N)" dataDxfId="201"/>
    <tableColumn id="14" xr3:uid="{864F4188-76CC-4F5C-86DD-58CA7ED8240F}" name="Inspected by Supervisor/Manager (Name)" dataDxfId="200"/>
    <tableColumn id="15" xr3:uid="{9E44BFCF-6CE6-48F1-93F9-1CEF2597E464}" name="Date of Completing all shadows (Tags) on this Unit excluding acid etched shadows" dataDxfId="199"/>
    <tableColumn id="16" xr3:uid="{3221A514-C055-4C2B-A6DC-F4C7FF3954CD}" name="Car Number (s)  of Tags not cleaned due to acid etched shadows" dataDxfId="19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786CAD7-0DAE-4DF3-B164-79421DDEF822}" name="TagsRA2" displayName="TagsRA2" ref="A1:P520" totalsRowShown="0" headerRowDxfId="197" tableBorderDxfId="196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B4949C5D-178F-4CBB-8864-9FFCAD4C75EB}" name="Unit No." dataDxfId="195"/>
    <tableColumn id="2" xr3:uid="{84C2669F-4FB5-4009-9E31-B8C752AFC93F}" name="DATE" dataDxfId="194"/>
    <tableColumn id="3" xr3:uid="{364BC2AB-6E39-429E-9EEC-A62A8BD1D960}" name="Status" dataDxfId="193"/>
    <tableColumn id="4" xr3:uid="{DAC632C8-54CF-464E-AACB-3C49081C1872}" name="Number of cars affected by graffiti/shadows on this unit" dataDxfId="192"/>
    <tableColumn id="5" xr3:uid="{2D52701B-1B43-441C-93D2-794C95892D29}" name="Total Number of Tags found" dataDxfId="191"/>
    <tableColumn id="6" xr3:uid="{D938F7D1-EAF8-4A17-828C-626BEF3C31CB}" name="Total Tags Removed / Cleaned" dataDxfId="190"/>
    <tableColumn id="7" xr3:uid="{ABDA4124-FCB1-4B7B-9FFA-7C8400794BE9}" name="Total Tags Not Cleaned on this Unit" dataDxfId="189"/>
    <tableColumn id="8" xr3:uid="{BDF2B135-E554-4392-B01A-7FD0B130B233}" name="Car Number (s)  of Tags not cleaned (shadows)" dataDxfId="188"/>
    <tableColumn id="9" xr3:uid="{1C29FA88-6DBB-4325-B69A-6777A72FC0B3}" name="Date of 2nd visit to clean remaining tags" dataDxfId="187"/>
    <tableColumn id="10" xr3:uid="{1AEC5327-87D3-4D7E-9599-22E29D56F611}" name="Number of tags removed" dataDxfId="186"/>
    <tableColumn id="11" xr3:uid="{913CD696-6DAC-405A-AA79-2EC41E7F3925}" name="Date of 3rd visit to clean remaining tags" dataDxfId="185"/>
    <tableColumn id="12" xr3:uid="{7D8093B5-2F52-40D3-BCBB-1C44B84AE153}" name="Number of tags removed2" dataDxfId="184"/>
    <tableColumn id="13" xr3:uid="{134275B6-5814-44D9-A101-9E6B77CC8FF0}" name="Train Inspected and Fit for service    (Y/N)" dataDxfId="183"/>
    <tableColumn id="14" xr3:uid="{BF045827-8ABE-4B79-B957-88AB68DDDF49}" name="Inspected by Supervisor/Manager (Name)" dataDxfId="182"/>
    <tableColumn id="15" xr3:uid="{83678828-69D0-4DD9-92BE-5F9BEDAB8007}" name="Date of Completing all shadows (Tags) on this Unit excluding acid etched shadows" dataDxfId="181"/>
    <tableColumn id="16" xr3:uid="{7F83E010-9C56-40DE-BDFB-CA0336D8EA5C}" name="Car Number (s)  of Tags not cleaned due to acid etched shadows" dataDxfId="18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2ACF406-113B-4898-950A-8BA3729F6E8A}" name="TagsRA3" displayName="TagsRA3" ref="A1:P520" totalsRowShown="0" headerRowDxfId="179" tableBorderDxfId="178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C5E9267B-1B83-4CD1-915C-19642D326C18}" name="Unit No." dataDxfId="177"/>
    <tableColumn id="2" xr3:uid="{A8217CC5-66D2-40F0-9658-484223C58523}" name="DATE" dataDxfId="176"/>
    <tableColumn id="3" xr3:uid="{404D7C29-72EE-4B27-B412-EB027A28A96A}" name="Status" dataDxfId="175"/>
    <tableColumn id="4" xr3:uid="{D86C2D03-042E-40D6-A207-9651D0AC9E6B}" name="Number of cars affected by graffiti/shadows on this unit" dataDxfId="174"/>
    <tableColumn id="5" xr3:uid="{BEBE5337-5764-4887-8D93-48A38A8FCAF8}" name="Total Number of Tags found" dataDxfId="173"/>
    <tableColumn id="6" xr3:uid="{19D792D4-6899-45C6-9446-FA2F823C931A}" name="Total Tags Removed / Cleaned" dataDxfId="172"/>
    <tableColumn id="7" xr3:uid="{B5A3DDE8-01BB-4F82-83BE-662B9AB27249}" name="Total Tags Not Cleaned on this Unit" dataDxfId="171"/>
    <tableColumn id="8" xr3:uid="{63DB2AAC-24A3-452E-907D-EF53CD6FBE63}" name="Car Number (s)  of Tags not cleaned (shadows)" dataDxfId="170"/>
    <tableColumn id="9" xr3:uid="{ABA56604-3C72-49DC-9F60-73CBC7873D60}" name="Date of 2nd visit to clean remaining tags" dataDxfId="169"/>
    <tableColumn id="10" xr3:uid="{C30A2145-CD87-4D4C-A2AF-6FA8C98BFD28}" name="Number of tags removed" dataDxfId="168"/>
    <tableColumn id="11" xr3:uid="{268A9426-2A51-4DE4-8A06-633857AF77EB}" name="Date of 3rd visit to clean remaining tags" dataDxfId="167"/>
    <tableColumn id="12" xr3:uid="{75BE8DE0-84E3-4728-B0F5-24EE3323B5C6}" name="Number of tags removed2" dataDxfId="166"/>
    <tableColumn id="13" xr3:uid="{F7C66392-C5C1-46D3-99AE-E28BFDB7D5F9}" name="Train Inspected and Fit for service    (Y/N)" dataDxfId="165"/>
    <tableColumn id="14" xr3:uid="{13D99810-FEDB-4CA7-A66C-2028ED2137AF}" name="Inspected by Supervisor/Manager (Name)" dataDxfId="164"/>
    <tableColumn id="15" xr3:uid="{4F55725F-73D6-4AB8-A2D9-442D98A750C8}" name="Date of Completing all shadows (Tags) on this Unit excluding acid etched shadows" dataDxfId="163"/>
    <tableColumn id="16" xr3:uid="{95A46FB9-5CC6-47B5-8ABA-122B6A4427BF}" name="Car Number (s)  of Tags not cleaned due to acid etched shadows" dataDxfId="16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73B922E-4193-47EC-86CE-9F7044D53B90}" name="TagsRA4" displayName="TagsRA4" ref="A1:P520" totalsRowShown="0" headerRowDxfId="161" tableBorderDxfId="160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AF2C1CE7-6513-4D4E-8816-34A7B3F31DE7}" name="Unit No." dataDxfId="159"/>
    <tableColumn id="2" xr3:uid="{8727BC9F-5AE7-4134-8577-8E0E7DC527CE}" name="DATE" dataDxfId="158"/>
    <tableColumn id="3" xr3:uid="{CF75F572-8A7D-49E5-AFCA-549AC44FFAF3}" name="Status" dataDxfId="157"/>
    <tableColumn id="4" xr3:uid="{B541ABB8-4BBE-4DCD-9D00-E01DBED1DDF9}" name="Number of cars affected by graffiti/shadows on this unit" dataDxfId="156"/>
    <tableColumn id="5" xr3:uid="{0CAC2606-940F-4B48-BCC3-11CE19D69054}" name="Total Number of Tags found" dataDxfId="155"/>
    <tableColumn id="6" xr3:uid="{D643A080-4B9C-4BD7-B9D9-440784495949}" name="Total Tags Removed / Cleaned" dataDxfId="154"/>
    <tableColumn id="7" xr3:uid="{054B040E-E8B2-491E-89CD-C68076E90A24}" name="Total Tags Not Cleaned on this Unit" dataDxfId="153"/>
    <tableColumn id="8" xr3:uid="{94C2B530-CA48-411A-85B7-B028235A1BD7}" name="Car Number (s)  of Tags not cleaned (shadows)" dataDxfId="152"/>
    <tableColumn id="9" xr3:uid="{A164B940-E869-4953-A24B-B961913CED17}" name="Date of 2nd visit to clean remaining tags" dataDxfId="151"/>
    <tableColumn id="10" xr3:uid="{82ACCE61-F775-403E-B898-4CB5712B9D2D}" name="Number of tags removed" dataDxfId="150"/>
    <tableColumn id="11" xr3:uid="{D7E7CB2A-D726-440B-AC68-1D648031C677}" name="Date of 3rd visit to clean remaining tags" dataDxfId="149"/>
    <tableColumn id="12" xr3:uid="{CFE669A4-1FEA-40F8-BAA5-D8964B057279}" name="Number of tags removed2" dataDxfId="148"/>
    <tableColumn id="13" xr3:uid="{F1AB7A97-636A-4D92-A00D-023520CAAF40}" name="Train Inspected and Fit for service    (Y/N)" dataDxfId="147"/>
    <tableColumn id="14" xr3:uid="{287929E7-866F-4566-921D-43F941F5B17B}" name="Inspected by Supervisor/Manager (Name)" dataDxfId="146"/>
    <tableColumn id="15" xr3:uid="{2F89C77E-3BA4-4201-8CE4-C926FB4B9F6B}" name="Date of Completing all shadows (Tags) on this Unit excluding acid etched shadows" dataDxfId="145"/>
    <tableColumn id="16" xr3:uid="{382C2D28-D3F3-4D1E-99A5-105EBB0EFB58}" name="Car Number (s)  of Tags not cleaned due to acid etched shadows" dataDxfId="14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07A23A4-5462-4CDA-A20D-543A0FFB180D}" name="TagsRA5" displayName="TagsRA5" ref="A1:P520" totalsRowShown="0" headerRowDxfId="143" tableBorderDxfId="142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00C564B7-D10A-4AE3-93A0-E10F620073B4}" name="Unit No." dataDxfId="141"/>
    <tableColumn id="2" xr3:uid="{E99269AF-9D8A-4716-BF52-D1B4B48D5978}" name="DATE" dataDxfId="140"/>
    <tableColumn id="3" xr3:uid="{2C1163A5-EEA7-4580-894C-33BA42E19D53}" name="Status" dataDxfId="139"/>
    <tableColumn id="4" xr3:uid="{256FAAE5-C000-4925-AB8C-E4CCBF150067}" name="Number of cars affected by graffiti/shadows on this unit" dataDxfId="138"/>
    <tableColumn id="5" xr3:uid="{5DE0B215-6F1F-42B4-85E4-E0B839FC6D93}" name="Total Number of Tags found" dataDxfId="137"/>
    <tableColumn id="6" xr3:uid="{9C01C544-B3B4-47B6-AB7B-8D9F10D97908}" name="Total Tags Removed / Cleaned" dataDxfId="136"/>
    <tableColumn id="7" xr3:uid="{E56B9F6A-15E9-484A-867C-670C26D860C9}" name="Total Tags Not Cleaned on this Unit" dataDxfId="135"/>
    <tableColumn id="8" xr3:uid="{78D998CC-F231-48A3-A467-C9A6BFB8FD1A}" name="Car Number (s)  of Tags not cleaned (shadows)" dataDxfId="134"/>
    <tableColumn id="9" xr3:uid="{B1D75FEB-9EF4-454A-ABAF-C9D44CD439DE}" name="Date of 2nd visit to clean remaining tags" dataDxfId="133"/>
    <tableColumn id="10" xr3:uid="{A9574956-249E-431A-A3F1-92BABE2B36D0}" name="Number of tags removed" dataDxfId="132"/>
    <tableColumn id="11" xr3:uid="{0B9701D9-667B-4F4B-96DA-1720CDA393D0}" name="Date of 3rd visit to clean remaining tags" dataDxfId="131"/>
    <tableColumn id="12" xr3:uid="{FFEA30F7-08A0-4FE0-BD56-A3BDE181A3EF}" name="Number of tags removed2" dataDxfId="130"/>
    <tableColumn id="13" xr3:uid="{A2D67FF2-14B8-4CD3-A1EE-F13CA3CA08C5}" name="Train Inspected and Fit for service    (Y/N)" dataDxfId="129"/>
    <tableColumn id="14" xr3:uid="{F5654BF9-E65A-407B-8A4A-87D1145E7201}" name="Inspected by Supervisor/Manager (Name)" dataDxfId="128"/>
    <tableColumn id="15" xr3:uid="{AE37BD63-84A2-461C-8915-8BB7A820EBC4}" name="Date of Completing all shadows (Tags) on this Unit excluding acid etched shadows" dataDxfId="127"/>
    <tableColumn id="16" xr3:uid="{653D5221-505E-40B3-8835-859AC4511FC9}" name="Car Number (s)  of Tags not cleaned due to acid etched shadows" dataDxfId="12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2B5D395-CA10-404E-AD11-C5D802154B23}" name="TagsRA6" displayName="TagsRA6" ref="A1:P520" totalsRowShown="0" headerRowDxfId="125" tableBorderDxfId="124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2AF31E38-835A-4BE7-B90B-A58722CD1CB6}" name="Unit No." dataDxfId="123"/>
    <tableColumn id="2" xr3:uid="{8BB9B86B-DA47-4A47-851B-A6F7777F22CB}" name="DATE" dataDxfId="122"/>
    <tableColumn id="3" xr3:uid="{1FAB6CF1-5027-44CE-B9B1-2C6788089F02}" name="Status" dataDxfId="121"/>
    <tableColumn id="4" xr3:uid="{18A28574-6189-46FB-B95F-18C77A1A7016}" name="Number of cars affected by graffiti/shadows on this unit" dataDxfId="120"/>
    <tableColumn id="5" xr3:uid="{E0BAF080-8783-4AAE-B9F0-B4F83897C7D2}" name="Total Number of Tags found" dataDxfId="119"/>
    <tableColumn id="6" xr3:uid="{3F072114-E9AA-4FBB-8E4F-273C5B7A0A4A}" name="Total Tags Removed / Cleaned" dataDxfId="118"/>
    <tableColumn id="7" xr3:uid="{6AE30197-9744-482E-B453-4047C952ACFA}" name="Total Tags Not Cleaned on this Unit" dataDxfId="117"/>
    <tableColumn id="8" xr3:uid="{642720E5-0E3D-44B8-9F65-C35BE31AF6F1}" name="Car Number (s)  of Tags not cleaned (shadows)" dataDxfId="116"/>
    <tableColumn id="9" xr3:uid="{09E589F0-FF8C-42D6-9476-C4E3F5CA029E}" name="Date of 2nd visit to clean remaining tags" dataDxfId="115"/>
    <tableColumn id="10" xr3:uid="{FD779F17-C153-4D36-ABD9-10D92DAFBAC2}" name="Number of tags removed" dataDxfId="114"/>
    <tableColumn id="11" xr3:uid="{2E7FADDA-76F8-4611-A393-603A3461139A}" name="Date of 3rd visit to clean remaining tags" dataDxfId="113"/>
    <tableColumn id="12" xr3:uid="{C0E75462-4BCC-47C0-8094-7251F3EF60C4}" name="Number of tags removed2" dataDxfId="112"/>
    <tableColumn id="13" xr3:uid="{C70D7EE6-1BF1-4A46-A3EE-693CF7ECA574}" name="Train Inspected and Fit for service    (Y/N)" dataDxfId="111"/>
    <tableColumn id="14" xr3:uid="{5E5AF8CD-5289-4A5E-A69A-3783AFA748AD}" name="Inspected by Supervisor/Manager (Name)" dataDxfId="110"/>
    <tableColumn id="15" xr3:uid="{785A2024-91E8-4181-94D9-2D724DD67C48}" name="Date of Completing all shadows (Tags) on this Unit excluding acid etched shadows" dataDxfId="109"/>
    <tableColumn id="16" xr3:uid="{611AA855-D3E8-40BF-947D-8FDB32458E5D}" name="Car Number (s)  of Tags not cleaned due to acid etched shadows" dataDxfId="10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3890F7B-0C24-476A-AD6B-8625F2B24FE4}" name="TagsRA7" displayName="TagsRA7" ref="A1:P520" totalsRowShown="0" headerRowDxfId="107" tableBorderDxfId="106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715003D4-52F8-4026-BC95-C9986EE571B3}" name="Unit No." dataDxfId="105"/>
    <tableColumn id="2" xr3:uid="{57A6AB5B-A9B0-47FF-9BFD-D9AF7B66762A}" name="DATE" dataDxfId="104"/>
    <tableColumn id="3" xr3:uid="{869A768E-CDCC-4564-8B40-278B808E6C0B}" name="Status" dataDxfId="103"/>
    <tableColumn id="4" xr3:uid="{0CD5C7DE-0B2F-4B7B-9154-0C22C2906808}" name="Number of cars affected by graffiti/shadows on this unit" dataDxfId="102"/>
    <tableColumn id="5" xr3:uid="{F058DDA7-3C52-42A6-9BB1-B26F0B44E5C8}" name="Total Number of Tags found" dataDxfId="101"/>
    <tableColumn id="6" xr3:uid="{9BFD8070-A1C9-4AD1-A092-1A62B2D0C118}" name="Total Tags Removed / Cleaned" dataDxfId="100"/>
    <tableColumn id="7" xr3:uid="{E20F131D-4525-4B60-BD70-531CEF67B6E1}" name="Total Tags Not Cleaned on this Unit" dataDxfId="99"/>
    <tableColumn id="8" xr3:uid="{D4AD5B4A-4621-4DF5-9E41-A51BFA79DF07}" name="Car Number (s)  of Tags not cleaned (shadows)" dataDxfId="98"/>
    <tableColumn id="9" xr3:uid="{5FD04549-1DBB-4506-B78A-F96F747E4DAD}" name="Date of 2nd visit to clean remaining tags" dataDxfId="97"/>
    <tableColumn id="10" xr3:uid="{0498F860-4010-4925-B31B-87543A77DDEF}" name="Number of tags removed" dataDxfId="96"/>
    <tableColumn id="11" xr3:uid="{62DE5275-6501-4C18-ADCD-0F2EABEFE19B}" name="Date of 3rd visit to clean remaining tags" dataDxfId="95"/>
    <tableColumn id="12" xr3:uid="{30E33103-3403-49C9-A175-3D89F5D0D1BC}" name="Number of tags removed2" dataDxfId="94"/>
    <tableColumn id="13" xr3:uid="{1705AB72-090B-459A-A747-1E59779BCD8B}" name="Train Inspected and Fit for service    (Y/N)" dataDxfId="93"/>
    <tableColumn id="14" xr3:uid="{00557F38-D387-449F-B959-42313363F20B}" name="Inspected by Supervisor/Manager (Name)" dataDxfId="92"/>
    <tableColumn id="15" xr3:uid="{86133BDC-4672-432C-9033-DBA4DA34D6EC}" name="Date of Completing all shadows (Tags) on this Unit excluding acid etched shadows" dataDxfId="91"/>
    <tableColumn id="16" xr3:uid="{85614616-E158-4383-A9E3-E07E8FD84A5F}" name="Car Number (s)  of Tags not cleaned due to acid etched shadows" dataDxfId="9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4EE68E3-F93D-4175-8CE6-843E62F2A970}" name="TagsRA8" displayName="TagsRA8" ref="A1:P520" totalsRowShown="0" headerRowDxfId="89" tableBorderDxfId="88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594F6A6B-F736-4807-B52A-D48468A8BAD1}" name="Unit No." dataDxfId="87"/>
    <tableColumn id="2" xr3:uid="{FC115E92-5570-4DA1-B162-DEF780C84A2F}" name="DATE" dataDxfId="86"/>
    <tableColumn id="3" xr3:uid="{2323111A-0035-4508-B785-9355D028C7E6}" name="Status" dataDxfId="85"/>
    <tableColumn id="4" xr3:uid="{EEBAA251-D120-4AA3-848C-375AA6A1E9DE}" name="Number of cars affected by graffiti/shadows on this unit" dataDxfId="84"/>
    <tableColumn id="5" xr3:uid="{BF7203EF-90A8-4F8F-A22F-FAF2AC2F2A8A}" name="Total Number of Tags found" dataDxfId="83"/>
    <tableColumn id="6" xr3:uid="{8EDDD97B-2D08-4DCC-8D7A-712983900937}" name="Total Tags Removed / Cleaned" dataDxfId="82"/>
    <tableColumn id="7" xr3:uid="{2183D0D9-C93D-436C-9E9C-9AA1A83E3534}" name="Total Tags Not Cleaned on this Unit" dataDxfId="81"/>
    <tableColumn id="8" xr3:uid="{AEE7FF5B-D71F-41F7-B32F-5859610CD794}" name="Car Number (s)  of Tags not cleaned (shadows)" dataDxfId="80"/>
    <tableColumn id="9" xr3:uid="{6F48CC85-0C23-4A54-8AAF-7448AAB1C6E5}" name="Date of 2nd visit to clean remaining tags" dataDxfId="79"/>
    <tableColumn id="10" xr3:uid="{008C771F-9525-4027-8EA4-ECF861AF7F4B}" name="Number of tags removed" dataDxfId="78"/>
    <tableColumn id="11" xr3:uid="{AD71CA1E-06C7-493E-B208-DB2F07FAFB80}" name="Date of 3rd visit to clean remaining tags" dataDxfId="77"/>
    <tableColumn id="12" xr3:uid="{D868ADFE-0695-428F-B961-5FC63460735D}" name="Number of tags removed2" dataDxfId="76"/>
    <tableColumn id="13" xr3:uid="{255DFCF9-7F8D-41AA-B893-E7C73614CC65}" name="Train Inspected and Fit for service    (Y/N)" dataDxfId="75"/>
    <tableColumn id="14" xr3:uid="{ED4AD95C-0AEA-4572-829D-8D4B49CF37F3}" name="Inspected by Supervisor/Manager (Name)" dataDxfId="74"/>
    <tableColumn id="15" xr3:uid="{CBD5F6F5-236D-43A0-AC24-0D3F9B1293EB}" name="Date of Completing all shadows (Tags) on this Unit excluding acid etched shadows" dataDxfId="73"/>
    <tableColumn id="16" xr3:uid="{E92F0FA3-8D41-403D-91AD-ECF213DDA6CB}" name="Car Number (s)  of Tags not cleaned due to acid etched shadows" dataDxfId="7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09374CB-4FD5-4F81-AA70-F91CA86266D4}" name="TagsRA9" displayName="TagsRA9" ref="A1:P520" totalsRowShown="0" headerRowDxfId="71" tableBorderDxfId="70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C454D0A6-35AB-4D24-98D5-DD4FB6F45B8B}" name="Unit No." dataDxfId="69"/>
    <tableColumn id="2" xr3:uid="{1B8F7A9A-BA23-439F-9A32-07BEBF497A15}" name="DATE" dataDxfId="68"/>
    <tableColumn id="3" xr3:uid="{C6FB67B8-881A-4AA9-892C-C8E446F21FFE}" name="Status" dataDxfId="67"/>
    <tableColumn id="4" xr3:uid="{924C938B-49F4-4612-88CC-E4428AE8825D}" name="Number of cars affected by graffiti/shadows on this unit" dataDxfId="66"/>
    <tableColumn id="5" xr3:uid="{4BAFBFC5-573B-41F7-9138-87B33FB25515}" name="Total Number of Tags found" dataDxfId="65"/>
    <tableColumn id="6" xr3:uid="{B3E72450-3435-4090-8C9D-483C52827DE1}" name="Total Tags Removed / Cleaned" dataDxfId="64"/>
    <tableColumn id="7" xr3:uid="{5F2FD79F-7193-47DF-9689-5E46E98B5AE8}" name="Total Tags Not Cleaned on this Unit" dataDxfId="63"/>
    <tableColumn id="8" xr3:uid="{95077C4C-2385-4F22-9191-51C5317CC3CD}" name="Car Number (s)  of Tags not cleaned (shadows)" dataDxfId="62"/>
    <tableColumn id="9" xr3:uid="{6A650504-F332-47BF-8C8C-BE56014E951F}" name="Date of 2nd visit to clean remaining tags" dataDxfId="61"/>
    <tableColumn id="10" xr3:uid="{E1B75B3E-7C45-478E-ADBC-FC00B4229583}" name="Number of tags removed" dataDxfId="60"/>
    <tableColumn id="11" xr3:uid="{320344E5-D3F4-476B-8F5A-F721F1330934}" name="Date of 3rd visit to clean remaining tags" dataDxfId="59"/>
    <tableColumn id="12" xr3:uid="{5602FC2D-8A18-4033-B9E8-25FCBB4CD8BB}" name="Number of tags removed2" dataDxfId="58"/>
    <tableColumn id="13" xr3:uid="{494A172E-248B-442E-AC4C-70E6B8C24347}" name="Train Inspected and Fit for service    (Y/N)" dataDxfId="57"/>
    <tableColumn id="14" xr3:uid="{6EF576CB-9216-4E95-8237-686F24CC167B}" name="Inspected by Supervisor/Manager (Name)" dataDxfId="56"/>
    <tableColumn id="15" xr3:uid="{D35EA194-AF1D-4C29-B209-6DF7A2DCEF6E}" name="Date of Completing all shadows (Tags) on this Unit excluding acid etched shadows" dataDxfId="55"/>
    <tableColumn id="16" xr3:uid="{5DE5980D-FDFC-4600-89FA-4C2D1FCB1DED}" name="Car Number (s)  of Tags not cleaned due to acid etched shadows" dataDxfId="5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7CF40D8-3888-413A-960E-3C1AB59D83DA}" name="TagsRA10" displayName="TagsRA10" ref="A1:P520" totalsRowShown="0" headerRowDxfId="53" tableBorderDxfId="52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792C7787-1AA5-49CB-86AA-A91144DD44AF}" name="Unit No." dataDxfId="51"/>
    <tableColumn id="2" xr3:uid="{B1AFB2CA-2A07-4075-AC5F-B8F46A801F95}" name="DATE" dataDxfId="50"/>
    <tableColumn id="3" xr3:uid="{24C3931F-C081-4D52-9560-A0CE234981D3}" name="Status" dataDxfId="49"/>
    <tableColumn id="4" xr3:uid="{7380B4CE-F233-4F05-8042-E51800C25603}" name="Number of cars affected by graffiti/shadows on this unit" dataDxfId="48"/>
    <tableColumn id="5" xr3:uid="{75CD86F0-D986-42E3-9319-EBCBEB54F41E}" name="Total Number of Tags found" dataDxfId="47"/>
    <tableColumn id="6" xr3:uid="{DAB29FE6-0835-4EBB-ACF3-98EBED4E814E}" name="Total Tags Removed / Cleaned" dataDxfId="46"/>
    <tableColumn id="7" xr3:uid="{02B67F5F-D76A-4ADA-BE58-25E20A4796A5}" name="Total Tags Not Cleaned on this Unit" dataDxfId="45"/>
    <tableColumn id="8" xr3:uid="{C3A9CA8F-519F-4694-8CC8-0E50842ADDB5}" name="Car Number (s)  of Tags not cleaned (shadows)" dataDxfId="44"/>
    <tableColumn id="9" xr3:uid="{34200836-0267-4781-89A4-0208A700B8E6}" name="Date of 2nd visit to clean remaining tags" dataDxfId="43"/>
    <tableColumn id="10" xr3:uid="{69F08A73-B6BB-4AE1-8112-862FF7CC7C23}" name="Number of tags removed" dataDxfId="42"/>
    <tableColumn id="11" xr3:uid="{09E98E1B-C41E-468B-AF15-FC1DB6714C67}" name="Date of 3rd visit to clean remaining tags" dataDxfId="41"/>
    <tableColumn id="12" xr3:uid="{89A4D9F5-64DE-44AA-B047-E05539C0791E}" name="Number of tags removed2" dataDxfId="40"/>
    <tableColumn id="13" xr3:uid="{CBC75EF5-A222-49CB-B385-47506953CD37}" name="Train Inspected and Fit for service    (Y/N)" dataDxfId="39"/>
    <tableColumn id="14" xr3:uid="{A0FE3EC2-495B-4726-9F31-EC59837C7C6C}" name="Inspected by Supervisor/Manager (Name)" dataDxfId="38"/>
    <tableColumn id="15" xr3:uid="{8DEE255D-5DD8-49AB-97C8-E84298DCA60E}" name="Date of Completing all shadows (Tags) on this Unit excluding acid etched shadows" dataDxfId="37"/>
    <tableColumn id="16" xr3:uid="{EE6F907F-0B6E-4FFE-9AA1-517D3E080A21}" name="Car Number (s)  of Tags not cleaned due to acid etched shadows" dataDxfId="3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45EC885-53AB-4E62-9C9F-A275189E24DF}" name="TagsRA11" displayName="TagsRA11" ref="A1:P520" totalsRowShown="0" headerRowDxfId="35" tableBorderDxfId="34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11D91E17-51B0-4AB3-93AD-99EB0567E5A4}" name="Unit No." dataDxfId="33"/>
    <tableColumn id="2" xr3:uid="{CD130D55-31C6-4098-AC47-D8F239B42EC3}" name="DATE" dataDxfId="32"/>
    <tableColumn id="3" xr3:uid="{A3E46365-9155-43FB-9E0F-27E9750A2404}" name="Status" dataDxfId="31"/>
    <tableColumn id="4" xr3:uid="{6EFBB507-5DEB-4F26-9AB1-4302C23CBB67}" name="Number of cars affected by graffiti/shadows on this unit" dataDxfId="30"/>
    <tableColumn id="5" xr3:uid="{9EC3BFA2-3311-45DC-93F2-564C10B5BF11}" name="Total Number of Tags found" dataDxfId="29"/>
    <tableColumn id="6" xr3:uid="{8F5BE59E-971C-4E89-87A0-7DE7ADCC53FD}" name="Total Tags Removed / Cleaned" dataDxfId="28"/>
    <tableColumn id="7" xr3:uid="{25F42750-F71B-46AB-8C41-D782B5B56E5A}" name="Total Tags Not Cleaned on this Unit" dataDxfId="27"/>
    <tableColumn id="8" xr3:uid="{B53E41E5-E0F4-4425-B92F-D1134EBE741E}" name="Car Number (s)  of Tags not cleaned (shadows)" dataDxfId="26"/>
    <tableColumn id="9" xr3:uid="{8B0DD509-0B03-4A84-BFBC-292D9DFA8BBF}" name="Date of 2nd visit to clean remaining tags" dataDxfId="25"/>
    <tableColumn id="10" xr3:uid="{A59D5D36-7DB5-4A6E-8B0A-0C9847C93FA4}" name="Number of tags removed" dataDxfId="24"/>
    <tableColumn id="11" xr3:uid="{83449DBB-78E7-42D9-A3FE-A51B4FE77DFE}" name="Date of 3rd visit to clean remaining tags" dataDxfId="23"/>
    <tableColumn id="12" xr3:uid="{D90B47F2-6F91-4620-93C1-AB3EF3634BC7}" name="Number of tags removed2" dataDxfId="22"/>
    <tableColumn id="13" xr3:uid="{54BBAE91-3A55-4B9D-89E1-86FC564122A0}" name="Train Inspected and Fit for service    (Y/N)" dataDxfId="21"/>
    <tableColumn id="14" xr3:uid="{107E7CF5-82B1-44D8-8437-AA6FE0AB83CE}" name="Inspected by Supervisor/Manager (Name)" dataDxfId="20"/>
    <tableColumn id="15" xr3:uid="{C68D6C13-F363-42AC-98EC-56358E82CC21}" name="Date of Completing all shadows (Tags) on this Unit excluding acid etched shadows" dataDxfId="19"/>
    <tableColumn id="16" xr3:uid="{4E6A243D-F876-4017-B68E-7266115DCFBC}" name="Car Number (s)  of Tags not cleaned due to acid etched shadows" dataDxfId="1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B61B5F0-A55F-409F-9DA1-1CFCAC524464}" name="TagsRA12" displayName="TagsRA12" ref="A1:P520" totalsRowShown="0" headerRowDxfId="17" tableBorderDxfId="16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AEC67201-D2C7-43D2-AA75-C493556C881A}" name="Unit No." dataDxfId="15"/>
    <tableColumn id="2" xr3:uid="{F51C434B-9021-4479-B51F-C171290169AC}" name="DATE" dataDxfId="14"/>
    <tableColumn id="3" xr3:uid="{77AB5D79-2DFD-4AC7-AE8D-8CF73ACC05AD}" name="Status" dataDxfId="13"/>
    <tableColumn id="4" xr3:uid="{E27EBCEB-66C4-4076-B1BD-3B5E232B12CC}" name="Number of cars affected by graffiti/shadows on this unit" dataDxfId="12"/>
    <tableColumn id="5" xr3:uid="{B01B2721-3704-4E84-81C1-372AF29A59EE}" name="Total Number of Tags found" dataDxfId="11"/>
    <tableColumn id="6" xr3:uid="{CBEF3308-AE31-4A48-AB02-AAAE727098E0}" name="Total Tags Removed / Cleaned" dataDxfId="10"/>
    <tableColumn id="7" xr3:uid="{37D6DF58-C8FF-4EAD-B1C2-59B35F8F5BAC}" name="Total Tags Not Cleaned on this Unit" dataDxfId="9"/>
    <tableColumn id="8" xr3:uid="{A3BE67EA-1DD4-4FFC-994B-0994ABF0A719}" name="Car Number (s)  of Tags not cleaned (shadows)" dataDxfId="8"/>
    <tableColumn id="9" xr3:uid="{7B66B1B9-EEEC-4951-9E04-1E740923B86C}" name="Date of 2nd visit to clean remaining tags" dataDxfId="7"/>
    <tableColumn id="10" xr3:uid="{5C5321B5-FDAF-477C-B008-4DE4A2FD6943}" name="Number of tags removed" dataDxfId="6"/>
    <tableColumn id="11" xr3:uid="{831547D2-36E9-49DD-AFE4-45EFEC443953}" name="Date of 3rd visit to clean remaining tags" dataDxfId="5"/>
    <tableColumn id="12" xr3:uid="{D8DD9833-09AB-48AF-8E59-FAFF67D757AE}" name="Number of tags removed2" dataDxfId="4"/>
    <tableColumn id="13" xr3:uid="{3E4B05E4-DE36-4BED-8C3C-8D61F8A0A9D4}" name="Train Inspected and Fit for service    (Y/N)" dataDxfId="3"/>
    <tableColumn id="14" xr3:uid="{201111CD-4A02-452C-8692-A6065E6FD957}" name="Inspected by Supervisor/Manager (Name)" dataDxfId="2"/>
    <tableColumn id="15" xr3:uid="{47876BB7-4001-4BD3-8299-25989DAED91D}" name="Date of Completing all shadows (Tags) on this Unit excluding acid etched shadows" dataDxfId="1"/>
    <tableColumn id="16" xr3:uid="{CF0121FE-89E9-4172-A310-05CA8483A138}" name="Car Number (s)  of Tags not cleaned due to acid etched shadow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AB0C1-DF55-4F0F-BF10-B6D2CB143AE5}">
  <dimension ref="A1:U654"/>
  <sheetViews>
    <sheetView topLeftCell="A486" workbookViewId="0">
      <selection activeCell="G459" sqref="G459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7</v>
      </c>
      <c r="U4" s="22">
        <f>T4/S4</f>
        <v>1.348747591522158E-2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>
        <v>45950</v>
      </c>
      <c r="C7" s="12" t="s">
        <v>21</v>
      </c>
      <c r="D7" s="31">
        <v>1</v>
      </c>
      <c r="E7" s="31">
        <v>50</v>
      </c>
      <c r="F7" s="31">
        <v>50</v>
      </c>
      <c r="G7" s="31">
        <v>0</v>
      </c>
      <c r="H7" s="31">
        <v>0</v>
      </c>
      <c r="I7" s="27"/>
      <c r="J7" s="31"/>
      <c r="K7" s="27"/>
      <c r="L7" s="31"/>
      <c r="M7" s="26" t="s">
        <v>22</v>
      </c>
      <c r="N7" s="28" t="s">
        <v>23</v>
      </c>
      <c r="O7" s="11">
        <v>45950</v>
      </c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>
        <v>45949</v>
      </c>
      <c r="C9" s="12" t="s">
        <v>24</v>
      </c>
      <c r="D9" s="31">
        <v>1</v>
      </c>
      <c r="E9" s="31">
        <v>30</v>
      </c>
      <c r="F9" s="31">
        <v>30</v>
      </c>
      <c r="G9" s="31">
        <v>0</v>
      </c>
      <c r="H9" s="31">
        <v>0</v>
      </c>
      <c r="I9" s="27"/>
      <c r="J9" s="31"/>
      <c r="K9" s="27"/>
      <c r="L9" s="31"/>
      <c r="M9" s="26" t="s">
        <v>22</v>
      </c>
      <c r="N9" s="28" t="s">
        <v>25</v>
      </c>
      <c r="O9" s="11">
        <v>45949</v>
      </c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>
        <v>45955</v>
      </c>
      <c r="C61" s="12" t="s">
        <v>26</v>
      </c>
      <c r="D61" s="31">
        <v>1</v>
      </c>
      <c r="E61" s="31">
        <v>180</v>
      </c>
      <c r="F61" s="31">
        <v>180</v>
      </c>
      <c r="G61" s="31">
        <v>0</v>
      </c>
      <c r="H61" s="31">
        <v>0</v>
      </c>
      <c r="I61" s="27"/>
      <c r="J61" s="31"/>
      <c r="K61" s="27"/>
      <c r="L61" s="31"/>
      <c r="M61" s="26" t="s">
        <v>22</v>
      </c>
      <c r="N61" s="28" t="s">
        <v>25</v>
      </c>
      <c r="O61" s="11">
        <v>45955</v>
      </c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>
        <v>45946</v>
      </c>
      <c r="C64" s="12" t="s">
        <v>26</v>
      </c>
      <c r="D64" s="30">
        <v>1</v>
      </c>
      <c r="E64" s="30">
        <v>180</v>
      </c>
      <c r="F64" s="30">
        <v>180</v>
      </c>
      <c r="G64" s="30">
        <v>0</v>
      </c>
      <c r="H64" s="30">
        <v>0</v>
      </c>
      <c r="I64" s="14"/>
      <c r="J64" s="30"/>
      <c r="K64" s="14"/>
      <c r="L64" s="30"/>
      <c r="M64" s="13" t="s">
        <v>22</v>
      </c>
      <c r="N64" s="15" t="s">
        <v>23</v>
      </c>
      <c r="O64" s="11">
        <v>45946</v>
      </c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>
        <v>45944</v>
      </c>
      <c r="C101" s="12" t="s">
        <v>26</v>
      </c>
      <c r="D101" s="30">
        <v>1</v>
      </c>
      <c r="E101" s="30">
        <v>1</v>
      </c>
      <c r="F101" s="30">
        <v>1</v>
      </c>
      <c r="G101" s="30">
        <v>0</v>
      </c>
      <c r="H101" s="30">
        <v>0</v>
      </c>
      <c r="I101" s="14"/>
      <c r="J101" s="30"/>
      <c r="K101" s="14"/>
      <c r="L101" s="30"/>
      <c r="M101" s="13" t="s">
        <v>22</v>
      </c>
      <c r="N101" s="15" t="s">
        <v>27</v>
      </c>
      <c r="O101" s="11">
        <v>45944</v>
      </c>
      <c r="P101" s="33">
        <v>0</v>
      </c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>
        <v>45955</v>
      </c>
      <c r="C471" s="12" t="s">
        <v>26</v>
      </c>
      <c r="D471" s="31">
        <v>1</v>
      </c>
      <c r="E471" s="31">
        <v>5</v>
      </c>
      <c r="F471" s="31">
        <v>5</v>
      </c>
      <c r="G471" s="31">
        <v>0</v>
      </c>
      <c r="H471" s="31">
        <v>0</v>
      </c>
      <c r="I471" s="27"/>
      <c r="J471" s="31"/>
      <c r="K471" s="27"/>
      <c r="L471" s="31"/>
      <c r="M471" s="26" t="s">
        <v>22</v>
      </c>
      <c r="N471" s="28" t="s">
        <v>25</v>
      </c>
      <c r="O471" s="11">
        <v>45955</v>
      </c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>
        <v>45955</v>
      </c>
      <c r="C506" s="12" t="s">
        <v>26</v>
      </c>
      <c r="D506" s="31">
        <v>1</v>
      </c>
      <c r="E506" s="31">
        <v>10</v>
      </c>
      <c r="F506" s="31">
        <v>10</v>
      </c>
      <c r="G506" s="31">
        <v>0</v>
      </c>
      <c r="H506" s="31">
        <v>0</v>
      </c>
      <c r="I506" s="27"/>
      <c r="J506" s="31"/>
      <c r="K506" s="27"/>
      <c r="L506" s="31"/>
      <c r="M506" s="26" t="s">
        <v>22</v>
      </c>
      <c r="N506" s="28" t="s">
        <v>25</v>
      </c>
      <c r="O506" s="11">
        <v>45955</v>
      </c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algorithmName="SHA-512" hashValue="SZ2xhRbXC1M7kP9gkhXoaCOlhvwjN+YNxcYdFaKV+q/AYmmT56IZm/Yazj4MjaUo2rEFqF/cyXEaEkAOFUM6NA==" saltValue="SCWzz/0frElzgCx3ct+hIg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520 I2:I520 K2:K520 O2:O520" xr:uid="{D339B586-D44C-470E-B010-C5E1CB0C6886}">
      <formula1>45658</formula1>
    </dataValidation>
    <dataValidation type="whole" operator="greaterThanOrEqual" allowBlank="1" showInputMessage="1" showErrorMessage="1" sqref="P2:P520 D2:H520 J2:J520 L2:L520" xr:uid="{F8BC17B2-BCB5-401F-B67F-F48714EBBFAD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A1C2C-64BC-48F1-A1D3-F4E237A4BF13}">
  <dimension ref="A1:U654"/>
  <sheetViews>
    <sheetView topLeftCell="A79" workbookViewId="0">
      <selection activeCell="D14" sqref="D14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2</v>
      </c>
      <c r="U4" s="22">
        <f>T4/S4</f>
        <v>3.8535645472061657E-3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>
        <v>45946</v>
      </c>
      <c r="C64" s="12"/>
      <c r="D64" s="30">
        <v>1</v>
      </c>
      <c r="E64" s="30">
        <v>180</v>
      </c>
      <c r="F64" s="30">
        <v>180</v>
      </c>
      <c r="G64" s="30">
        <v>0</v>
      </c>
      <c r="H64" s="30">
        <v>0</v>
      </c>
      <c r="I64" s="14"/>
      <c r="J64" s="30"/>
      <c r="K64" s="14"/>
      <c r="L64" s="30"/>
      <c r="M64" s="13" t="s">
        <v>22</v>
      </c>
      <c r="N64" s="15" t="s">
        <v>23</v>
      </c>
      <c r="O64" s="11">
        <v>45946</v>
      </c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>
        <v>45944</v>
      </c>
      <c r="C101" s="12"/>
      <c r="D101" s="30">
        <v>1</v>
      </c>
      <c r="E101" s="30">
        <v>1</v>
      </c>
      <c r="F101" s="30">
        <v>1</v>
      </c>
      <c r="G101" s="30">
        <v>0</v>
      </c>
      <c r="H101" s="30">
        <v>0</v>
      </c>
      <c r="I101" s="14"/>
      <c r="J101" s="30"/>
      <c r="K101" s="14"/>
      <c r="L101" s="30"/>
      <c r="M101" s="13" t="s">
        <v>22</v>
      </c>
      <c r="N101" s="15" t="s">
        <v>27</v>
      </c>
      <c r="O101" s="11">
        <v>45944</v>
      </c>
      <c r="P101" s="33">
        <v>0</v>
      </c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algorithmName="SHA-512" hashValue="scd1z9IGt4TtlmqWTM3urbpbB/wV31UfoktX4xVpUzV+YIH2RjRocbciuxPIzMiWBCFNd0zRZ/c6uh9Ob2GoFQ==" saltValue="rldnjP36Ety1rGY5NQc3q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520 D2:H520 J2:J520 L2:L520" xr:uid="{6F848FB4-A7B1-4C55-87A1-EB00D7B0FE79}">
      <formula1>0</formula1>
    </dataValidation>
    <dataValidation type="date" operator="greaterThanOrEqual" allowBlank="1" showInputMessage="1" showErrorMessage="1" sqref="B2:B520 I2:I520 K2:K520 O2:O520" xr:uid="{C24892C6-4BAC-4BFE-9691-A8CFD26DCE46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788E6-4A01-469A-B334-2AFADD5CEF3F}">
  <dimension ref="A1:U654"/>
  <sheetViews>
    <sheetView topLeftCell="M98" workbookViewId="0">
      <selection activeCell="B101" sqref="B101:P101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1</v>
      </c>
      <c r="U4" s="22">
        <f>T4/S4</f>
        <v>1.9267822736030828E-3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>
        <v>45946</v>
      </c>
      <c r="C64" s="12"/>
      <c r="D64" s="30">
        <v>1</v>
      </c>
      <c r="E64" s="30">
        <v>180</v>
      </c>
      <c r="F64" s="30">
        <v>180</v>
      </c>
      <c r="G64" s="30">
        <v>0</v>
      </c>
      <c r="H64" s="30">
        <v>0</v>
      </c>
      <c r="I64" s="14"/>
      <c r="J64" s="30"/>
      <c r="K64" s="14"/>
      <c r="L64" s="30"/>
      <c r="M64" s="13" t="s">
        <v>22</v>
      </c>
      <c r="N64" s="15" t="s">
        <v>23</v>
      </c>
      <c r="O64" s="11">
        <v>45946</v>
      </c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/>
      <c r="C101" s="12"/>
      <c r="D101" s="30"/>
      <c r="E101" s="30"/>
      <c r="F101" s="30"/>
      <c r="G101" s="30"/>
      <c r="H101" s="30"/>
      <c r="I101" s="14"/>
      <c r="J101" s="30"/>
      <c r="K101" s="14"/>
      <c r="L101" s="30"/>
      <c r="M101" s="13"/>
      <c r="N101" s="15"/>
      <c r="O101" s="11"/>
      <c r="P101" s="33"/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algorithmName="SHA-512" hashValue="Eapyg4SN0O7/ObaO7OAJsh/zpKcYFGGZzi1zBglGQe3mofeJg+BsweH0M9gllN4RBpMLQdq3Oaj+3DA9j8CTrA==" saltValue="r/f3Ldwh5cBUhW73YIskzw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520 I2:I520 K2:K520 O2:O520" xr:uid="{6B10F12B-5BD5-42FF-969E-C263FB9C921A}">
      <formula1>45658</formula1>
    </dataValidation>
    <dataValidation type="whole" operator="greaterThanOrEqual" allowBlank="1" showInputMessage="1" showErrorMessage="1" sqref="P2:P520 D2:H520 J2:J520 L2:L520" xr:uid="{0A57DE3A-A66A-4BC4-8DC1-8D85876D7BC2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7E3DF-B67E-4F06-A82C-139611836B0A}">
  <dimension ref="A1:U654"/>
  <sheetViews>
    <sheetView topLeftCell="L92" workbookViewId="0">
      <selection activeCell="B101" sqref="B101:P101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1</v>
      </c>
      <c r="U4" s="22">
        <f>T4/S4</f>
        <v>1.9267822736030828E-3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>
        <v>45946</v>
      </c>
      <c r="C64" s="12"/>
      <c r="D64" s="30">
        <v>1</v>
      </c>
      <c r="E64" s="30">
        <v>180</v>
      </c>
      <c r="F64" s="30">
        <v>180</v>
      </c>
      <c r="G64" s="30">
        <v>0</v>
      </c>
      <c r="H64" s="30">
        <v>0</v>
      </c>
      <c r="I64" s="14"/>
      <c r="J64" s="30"/>
      <c r="K64" s="14"/>
      <c r="L64" s="30"/>
      <c r="M64" s="13" t="s">
        <v>22</v>
      </c>
      <c r="N64" s="15" t="s">
        <v>23</v>
      </c>
      <c r="O64" s="11">
        <v>45946</v>
      </c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/>
      <c r="C101" s="12"/>
      <c r="D101" s="30"/>
      <c r="E101" s="30"/>
      <c r="F101" s="30"/>
      <c r="G101" s="30"/>
      <c r="H101" s="30"/>
      <c r="I101" s="14"/>
      <c r="J101" s="30"/>
      <c r="K101" s="14"/>
      <c r="L101" s="30"/>
      <c r="M101" s="13"/>
      <c r="N101" s="15"/>
      <c r="O101" s="11"/>
      <c r="P101" s="33"/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algorithmName="SHA-512" hashValue="OrLasSX/Qm1QArbc8JKE3dTPytRI5mUNEL4ONpBAkPa9ftOBa50fuZ+oQ/g7vvquiHfG4CtVlvufknjWeNnX1w==" saltValue="iiPEHw5ZBLFUoFrlzV185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520 D2:H520 J2:J520 L2:L520" xr:uid="{14538654-46D8-4ACC-AC3A-ED7C403C356C}">
      <formula1>0</formula1>
    </dataValidation>
    <dataValidation type="date" operator="greaterThanOrEqual" allowBlank="1" showInputMessage="1" showErrorMessage="1" sqref="B2:B520 I2:I520 K2:K520 O2:O520" xr:uid="{8BEB0ECD-FB95-4C72-A6AA-7C387E327D0E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C94D8-E15C-47D5-AC10-ABB5D917E20E}">
  <dimension ref="A1:U654"/>
  <sheetViews>
    <sheetView topLeftCell="M89" workbookViewId="0">
      <selection activeCell="B101" sqref="B101:P101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1</v>
      </c>
      <c r="U4" s="22">
        <f>T4/S4</f>
        <v>1.9267822736030828E-3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>
        <v>45946</v>
      </c>
      <c r="C64" s="12"/>
      <c r="D64" s="30">
        <v>1</v>
      </c>
      <c r="E64" s="30">
        <v>180</v>
      </c>
      <c r="F64" s="30">
        <v>180</v>
      </c>
      <c r="G64" s="30">
        <v>0</v>
      </c>
      <c r="H64" s="30">
        <v>0</v>
      </c>
      <c r="I64" s="14"/>
      <c r="J64" s="30"/>
      <c r="K64" s="14"/>
      <c r="L64" s="30"/>
      <c r="M64" s="13" t="s">
        <v>22</v>
      </c>
      <c r="N64" s="15" t="s">
        <v>23</v>
      </c>
      <c r="O64" s="11">
        <v>45946</v>
      </c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/>
      <c r="C101" s="12"/>
      <c r="D101" s="30"/>
      <c r="E101" s="30"/>
      <c r="F101" s="30"/>
      <c r="G101" s="30"/>
      <c r="H101" s="30"/>
      <c r="I101" s="14"/>
      <c r="J101" s="30"/>
      <c r="K101" s="14"/>
      <c r="L101" s="30"/>
      <c r="M101" s="13"/>
      <c r="N101" s="15"/>
      <c r="O101" s="11"/>
      <c r="P101" s="33"/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algorithmName="SHA-512" hashValue="ws/o05OaTac7EjcevvMPmgw2TypN17siRuhVvnM6ZvMOIG9MjfBhkVFK+8dR3Er/R4BzEr688xI4KlmFqbKo/g==" saltValue="vSJ1QV8awCNAA8VRZpGLwA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520 I2:I520 K2:K520 O2:O520" xr:uid="{B99A1EEC-942B-4074-9CC5-2AE102626079}">
      <formula1>45658</formula1>
    </dataValidation>
    <dataValidation type="whole" operator="greaterThanOrEqual" allowBlank="1" showInputMessage="1" showErrorMessage="1" sqref="P2:P520 D2:H520 J2:J520 L2:L520" xr:uid="{AD18AF98-3C06-4EB4-A537-5C254A3BF510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EC01D-08F9-499A-9EC5-9F62898704A7}">
  <dimension ref="A1:U654"/>
  <sheetViews>
    <sheetView topLeftCell="K88" workbookViewId="0">
      <selection activeCell="B101" sqref="B101:P101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1</v>
      </c>
      <c r="U4" s="22">
        <f>T4/S4</f>
        <v>1.9267822736030828E-3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>
        <v>45946</v>
      </c>
      <c r="C64" s="12"/>
      <c r="D64" s="30">
        <v>1</v>
      </c>
      <c r="E64" s="30">
        <v>180</v>
      </c>
      <c r="F64" s="30">
        <v>180</v>
      </c>
      <c r="G64" s="30">
        <v>0</v>
      </c>
      <c r="H64" s="30">
        <v>0</v>
      </c>
      <c r="I64" s="14"/>
      <c r="J64" s="30"/>
      <c r="K64" s="14"/>
      <c r="L64" s="30"/>
      <c r="M64" s="13" t="s">
        <v>22</v>
      </c>
      <c r="N64" s="15" t="s">
        <v>23</v>
      </c>
      <c r="O64" s="11">
        <v>45946</v>
      </c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/>
      <c r="C101" s="12"/>
      <c r="D101" s="30"/>
      <c r="E101" s="30"/>
      <c r="F101" s="30"/>
      <c r="G101" s="30"/>
      <c r="H101" s="30"/>
      <c r="I101" s="14"/>
      <c r="J101" s="30"/>
      <c r="K101" s="14"/>
      <c r="L101" s="30"/>
      <c r="M101" s="13"/>
      <c r="N101" s="15"/>
      <c r="O101" s="11"/>
      <c r="P101" s="33"/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algorithmName="SHA-512" hashValue="eh4S4/+c8o4Z5lFlkuO2AKEmWyh9d9aC2WMmm8fgJfnJ3OFfwWfoREqn6PV4Lk51vJgQX8TQq57RlMBlqrs6Zg==" saltValue="nEgzFxFbgVPLkERO2GaVB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520 D2:H520 J2:J520 L2:L520" xr:uid="{4200F1A6-0BD1-4419-8808-406DAF254730}">
      <formula1>0</formula1>
    </dataValidation>
    <dataValidation type="date" operator="greaterThanOrEqual" allowBlank="1" showInputMessage="1" showErrorMessage="1" sqref="B2:B520 I2:I520 K2:K520 O2:O520" xr:uid="{9933615A-E8DC-4374-9F37-DBEB327467E5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A9778-885C-4E2F-9C95-F4D69172F138}">
  <dimension ref="A1:U654"/>
  <sheetViews>
    <sheetView topLeftCell="L97" workbookViewId="0">
      <selection activeCell="B101" sqref="B101:P101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1</v>
      </c>
      <c r="U4" s="22">
        <f>T4/S4</f>
        <v>1.9267822736030828E-3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>
        <v>45946</v>
      </c>
      <c r="C64" s="12"/>
      <c r="D64" s="30">
        <v>1</v>
      </c>
      <c r="E64" s="30">
        <v>180</v>
      </c>
      <c r="F64" s="30">
        <v>180</v>
      </c>
      <c r="G64" s="30">
        <v>0</v>
      </c>
      <c r="H64" s="30">
        <v>0</v>
      </c>
      <c r="I64" s="14"/>
      <c r="J64" s="30"/>
      <c r="K64" s="14"/>
      <c r="L64" s="30"/>
      <c r="M64" s="13" t="s">
        <v>22</v>
      </c>
      <c r="N64" s="15" t="s">
        <v>23</v>
      </c>
      <c r="O64" s="11">
        <v>45946</v>
      </c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/>
      <c r="C101" s="12"/>
      <c r="D101" s="30"/>
      <c r="E101" s="30"/>
      <c r="F101" s="30"/>
      <c r="G101" s="30"/>
      <c r="H101" s="30"/>
      <c r="I101" s="14"/>
      <c r="J101" s="30"/>
      <c r="K101" s="14"/>
      <c r="L101" s="30"/>
      <c r="M101" s="13"/>
      <c r="N101" s="15"/>
      <c r="O101" s="11"/>
      <c r="P101" s="33"/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algorithmName="SHA-512" hashValue="sCNvPmKIxJxnqyBucUZbj4+sZWGQy0OPOVZCBlXFKSz8jhpYfZDZdULJANMN9lx/sLnUTFVaaWyNZ6Eo/nGKQg==" saltValue="yq0bFlaRnhzKRBL1jAfMj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520 I2:I520 K2:K520 O2:O520" xr:uid="{47DE8FF1-9FF5-4D31-9D86-E958712E7F43}">
      <formula1>45658</formula1>
    </dataValidation>
    <dataValidation type="whole" operator="greaterThanOrEqual" allowBlank="1" showInputMessage="1" showErrorMessage="1" sqref="P2:P520 D2:H520 J2:J520 L2:L520" xr:uid="{AB4EA852-D71B-4446-8690-D9773FA2B823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752DB-3637-4D2E-AF33-6C0DC2FF56F8}">
  <dimension ref="A1:U654"/>
  <sheetViews>
    <sheetView topLeftCell="M94" workbookViewId="0">
      <selection activeCell="B101" sqref="B101:P101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1</v>
      </c>
      <c r="U4" s="22">
        <f>T4/S4</f>
        <v>1.9267822736030828E-3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>
        <v>45946</v>
      </c>
      <c r="C64" s="12"/>
      <c r="D64" s="30">
        <v>1</v>
      </c>
      <c r="E64" s="30">
        <v>180</v>
      </c>
      <c r="F64" s="30">
        <v>180</v>
      </c>
      <c r="G64" s="30">
        <v>0</v>
      </c>
      <c r="H64" s="30">
        <v>0</v>
      </c>
      <c r="I64" s="14"/>
      <c r="J64" s="30"/>
      <c r="K64" s="14"/>
      <c r="L64" s="30"/>
      <c r="M64" s="13" t="s">
        <v>22</v>
      </c>
      <c r="N64" s="15" t="s">
        <v>23</v>
      </c>
      <c r="O64" s="11">
        <v>45946</v>
      </c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/>
      <c r="C101" s="12"/>
      <c r="D101" s="30"/>
      <c r="E101" s="30"/>
      <c r="F101" s="30"/>
      <c r="G101" s="30"/>
      <c r="H101" s="30"/>
      <c r="I101" s="14"/>
      <c r="J101" s="30"/>
      <c r="K101" s="14"/>
      <c r="L101" s="30"/>
      <c r="M101" s="13"/>
      <c r="N101" s="15"/>
      <c r="O101" s="11"/>
      <c r="P101" s="33"/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algorithmName="SHA-512" hashValue="iX8Rm5rNAAsDiT2o/aYo9g4/m82WH924PR+2UEO4ZPIbFmjEBYWlFYmfY2aVweeh1dg7k6/BqBlTTByQV9Ccig==" saltValue="sowlX7I2yWHoyonvhggQj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520 D2:H520 J2:J520 L2:L520" xr:uid="{8F518256-D1D6-4A65-A8CE-D2028807F14E}">
      <formula1>0</formula1>
    </dataValidation>
    <dataValidation type="date" operator="greaterThanOrEqual" allowBlank="1" showInputMessage="1" showErrorMessage="1" sqref="B2:B520 I2:I520 K2:K520 O2:O520" xr:uid="{7F83AD9E-C790-4C6E-96B9-B96A4F93D173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F0356-C352-49B2-A0FF-51892EF6222E}">
  <dimension ref="A1:U654"/>
  <sheetViews>
    <sheetView topLeftCell="O89" workbookViewId="0">
      <selection activeCell="B101" sqref="B101:P101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1</v>
      </c>
      <c r="U4" s="22">
        <f>T4/S4</f>
        <v>1.9267822736030828E-3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>
        <v>45946</v>
      </c>
      <c r="C64" s="12"/>
      <c r="D64" s="30">
        <v>1</v>
      </c>
      <c r="E64" s="30">
        <v>180</v>
      </c>
      <c r="F64" s="30">
        <v>180</v>
      </c>
      <c r="G64" s="30">
        <v>0</v>
      </c>
      <c r="H64" s="30">
        <v>0</v>
      </c>
      <c r="I64" s="14"/>
      <c r="J64" s="30"/>
      <c r="K64" s="14"/>
      <c r="L64" s="30"/>
      <c r="M64" s="13" t="s">
        <v>22</v>
      </c>
      <c r="N64" s="15" t="s">
        <v>23</v>
      </c>
      <c r="O64" s="11">
        <v>45946</v>
      </c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/>
      <c r="C101" s="12"/>
      <c r="D101" s="30"/>
      <c r="E101" s="30"/>
      <c r="F101" s="30"/>
      <c r="G101" s="30"/>
      <c r="H101" s="30"/>
      <c r="I101" s="14"/>
      <c r="J101" s="30"/>
      <c r="K101" s="14"/>
      <c r="L101" s="30"/>
      <c r="M101" s="13"/>
      <c r="N101" s="15"/>
      <c r="O101" s="11"/>
      <c r="P101" s="33"/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algorithmName="SHA-512" hashValue="zVyWFLn2wbmPLXlfLfgzWzb2NALY2YhiEPlOeBbQDYNKm8XTcBKjBn7obbNrZ6hRmmFmYZRV1XIG3Btw9m/OXg==" saltValue="XdO6FkRAc/2BHrEHSqFef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520 I2:I520 K2:K520 O2:O520" xr:uid="{43474E37-706B-450C-8726-F53A2F7DD968}">
      <formula1>45658</formula1>
    </dataValidation>
    <dataValidation type="whole" operator="greaterThanOrEqual" allowBlank="1" showInputMessage="1" showErrorMessage="1" sqref="P2:P520 D2:H520 J2:J520 L2:L520" xr:uid="{82C55135-F9F2-4707-A6D7-FC6609563533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909BE-CE66-4B25-9D1D-18C1BD5CAABC}">
  <dimension ref="A1:U654"/>
  <sheetViews>
    <sheetView topLeftCell="A93" workbookViewId="0">
      <selection activeCell="I121" sqref="I121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1</v>
      </c>
      <c r="U4" s="22">
        <f>T4/S4</f>
        <v>1.9267822736030828E-3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>
        <v>45946</v>
      </c>
      <c r="C64" s="12"/>
      <c r="D64" s="30">
        <v>1</v>
      </c>
      <c r="E64" s="30">
        <v>180</v>
      </c>
      <c r="F64" s="30">
        <v>180</v>
      </c>
      <c r="G64" s="30">
        <v>0</v>
      </c>
      <c r="H64" s="30">
        <v>0</v>
      </c>
      <c r="I64" s="14"/>
      <c r="J64" s="30"/>
      <c r="K64" s="14"/>
      <c r="L64" s="30"/>
      <c r="M64" s="13" t="s">
        <v>22</v>
      </c>
      <c r="N64" s="15" t="s">
        <v>23</v>
      </c>
      <c r="O64" s="11">
        <v>45946</v>
      </c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/>
      <c r="C101" s="12"/>
      <c r="D101" s="30"/>
      <c r="E101" s="30"/>
      <c r="F101" s="30"/>
      <c r="G101" s="30"/>
      <c r="H101" s="30"/>
      <c r="I101" s="14"/>
      <c r="J101" s="30"/>
      <c r="K101" s="14"/>
      <c r="L101" s="30"/>
      <c r="M101" s="13"/>
      <c r="N101" s="15"/>
      <c r="O101" s="11"/>
      <c r="P101" s="33"/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P2:P520 D2:H520 J2:J520 L2:L520" xr:uid="{89D7AA60-7D3F-411F-9145-CF0CFFBFA8B7}">
      <formula1>0</formula1>
    </dataValidation>
    <dataValidation type="date" operator="greaterThanOrEqual" allowBlank="1" showInputMessage="1" showErrorMessage="1" sqref="B2:B520 I2:I520 K2:K520 O2:O520" xr:uid="{D8EA423A-F0C6-4A62-9FB3-F7728FCF1E90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48AA8-777E-4403-AE8B-51E4D0EAC653}">
  <dimension ref="A1:U654"/>
  <sheetViews>
    <sheetView tabSelected="1" workbookViewId="0">
      <selection activeCell="J20" sqref="J20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0</v>
      </c>
      <c r="U4" s="22">
        <f>T4/S4</f>
        <v>0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/>
      <c r="C64" s="12"/>
      <c r="D64" s="30"/>
      <c r="E64" s="30"/>
      <c r="F64" s="30"/>
      <c r="G64" s="30"/>
      <c r="H64" s="30"/>
      <c r="I64" s="14"/>
      <c r="J64" s="30"/>
      <c r="K64" s="14"/>
      <c r="L64" s="30"/>
      <c r="M64" s="13"/>
      <c r="N64" s="15"/>
      <c r="O64" s="11"/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/>
      <c r="C101" s="12"/>
      <c r="D101" s="30"/>
      <c r="E101" s="30"/>
      <c r="F101" s="30"/>
      <c r="G101" s="30"/>
      <c r="H101" s="30"/>
      <c r="I101" s="14"/>
      <c r="J101" s="30"/>
      <c r="K101" s="14"/>
      <c r="L101" s="30"/>
      <c r="M101" s="13"/>
      <c r="N101" s="15"/>
      <c r="O101" s="11"/>
      <c r="P101" s="33"/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B2:B520 I2:I520 K2:K520 O2:O520" xr:uid="{650BC2FD-0B55-45D0-9E84-E695D2012989}">
      <formula1>45658</formula1>
    </dataValidation>
    <dataValidation type="whole" operator="greaterThanOrEqual" allowBlank="1" showInputMessage="1" showErrorMessage="1" sqref="P2:P520 D2:H520 J2:J520 L2:L520" xr:uid="{BF61A3A8-9EE5-4790-9E36-4E37EFA834B4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74BF2-DC6B-41BD-B99F-2B362253A34A}">
  <dimension ref="A1:U654"/>
  <sheetViews>
    <sheetView workbookViewId="0">
      <selection activeCell="D16" sqref="D16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0</v>
      </c>
      <c r="U4" s="22">
        <f>T4/S4</f>
        <v>0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/>
      <c r="C64" s="12"/>
      <c r="D64" s="30"/>
      <c r="E64" s="30"/>
      <c r="F64" s="30"/>
      <c r="G64" s="30"/>
      <c r="H64" s="30"/>
      <c r="I64" s="14"/>
      <c r="J64" s="30"/>
      <c r="K64" s="14"/>
      <c r="L64" s="30"/>
      <c r="M64" s="13"/>
      <c r="N64" s="15"/>
      <c r="O64" s="11"/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/>
      <c r="C101" s="12"/>
      <c r="D101" s="30"/>
      <c r="E101" s="30"/>
      <c r="F101" s="30"/>
      <c r="G101" s="30"/>
      <c r="H101" s="30"/>
      <c r="I101" s="14"/>
      <c r="J101" s="30"/>
      <c r="K101" s="14"/>
      <c r="L101" s="30"/>
      <c r="M101" s="13"/>
      <c r="N101" s="15"/>
      <c r="O101" s="11"/>
      <c r="P101" s="33"/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P2:P520 D2:H520 J2:J520 L2:L520" xr:uid="{57346524-BF2A-40EB-B256-6720B4015C1C}">
      <formula1>0</formula1>
    </dataValidation>
    <dataValidation type="date" operator="greaterThanOrEqual" allowBlank="1" showInputMessage="1" showErrorMessage="1" sqref="B2:B520 I2:I520 K2:K520 O2:O520" xr:uid="{5BEC3391-D8E9-4429-A79A-CFDB354D2487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0E570-1711-451B-99FF-3C8AE41833B8}">
  <dimension ref="A1:U654"/>
  <sheetViews>
    <sheetView workbookViewId="0">
      <selection activeCell="H16" sqref="H16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0</v>
      </c>
      <c r="U4" s="22">
        <f>T4/S4</f>
        <v>0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/>
      <c r="C64" s="12"/>
      <c r="D64" s="30"/>
      <c r="E64" s="30"/>
      <c r="F64" s="30"/>
      <c r="G64" s="30"/>
      <c r="H64" s="30"/>
      <c r="I64" s="14"/>
      <c r="J64" s="30"/>
      <c r="K64" s="14"/>
      <c r="L64" s="30"/>
      <c r="M64" s="13"/>
      <c r="N64" s="15"/>
      <c r="O64" s="11"/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/>
      <c r="C101" s="12"/>
      <c r="D101" s="30"/>
      <c r="E101" s="30"/>
      <c r="F101" s="30"/>
      <c r="G101" s="30"/>
      <c r="H101" s="30"/>
      <c r="I101" s="14"/>
      <c r="J101" s="30"/>
      <c r="K101" s="14"/>
      <c r="L101" s="30"/>
      <c r="M101" s="13"/>
      <c r="N101" s="15"/>
      <c r="O101" s="11"/>
      <c r="P101" s="33"/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B2:B520 I2:I520 K2:K520 O2:O520" xr:uid="{86BBE107-9A6F-413B-B871-136E7275491E}">
      <formula1>45658</formula1>
    </dataValidation>
    <dataValidation type="whole" operator="greaterThanOrEqual" allowBlank="1" showInputMessage="1" showErrorMessage="1" sqref="P2:P520 D2:H520 J2:J520 L2:L520" xr:uid="{018FB9B6-68EC-42E6-A2B4-247E6B867945}">
      <formula1>0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9" ma:contentTypeDescription="Create a new document." ma:contentTypeScope="" ma:versionID="9d0a3a6d5f46151a18bbe240688808cd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031130cb593861622ae9b5a1f99c458a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74C3AC0-8520-42D5-A09F-6E17E2A17BDC}">
  <ds:schemaRefs>
    <ds:schemaRef ds:uri="http://purl.org/dc/dcmitype/"/>
    <ds:schemaRef ds:uri="d5486727-c7ef-48ef-8f67-294a70abf30d"/>
    <ds:schemaRef ds:uri="http://www.w3.org/XML/1998/namespace"/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f09d0ae9-c6ff-4e57-bd1f-955be6ad47ac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7ADEE0A6-69D2-41A1-8F78-257A4A346BA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114CD1D-D03F-49CF-AA4A-5EA03F4FC9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9d0ae9-c6ff-4e57-bd1f-955be6ad47ac"/>
    <ds:schemaRef ds:uri="d5486727-c7ef-48ef-8f67-294a70abf3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Picc line</vt:lpstr>
      <vt:lpstr>Repeat Attacks 1</vt:lpstr>
      <vt:lpstr>Repeat Attacks 2</vt:lpstr>
      <vt:lpstr>Repeat Attacks 3</vt:lpstr>
      <vt:lpstr>Repeat Attacks 4</vt:lpstr>
      <vt:lpstr>Repeat Attacks 5</vt:lpstr>
      <vt:lpstr>Repeat Attacks 6</vt:lpstr>
      <vt:lpstr>Repeat Attacks 7</vt:lpstr>
      <vt:lpstr>Repeat Attacks 8</vt:lpstr>
      <vt:lpstr>Repeat Attacks 9</vt:lpstr>
      <vt:lpstr>Repeat Attacks 10</vt:lpstr>
      <vt:lpstr>Repeat Attacks 11</vt:lpstr>
      <vt:lpstr>Repeat Attacks 12</vt:lpstr>
    </vt:vector>
  </TitlesOfParts>
  <Manager/>
  <Company>ABM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Mourad Zerrouk</dc:creator>
  <cp:keywords/>
  <dc:description/>
  <cp:lastModifiedBy>Horea Lazar</cp:lastModifiedBy>
  <cp:revision/>
  <dcterms:created xsi:type="dcterms:W3CDTF">2025-10-14T11:42:09Z</dcterms:created>
  <dcterms:modified xsi:type="dcterms:W3CDTF">2025-10-28T22:53:50Z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