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9" documentId="8_{C52D28C8-DB36-419C-9FE7-06F9832A3641}" xr6:coauthVersionLast="47" xr6:coauthVersionMax="47" xr10:uidLastSave="{6FAC0051-5B08-4512-89A3-261902FAFBA1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7" l="1"/>
  <c r="T4" i="17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<sst xmlns="http://schemas.openxmlformats.org/spreadsheetml/2006/main" count="1205" uniqueCount="111">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</sst>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AF3FE2-D9A6-4455-9CBD-73EEAE045100}" name="TagsRA10" displayName="TagsRA10" ref="A1:P341" totalsRowShown="0" headerRowDxfId="199" dataDxfId="198" tableBorderDxfId="197">
  <autoFilter ref="A1:P341" xr:uid="{90991185-A119-4635-9444-D621C29FCDB6}"/>
  <tableColumns count="16">
    <tableColumn id="1" xr3:uid="{75765AC7-2E94-4145-A099-60C9114EA75F}" name="Unit No." dataDxfId="196" dataCellStyle="Normal 2"/>
    <tableColumn id="2" xr3:uid="{035B02A7-1697-449D-8053-38D0AFADC9CD}" name="DATE" dataDxfId="195"/>
    <tableColumn id="3" xr3:uid="{677AB75F-D8E3-4AE2-B94C-64FD35BBAAA2}" name="Status" dataDxfId="194"/>
    <tableColumn id="4" xr3:uid="{5677CFED-769C-403D-9890-B18458BF09A6}" name="Number of cars affected by graffiti/shadows on this unit" dataDxfId="193"/>
    <tableColumn id="5" xr3:uid="{43BAE276-6D45-489E-8BE2-74BF538DB77E}" name="Total Number of Tags found" dataDxfId="192"/>
    <tableColumn id="6" xr3:uid="{F42034B4-1DD0-4AEA-88D0-BBFDDF3C1226}" name="Total Tags Removed / Cleaned" dataDxfId="191"/>
    <tableColumn id="7" xr3:uid="{C9F029C3-5594-4A70-9F0F-980226BCAB6A}" name="Total Tags Not Cleaned on this Unit" dataDxfId="190"/>
    <tableColumn id="8" xr3:uid="{AD91CFC0-3269-42A2-BB6B-2CA1224E7893}" name="Car Number (s)  of Tags not cleaned (shadows)" dataDxfId="189"/>
    <tableColumn id="9" xr3:uid="{B938D8DD-9C43-4F69-83C7-E744CE7924B0}" name="Date of 2nd visit to clean remaining tags" dataDxfId="188"/>
    <tableColumn id="10" xr3:uid="{44DB55EC-0636-4257-A262-219993F94438}" name="Number of tags removed" dataDxfId="187"/>
    <tableColumn id="11" xr3:uid="{BFD6507C-AABD-4DEC-84EE-139F23F75BC9}" name="Date of 3rd visit to clean remaining tags" dataDxfId="186"/>
    <tableColumn id="12" xr3:uid="{F1BFB93B-6576-45C2-8407-B3DEA9E52BBE}" name="Number of tags removed2" dataDxfId="185"/>
    <tableColumn id="13" xr3:uid="{59F88B94-6FDB-4D0B-8F37-CD8574FD7570}" name="Train Inspected and Fit for service    (Y/N)" dataDxfId="184"/>
    <tableColumn id="14" xr3:uid="{03D43280-2EF7-4D5B-862C-AA88411E4E6B}" name="Inspected by Supervisor/Manager (Name)" dataDxfId="183"/>
    <tableColumn id="15" xr3:uid="{BBF61316-C9AF-4AED-A389-051E1C11B22B}" name="Date of Completing all shadows (Tags) on this Unit excluding acid etched shadows" dataDxfId="182"/>
    <tableColumn id="16" xr3:uid="{FD33CA75-18DE-4BAF-9888-2D010CC31070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43D0FF-637E-41A8-8D4A-25CA53993B0F}" name="TagsRA11" displayName="TagsRA11" ref="A1:P341" totalsRowShown="0" headerRowDxfId="180" dataDxfId="179" tableBorderDxfId="178">
  <autoFilter ref="A1:P341" xr:uid="{90991185-A119-4635-9444-D621C29FCDB6}"/>
  <tableColumns count="16">
    <tableColumn id="1" xr3:uid="{8E240AA9-0323-4FFB-9402-4BFBBF4E0D78}" name="Unit No." dataDxfId="177" dataCellStyle="Normal 2"/>
    <tableColumn id="2" xr3:uid="{3476197F-78C3-4E22-A990-8813B3F04113}" name="DATE" dataDxfId="176"/>
    <tableColumn id="3" xr3:uid="{1254BDCF-B019-4471-86FD-87665DDCC594}" name="Status" dataDxfId="175"/>
    <tableColumn id="4" xr3:uid="{70135930-EACE-4F25-9323-2BE26670D747}" name="Number of cars affected by graffiti/shadows on this unit" dataDxfId="174"/>
    <tableColumn id="5" xr3:uid="{12323070-5401-4087-87AC-C48E8413164E}" name="Total Number of Tags found" dataDxfId="173"/>
    <tableColumn id="6" xr3:uid="{DA5037B8-3657-455D-B2E1-F0904D7F0F16}" name="Total Tags Removed / Cleaned" dataDxfId="172"/>
    <tableColumn id="7" xr3:uid="{8C242972-2328-458C-9FC5-3EC8DF5C1024}" name="Total Tags Not Cleaned on this Unit" dataDxfId="171"/>
    <tableColumn id="8" xr3:uid="{10D0D279-70BC-4BE4-8A27-278897067C95}" name="Car Number (s)  of Tags not cleaned (shadows)" dataDxfId="170"/>
    <tableColumn id="9" xr3:uid="{67EF2FA7-8FF1-40FE-9114-E87EC80B321D}" name="Date of 2nd visit to clean remaining tags" dataDxfId="169"/>
    <tableColumn id="10" xr3:uid="{5C0F5CFD-0A3B-4F58-ABCB-DC3FAE01585E}" name="Number of tags removed" dataDxfId="168"/>
    <tableColumn id="11" xr3:uid="{FC26B932-E7D5-4BDF-9B28-7A205C7DC481}" name="Date of 3rd visit to clean remaining tags" dataDxfId="167"/>
    <tableColumn id="12" xr3:uid="{787A3C99-F2C9-4530-BB26-151C114B829E}" name="Number of tags removed2" dataDxfId="166"/>
    <tableColumn id="13" xr3:uid="{C554DF64-7668-488A-862D-3E49331DF6C1}" name="Train Inspected and Fit for service    (Y/N)" dataDxfId="165"/>
    <tableColumn id="14" xr3:uid="{BAD5DFAB-3851-4030-9EE8-06EFC6DF34A4}" name="Inspected by Supervisor/Manager (Name)" dataDxfId="164"/>
    <tableColumn id="15" xr3:uid="{A775B07F-C283-45FC-829E-F0DCA914B245}" name="Date of Completing all shadows (Tags) on this Unit excluding acid etched shadows" dataDxfId="163"/>
    <tableColumn id="16" xr3:uid="{42E9C90D-1E5C-4948-B3B6-EC925E323243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A2475C-D043-4326-9B87-C05EF1B21606}" name="TagsRA12" displayName="TagsRA12" ref="A1:P341" totalsRowShown="0" headerRowDxfId="161" dataDxfId="160" tableBorderDxfId="159">
  <autoFilter ref="A1:P341" xr:uid="{90991185-A119-4635-9444-D621C29FCDB6}"/>
  <tableColumns count="16">
    <tableColumn id="1" xr3:uid="{3DED524F-3785-491F-8F88-03F4FF48B2C8}" name="Unit No." dataDxfId="158" dataCellStyle="Normal 2"/>
    <tableColumn id="2" xr3:uid="{5EC674F0-A198-4CAB-96A0-D165BE9C3DDA}" name="DATE" dataDxfId="157"/>
    <tableColumn id="3" xr3:uid="{5530EA10-C012-4A5E-A4C3-23216CFCF890}" name="Status" dataDxfId="156"/>
    <tableColumn id="4" xr3:uid="{1B2210FB-D666-4039-9BBF-77EF8A32BAE9}" name="Number of cars affected by graffiti/shadows on this unit" dataDxfId="155"/>
    <tableColumn id="5" xr3:uid="{447CC0CA-DE33-496F-8A31-C4605801908F}" name="Total Number of Tags found" dataDxfId="154"/>
    <tableColumn id="6" xr3:uid="{2DA24E7E-5E9E-4F1F-834F-091B4A8FA78D}" name="Total Tags Removed / Cleaned" dataDxfId="153"/>
    <tableColumn id="7" xr3:uid="{39EDCC8C-7198-4900-9DEF-49CE284D2CB2}" name="Total Tags Not Cleaned on this Unit" dataDxfId="152"/>
    <tableColumn id="8" xr3:uid="{60C1D1B0-8E19-4F57-80E4-6CFA8A273A6E}" name="Car Number (s)  of Tags not cleaned (shadows)" dataDxfId="151"/>
    <tableColumn id="9" xr3:uid="{EB779660-ED70-4008-BB46-65DE3B781913}" name="Date of 2nd visit to clean remaining tags" dataDxfId="150"/>
    <tableColumn id="10" xr3:uid="{F53E6E58-AE0A-4522-A480-718DABCABBB4}" name="Number of tags removed" dataDxfId="149"/>
    <tableColumn id="11" xr3:uid="{5A4D699F-6876-4B09-9DB7-7E74E3611C6D}" name="Date of 3rd visit to clean remaining tags" dataDxfId="148"/>
    <tableColumn id="12" xr3:uid="{C84E4018-F0C0-4FA5-B263-F3D1D8540705}" name="Number of tags removed2" dataDxfId="147"/>
    <tableColumn id="13" xr3:uid="{D0F715B5-9EB0-47F9-80D2-D5757D5FFD36}" name="Train Inspected and Fit for service    (Y/N)" dataDxfId="146"/>
    <tableColumn id="14" xr3:uid="{E06D0C92-50BC-4B7E-AD2C-CB1E259DBB8E}" name="Inspected by Supervisor/Manager (Name)" dataDxfId="145"/>
    <tableColumn id="15" xr3:uid="{5C27D11C-B633-4DA8-8642-497235CD1AF5}" name="Date of Completing all shadows (Tags) on this Unit excluding acid etched shadows" dataDxfId="144"/>
    <tableColumn id="16" xr3:uid="{5C963288-1CFE-4CFA-BBF9-60C4BFC003F0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249</v>
      </c>
      <c r="U4" s="53">
        <f>T4/S4*100</f>
        <v>73.235294117647058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 t="s">
        <v>85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86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87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88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89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90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91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92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93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94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95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96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98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99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100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101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103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102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102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102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102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138</v>
      </c>
      <c r="U4" s="53">
        <f>T4/S4*100</f>
        <v>40.588235294117645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104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8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104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104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104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104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103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105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104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104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104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103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106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106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106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106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106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107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106</v>
      </c>
      <c r="O242" s="51">
        <v>45929</v>
      </c>
      <c r="P242" s="47"/>
    </row>
    <row r="243" spans="1:16" x14ac:dyDescent="0.25">
      <c r="A243" s="55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106</v>
      </c>
      <c r="O244" s="51">
        <v>45895</v>
      </c>
      <c r="P244" s="47"/>
    </row>
    <row r="245" spans="1:16" x14ac:dyDescent="0.25">
      <c r="A245" s="55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106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102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108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106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106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106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102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107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106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106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106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102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107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106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102</v>
      </c>
      <c r="O314" s="51">
        <v>45809</v>
      </c>
      <c r="P314" s="47"/>
    </row>
    <row r="315" spans="1:16" x14ac:dyDescent="0.25">
      <c r="A315" s="55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102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106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102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105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106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106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106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102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102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106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106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258" workbookViewId="0">
      <selection activeCell="O276" sqref="O276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44</v>
      </c>
      <c r="U4" s="53">
        <f>T4/S4*100</f>
        <v>12.941176470588237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104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104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109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104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104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104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104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104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109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109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109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102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104</v>
      </c>
      <c r="O130" s="51">
        <v>45937</v>
      </c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102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104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104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110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110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104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8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110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321" workbookViewId="0">
      <selection activeCell="B160" sqref="B160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4</v>
      </c>
      <c r="U4" s="53">
        <f>T4/S4*100</f>
        <v>1.1764705882352942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102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102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102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102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121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D5" sqref="D5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activeCell="H20" sqref="H2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M10" sqref="M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907-CEC0-48F8-A427-B62359775925}">
  <dimension ref="A1:U341"/>
  <sheetViews>
    <sheetView topLeftCell="A30" workbookViewId="0">
      <selection activeCell="J53" sqref="J53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16E021DE-5B71-4E20-A95D-6F27DAE09A1B}">
      <formula1>0</formula1>
    </dataValidation>
    <dataValidation type="date" operator="greaterThanOrEqual" allowBlank="1" showInputMessage="1" showErrorMessage="1" sqref="B2:B341 I2:I341 K2:K341 O2:O341" xr:uid="{016294E0-4FF7-489E-8DA3-4BA2FC9C870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78F6F26-A7A5-4065-BD8A-2D0B1CBE6357}">
          <x14:formula1>
            <xm:f>Inspected!$A$1:$A$2</xm:f>
          </x14:formula1>
          <xm:sqref>N2:N341</xm:sqref>
        </x14:dataValidation>
        <x14:dataValidation type="list" allowBlank="1" showInputMessage="1" showErrorMessage="1" xr:uid="{185BDD20-586E-43AE-972E-05D57587F916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A5AA-DF41-4C79-9276-4776671C026E}">
  <dimension ref="A1:U341"/>
  <sheetViews>
    <sheetView topLeftCell="A30" workbookViewId="0">
      <selection activeCell="M10" sqref="M10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E9B2F843-0B84-4DD3-91F5-173CE23981A2}">
      <formula1>45658</formula1>
    </dataValidation>
    <dataValidation type="whole" operator="greaterThanOrEqual" allowBlank="1" showInputMessage="1" showErrorMessage="1" sqref="A2:A341 D2:H341 G1 J2:J341 L2:L341" xr:uid="{74158EE7-8C6C-4633-B58E-42B10352C182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B4CD47-7F9B-4C8E-9F46-3E5FF8F65F0F}">
          <x14:formula1>
            <xm:f>Inspected!$F$1</xm:f>
          </x14:formula1>
          <xm:sqref>C2:C341</xm:sqref>
        </x14:dataValidation>
        <x14:dataValidation type="list" allowBlank="1" showInputMessage="1" showErrorMessage="1" xr:uid="{EF2E1386-AD47-43CC-8EA8-FB12D6337C29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862D-950F-4242-8F42-1DA2C3FD9333}">
  <dimension ref="A1:U341"/>
  <sheetViews>
    <sheetView topLeftCell="A36" workbookViewId="0">
      <selection activeCell="N57" sqref="N57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CC7A1F66-70B8-41CE-8657-F761EDFCC84E}">
      <formula1>0</formula1>
    </dataValidation>
    <dataValidation type="date" operator="greaterThanOrEqual" allowBlank="1" showInputMessage="1" showErrorMessage="1" sqref="B2:B341 I2:I341 K2:K341 O2:O341" xr:uid="{84BF4CFE-4C42-4112-AB13-4F05739A56C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1CFE36-D658-4738-94B0-801196E02468}">
          <x14:formula1>
            <xm:f>Inspected!$A$1:$A$2</xm:f>
          </x14:formula1>
          <xm:sqref>N2:N341</xm:sqref>
        </x14:dataValidation>
        <x14:dataValidation type="list" allowBlank="1" showInputMessage="1" showErrorMessage="1" xr:uid="{C3AC3789-C299-4BF6-BD8B-F1260E0D65E8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ACBA7-647B-4ECC-AAD0-646BCC5983DC}"/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purl.org/dc/elements/1.1/"/>
    <ds:schemaRef ds:uri="http://schemas.microsoft.com/office/2006/metadata/properties"/>
    <ds:schemaRef ds:uri="d5486727-c7ef-48ef-8f67-294a70abf30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f09d0ae9-c6ff-4e57-bd1f-955be6ad47ac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2025-11-02T20:55:44Z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