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844" documentId="13_ncr:1_{396C4AB3-B9B8-4642-B625-64F39B46BC53}" xr6:coauthVersionLast="47" xr6:coauthVersionMax="47" xr10:uidLastSave="{B9D6AEC4-5E52-479B-B6B1-416DF0D4C712}"/>
  <bookViews>
    <workbookView xWindow="-108" yWindow="-108" windowWidth="23256" windowHeight="12456" tabRatio="823" firstSheet="7" activeTab="6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 l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12" l="1"/>
  <c r="U4" i="7"/>
  <c r="U4" i="3"/>
  <c r="U4" i="1"/>
</calcChain>
</file>

<file path=xl/sharedStrings.xml><?xml version="1.0" encoding="utf-8"?>
<sst xmlns="http://schemas.openxmlformats.org/spreadsheetml/2006/main" count="1148" uniqueCount="35">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</sst>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>
    <filterColumn colId="1">
      <filters blank="1">
        <dateGroupItem year="2025" month="6" dateTimeGrouping="month"/>
        <dateGroupItem year="2025" month="7" dateTimeGrouping="month"/>
        <dateGroupItem year="2025" month="9" dateTimeGrouping="month"/>
        <dateGroupItem year="2025" month="10" dateTimeGrouping="month"/>
      </filters>
    </filterColumn>
  </autoFilter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BC474-C22D-4A96-83E2-8EB33CE8C32D}" name="TagsRA10" displayName="TagsRA10" ref="A1:P73" totalsRowShown="0" headerRowDxfId="53" tableBorderDxfId="52">
  <autoFilter ref="A1:P73" xr:uid="{30E73D74-4515-4083-9342-4DA04CAF52D8}"/>
  <tableColumns count="16">
    <tableColumn id="1" xr3:uid="{E140CCE0-4D78-4872-A670-A0E9679FCEF8}" name="Unit No." dataDxfId="51"/>
    <tableColumn id="2" xr3:uid="{4E50D218-54A9-4CC4-B248-F7480840ACE7}" name="DATE" dataDxfId="50"/>
    <tableColumn id="3" xr3:uid="{CCC84767-1830-473D-9D27-D22CF27F0DC4}" name="Status" dataDxfId="49"/>
    <tableColumn id="4" xr3:uid="{FF3E7ED9-CECF-4350-AE62-A9C05FB1F4D9}" name="Number of cars affected by graffiti/shadows on this unit" dataDxfId="48"/>
    <tableColumn id="5" xr3:uid="{6EC05EC2-69BA-4E91-9C04-73E3C61BAE3A}" name="Total Number of Tags found" dataDxfId="47"/>
    <tableColumn id="6" xr3:uid="{51587737-6492-4302-8BD4-7C40C8F1723F}" name="Total Tags Removed / Cleaned" dataDxfId="46"/>
    <tableColumn id="7" xr3:uid="{2E635A63-0591-4901-9F82-B39B4359D8C8}" name="Total Tags Not Cleaned on this Unit" dataDxfId="45"/>
    <tableColumn id="8" xr3:uid="{9C08FB63-1B43-4D09-9891-A7DA2051742E}" name="Car Number (s)  of Tags not cleaned (shadows)" dataDxfId="44"/>
    <tableColumn id="9" xr3:uid="{8A2F364A-F831-4665-8E4A-68CC32BC4CAC}" name="Date of 2nd visit to clean remaining tags" dataDxfId="43"/>
    <tableColumn id="10" xr3:uid="{21F87275-1095-4EC8-9115-11EE6D6B77DE}" name="Number of tags removed" dataDxfId="42"/>
    <tableColumn id="11" xr3:uid="{95FF9989-B95C-431A-8F20-5C7389692007}" name="Date of 3rd visit to clean remaining tags" dataDxfId="41"/>
    <tableColumn id="12" xr3:uid="{EC816D2B-7835-4581-929D-E822FCE3CCAA}" name="Number of tags removed2" dataDxfId="40"/>
    <tableColumn id="13" xr3:uid="{8E861BAA-50F0-4937-A885-7F123007F0E9}" name="Train Inspected and Fit for service    (Y/N)" dataDxfId="39"/>
    <tableColumn id="14" xr3:uid="{2ABEE21F-2C8E-4979-A909-C7CD91E7C51E}" name="Inspected by Supervisor/Manager (Name)" dataDxfId="38"/>
    <tableColumn id="15" xr3:uid="{7714BF7B-B707-4A5A-9EE9-3B6AA3394B22}" name="Date of Completing all shadows (Tags) on this Unit excluding acid etched shadows" dataDxfId="37"/>
    <tableColumn id="16" xr3:uid="{0A70A979-FC2C-4614-A3BC-98617BA8244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0BFE66-08EA-42D1-A15F-F630463D52B0}" name="TagsRA11" displayName="TagsRA11" ref="A1:P73" totalsRowShown="0" headerRowDxfId="35" tableBorderDxfId="34">
  <autoFilter ref="A1:P73" xr:uid="{30E73D74-4515-4083-9342-4DA04CAF52D8}"/>
  <tableColumns count="16">
    <tableColumn id="1" xr3:uid="{4BE01FA9-8A41-40C3-A217-9BD70D602A0A}" name="Unit No." dataDxfId="33"/>
    <tableColumn id="2" xr3:uid="{E83A4A98-9DC6-4C9E-9869-55192172108A}" name="DATE" dataDxfId="32"/>
    <tableColumn id="3" xr3:uid="{DF2C43B1-B63F-4AAB-9A93-C22651D8DAD7}" name="Status" dataDxfId="31"/>
    <tableColumn id="4" xr3:uid="{D318E72D-DD13-4377-A419-D5118E1F7147}" name="Number of cars affected by graffiti/shadows on this unit" dataDxfId="30"/>
    <tableColumn id="5" xr3:uid="{C6B0DEB1-4600-4241-89BA-22EA2E9EE482}" name="Total Number of Tags found" dataDxfId="29"/>
    <tableColumn id="6" xr3:uid="{C99CA233-E143-45E7-9863-4B933DF10433}" name="Total Tags Removed / Cleaned" dataDxfId="28"/>
    <tableColumn id="7" xr3:uid="{FD8310F0-7E3A-411B-AC76-F417304426C4}" name="Total Tags Not Cleaned on this Unit" dataDxfId="27"/>
    <tableColumn id="8" xr3:uid="{DA0AA8F9-E2C2-4CA4-A7DC-70B31CAD7006}" name="Car Number (s)  of Tags not cleaned (shadows)" dataDxfId="26"/>
    <tableColumn id="9" xr3:uid="{1FBE74A9-3E62-4E36-8A8F-FD2D3BC5EAFF}" name="Date of 2nd visit to clean remaining tags" dataDxfId="25"/>
    <tableColumn id="10" xr3:uid="{DE026A54-AFD7-4F7E-8261-FA70C14DD766}" name="Number of tags removed" dataDxfId="24"/>
    <tableColumn id="11" xr3:uid="{7889A2DC-375C-484B-BEF6-60647D3688CF}" name="Date of 3rd visit to clean remaining tags" dataDxfId="23"/>
    <tableColumn id="12" xr3:uid="{63620FC1-791D-4F42-AE0A-1914F8444C23}" name="Number of tags removed2" dataDxfId="22"/>
    <tableColumn id="13" xr3:uid="{BA97DFAB-9005-4937-8EE6-F62AADF0C20D}" name="Train Inspected and Fit for service    (Y/N)" dataDxfId="21"/>
    <tableColumn id="14" xr3:uid="{DC7D172E-D8E7-40CC-A8BF-D0D9AE80370F}" name="Inspected by Supervisor/Manager (Name)" dataDxfId="20"/>
    <tableColumn id="15" xr3:uid="{7DD2E436-24C8-46BC-B68B-D145F9866007}" name="Date of Completing all shadows (Tags) on this Unit excluding acid etched shadows" dataDxfId="19"/>
    <tableColumn id="16" xr3:uid="{B9C7A0FC-FA2F-45CD-99BC-2BBA1CF4440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22A180-2767-462C-B9EA-3B155CD89F6C}" name="TagsRA12" displayName="TagsRA12" ref="A1:P73" totalsRowShown="0" headerRowDxfId="17" tableBorderDxfId="16">
  <autoFilter ref="A1:P73" xr:uid="{30E73D74-4515-4083-9342-4DA04CAF52D8}"/>
  <tableColumns count="16">
    <tableColumn id="1" xr3:uid="{B65DF3CF-F7D7-4D9B-B1D1-3B59000AD349}" name="Unit No." dataDxfId="15"/>
    <tableColumn id="2" xr3:uid="{808C7654-4C9A-4971-8A12-4F86C0680BA1}" name="DATE" dataDxfId="14"/>
    <tableColumn id="3" xr3:uid="{1A08FD73-A197-4CDA-B5F0-1B30A2DF79B6}" name="Status" dataDxfId="13"/>
    <tableColumn id="4" xr3:uid="{32D2DCC6-5563-4EDB-8E22-C83875EA96EB}" name="Number of cars affected by graffiti/shadows on this unit" dataDxfId="12"/>
    <tableColumn id="5" xr3:uid="{14A583C5-AD6B-4CF3-AE87-012C92921B79}" name="Total Number of Tags found" dataDxfId="11"/>
    <tableColumn id="6" xr3:uid="{F69A8612-C441-49CD-87CD-DD6480E5B470}" name="Total Tags Removed / Cleaned" dataDxfId="10"/>
    <tableColumn id="7" xr3:uid="{83ED0424-0624-49A0-9A50-14CC99825F21}" name="Total Tags Not Cleaned on this Unit" dataDxfId="9"/>
    <tableColumn id="8" xr3:uid="{BDB89543-1F40-458F-A957-5A5911A88FC4}" name="Car Number (s)  of Tags not cleaned (shadows)" dataDxfId="8"/>
    <tableColumn id="9" xr3:uid="{CCFF2B94-5B29-46FC-9AC9-4A37609E3FF2}" name="Date of 2nd visit to clean remaining tags" dataDxfId="7"/>
    <tableColumn id="10" xr3:uid="{96686CCB-0B3A-437B-A190-336783C47DEA}" name="Number of tags removed" dataDxfId="6"/>
    <tableColumn id="11" xr3:uid="{E0B2AC55-2ABF-4188-86AF-DBAD8B5E6757}" name="Date of 3rd visit to clean remaining tags" dataDxfId="5"/>
    <tableColumn id="12" xr3:uid="{7C736CA7-5FED-483A-8B1E-B31F98BABE45}" name="Number of tags removed2" dataDxfId="4"/>
    <tableColumn id="13" xr3:uid="{44135605-1D16-4A0D-B215-0FF558214D02}" name="Train Inspected and Fit for service    (Y/N)" dataDxfId="3"/>
    <tableColumn id="14" xr3:uid="{73281F92-7904-4855-8562-A9D1D37707CE}" name="Inspected by Supervisor/Manager (Name)" dataDxfId="2"/>
    <tableColumn id="15" xr3:uid="{30595DE0-B47F-45F2-989E-E23B2CFC6F77}" name="Date of Completing all shadows (Tags) on this Unit excluding acid etched shadows" dataDxfId="1"/>
    <tableColumn id="16" xr3:uid="{2DF9927D-6D05-48C9-AE9B-558DF8DAF62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4.45"/>
  <sheetData>
    <row r="1" spans="1:4">
      <c r="A1" t="s">
        <v>0</v>
      </c>
      <c r="D1" t="s">
        <v>1</v>
      </c>
    </row>
    <row r="2" spans="1:4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24" workbookViewId="0">
      <selection activeCell="N12" sqref="N12"/>
    </sheetView>
  </sheetViews>
  <sheetFormatPr defaultColWidth="19.140625" defaultRowHeight="14.4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3.9" thickBot="1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>
      <c r="A75" s="27" t="s">
        <v>26</v>
      </c>
      <c r="B75" s="28"/>
    </row>
    <row r="76" spans="1:16" ht="28.9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3" workbookViewId="0">
      <selection activeCell="O39" sqref="O39"/>
    </sheetView>
  </sheetViews>
  <sheetFormatPr defaultColWidth="15.5703125" defaultRowHeight="14.4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3.9" thickBot="1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65</v>
      </c>
      <c r="U4" s="16">
        <f>T4/S4</f>
        <v>0.90277777777777779</v>
      </c>
    </row>
    <row r="5" spans="1:21" ht="15" customHeight="1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>
      <c r="A26" s="63">
        <v>3256</v>
      </c>
      <c r="B26" s="55">
        <v>45956</v>
      </c>
      <c r="C26" s="8"/>
      <c r="D26" s="59">
        <v>1</v>
      </c>
      <c r="E26" s="59">
        <v>3</v>
      </c>
      <c r="F26" s="59">
        <v>3</v>
      </c>
      <c r="G26" s="59">
        <v>0</v>
      </c>
      <c r="H26" s="59">
        <v>0</v>
      </c>
      <c r="I26" s="55"/>
      <c r="J26" s="59"/>
      <c r="K26" s="55"/>
      <c r="L26" s="59"/>
      <c r="M26" s="22" t="s">
        <v>0</v>
      </c>
      <c r="N26" s="25" t="s">
        <v>19</v>
      </c>
      <c r="O26" s="51">
        <v>45956</v>
      </c>
      <c r="P26" s="61">
        <v>3256</v>
      </c>
    </row>
    <row r="27" spans="1:16" ht="15" customHeight="1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5">
        <v>3534</v>
      </c>
      <c r="B41" s="55">
        <v>45960</v>
      </c>
      <c r="C41" s="8"/>
      <c r="D41" s="59">
        <v>1</v>
      </c>
      <c r="E41" s="59">
        <v>24</v>
      </c>
      <c r="F41" s="59">
        <v>24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45960</v>
      </c>
      <c r="P41" s="61">
        <v>3534</v>
      </c>
    </row>
    <row r="42" spans="1:16" ht="15" customHeight="1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Q34" sqref="Q34"/>
    </sheetView>
  </sheetViews>
  <sheetFormatPr defaultColWidth="19.5703125" defaultRowHeight="14.4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57</v>
      </c>
      <c r="U4" s="16">
        <f>T4/S4</f>
        <v>0.79166666666666663</v>
      </c>
    </row>
    <row r="5" spans="1:21" ht="15" customHeight="1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>
      <c r="A36" s="65">
        <v>3267</v>
      </c>
      <c r="B36" s="51">
        <v>45961</v>
      </c>
      <c r="C36" s="8"/>
      <c r="D36" s="59">
        <v>3</v>
      </c>
      <c r="E36" s="59">
        <v>18</v>
      </c>
      <c r="F36" s="59">
        <v>18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45961</v>
      </c>
      <c r="P36" s="61">
        <v>3267</v>
      </c>
    </row>
    <row r="37" spans="1:16" ht="15" customHeight="1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topLeftCell="A4" workbookViewId="0">
      <selection activeCell="P16" sqref="P16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hidden="1" customHeight="1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8">
        <v>3233</v>
      </c>
      <c r="B4" s="51">
        <v>45963</v>
      </c>
      <c r="C4" s="8"/>
      <c r="D4" s="59">
        <v>1</v>
      </c>
      <c r="E4" s="59">
        <v>9</v>
      </c>
      <c r="F4" s="59">
        <v>9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45963</v>
      </c>
      <c r="P4" s="61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hidden="1" customHeight="1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>
      <c r="A7" s="63">
        <v>3236</v>
      </c>
      <c r="B7" s="51">
        <v>45965</v>
      </c>
      <c r="C7" s="8"/>
      <c r="D7" s="59">
        <v>3</v>
      </c>
      <c r="E7" s="59">
        <v>60</v>
      </c>
      <c r="F7" s="59">
        <v>60</v>
      </c>
      <c r="G7" s="59">
        <v>60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45965</v>
      </c>
      <c r="P7" s="61">
        <v>3236</v>
      </c>
    </row>
    <row r="8" spans="1:21" ht="15" hidden="1" customHeight="1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>
      <c r="A10" s="63">
        <v>3239</v>
      </c>
      <c r="B10" s="51">
        <v>45960</v>
      </c>
      <c r="C10" s="8"/>
      <c r="D10" s="59">
        <v>2</v>
      </c>
      <c r="E10" s="59">
        <v>24</v>
      </c>
      <c r="F10" s="59">
        <v>24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45960</v>
      </c>
      <c r="P10" s="61">
        <v>3239</v>
      </c>
    </row>
    <row r="11" spans="1:21" ht="15" customHeight="1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hidden="1" customHeight="1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hidden="1" customHeight="1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hidden="1" customHeight="1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hidden="1" customHeight="1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>
      <c r="A20" s="63">
        <v>3250</v>
      </c>
      <c r="B20" s="51">
        <v>45956</v>
      </c>
      <c r="C20" s="8"/>
      <c r="D20" s="59">
        <v>1</v>
      </c>
      <c r="E20" s="59">
        <v>4</v>
      </c>
      <c r="F20" s="59">
        <v>4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45956</v>
      </c>
      <c r="P20" s="61">
        <v>3250</v>
      </c>
    </row>
    <row r="21" spans="1:16" ht="15" customHeight="1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>
      <c r="A25" s="63">
        <v>3255</v>
      </c>
      <c r="B25" s="51">
        <v>45954</v>
      </c>
      <c r="C25" s="8"/>
      <c r="D25" s="59">
        <v>3</v>
      </c>
      <c r="E25" s="59">
        <v>29</v>
      </c>
      <c r="F25" s="59">
        <v>29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45954</v>
      </c>
      <c r="P25" s="61">
        <v>3255</v>
      </c>
    </row>
    <row r="26" spans="1:16" ht="15" customHeight="1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hidden="1" customHeight="1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hidden="1" customHeight="1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hidden="1" customHeight="1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hidden="1" customHeight="1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hidden="1" customHeight="1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hidden="1" customHeight="1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hidden="1" customHeight="1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hidden="1" customHeight="1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hidden="1" customHeight="1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hidden="1" customHeight="1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hidden="1" customHeight="1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hidden="1" customHeight="1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hidden="1" customHeight="1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hidden="1" customHeight="1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hidden="1" customHeight="1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>
      <c r="P74" s="30"/>
    </row>
    <row r="75" spans="1:16">
      <c r="P75" s="30"/>
    </row>
    <row r="76" spans="1:16">
      <c r="P76" s="30"/>
    </row>
    <row r="77" spans="1:16">
      <c r="P77" s="30"/>
    </row>
    <row r="78" spans="1:16">
      <c r="P78" s="30"/>
    </row>
    <row r="79" spans="1:16">
      <c r="P79" s="30"/>
    </row>
    <row r="80" spans="1:16">
      <c r="P80" s="30"/>
    </row>
    <row r="81" spans="16:16">
      <c r="P81" s="30"/>
    </row>
    <row r="82" spans="16:16">
      <c r="P82" s="30"/>
    </row>
    <row r="83" spans="16:16">
      <c r="P83" s="30"/>
    </row>
    <row r="84" spans="16:16">
      <c r="P84" s="30"/>
    </row>
    <row r="85" spans="16:16">
      <c r="P85" s="30"/>
    </row>
    <row r="86" spans="16:16">
      <c r="P86" s="30"/>
    </row>
    <row r="87" spans="16:16">
      <c r="P87" s="30"/>
    </row>
    <row r="88" spans="16:16">
      <c r="P88" s="30"/>
    </row>
    <row r="89" spans="16:16">
      <c r="P89" s="30"/>
    </row>
    <row r="90" spans="16:16">
      <c r="P90" s="30"/>
    </row>
    <row r="91" spans="16:16">
      <c r="P91" s="30"/>
    </row>
    <row r="92" spans="16:16">
      <c r="P92" s="30"/>
    </row>
    <row r="93" spans="16:16">
      <c r="P93" s="30"/>
    </row>
    <row r="94" spans="16:16">
      <c r="P94" s="30"/>
    </row>
    <row r="95" spans="16:16">
      <c r="P95" s="30"/>
    </row>
    <row r="96" spans="16:16">
      <c r="P96" s="31"/>
    </row>
    <row r="97" spans="16:16">
      <c r="P97" s="30"/>
    </row>
    <row r="98" spans="16:16">
      <c r="P98" s="30"/>
    </row>
    <row r="99" spans="16:16">
      <c r="P99" s="30"/>
    </row>
    <row r="100" spans="16:16">
      <c r="P100" s="30"/>
    </row>
    <row r="101" spans="16:16">
      <c r="P101" s="30"/>
    </row>
    <row r="102" spans="16:16">
      <c r="P102" s="30"/>
    </row>
    <row r="103" spans="16:16">
      <c r="P103" s="30"/>
    </row>
    <row r="104" spans="16:16">
      <c r="P104" s="30"/>
    </row>
    <row r="105" spans="16:16">
      <c r="P105" s="30"/>
    </row>
    <row r="106" spans="16:16">
      <c r="P106" s="30"/>
    </row>
    <row r="107" spans="16:16">
      <c r="P107" s="30"/>
    </row>
    <row r="108" spans="16:16">
      <c r="P108" s="30"/>
    </row>
    <row r="109" spans="16:16">
      <c r="P109" s="30"/>
    </row>
    <row r="110" spans="16:16">
      <c r="P110" s="30"/>
    </row>
    <row r="111" spans="16:16">
      <c r="P111" s="30"/>
    </row>
    <row r="112" spans="16:16">
      <c r="P112" s="30"/>
    </row>
    <row r="113" spans="16:16">
      <c r="P113" s="30"/>
    </row>
    <row r="114" spans="16:16">
      <c r="P114" s="30"/>
    </row>
    <row r="115" spans="16:16">
      <c r="P115" s="30"/>
    </row>
    <row r="116" spans="16:16">
      <c r="P116" s="30"/>
    </row>
    <row r="117" spans="16:16">
      <c r="P117" s="30"/>
    </row>
    <row r="118" spans="16:16">
      <c r="P118" s="30"/>
    </row>
    <row r="119" spans="16:16">
      <c r="P119" s="30"/>
    </row>
    <row r="120" spans="16:16">
      <c r="P120" s="30"/>
    </row>
    <row r="121" spans="16:16">
      <c r="P121" s="30"/>
    </row>
    <row r="122" spans="16:16">
      <c r="P122" s="30"/>
    </row>
    <row r="123" spans="16:16">
      <c r="P123" s="30"/>
    </row>
    <row r="124" spans="16:16">
      <c r="P124" s="30"/>
    </row>
    <row r="125" spans="16:16">
      <c r="P125" s="30"/>
    </row>
    <row r="126" spans="16:16">
      <c r="P126" s="30"/>
    </row>
    <row r="127" spans="16:16">
      <c r="P127" s="30"/>
    </row>
    <row r="128" spans="16:16">
      <c r="P128" s="30"/>
    </row>
    <row r="129" spans="16:16">
      <c r="P129" s="30"/>
    </row>
    <row r="130" spans="16:16">
      <c r="P130" s="30"/>
    </row>
    <row r="131" spans="16:16">
      <c r="P131" s="30"/>
    </row>
    <row r="132" spans="16:16">
      <c r="P132" s="30"/>
    </row>
    <row r="133" spans="16:16">
      <c r="P133" s="30"/>
    </row>
    <row r="134" spans="16:16">
      <c r="P134" s="30"/>
    </row>
    <row r="135" spans="16:16">
      <c r="P135" s="30"/>
    </row>
    <row r="136" spans="16:16">
      <c r="P136" s="30"/>
    </row>
    <row r="137" spans="16:16">
      <c r="P137" s="30"/>
    </row>
    <row r="138" spans="16:16">
      <c r="P138" s="30"/>
    </row>
    <row r="139" spans="16:16">
      <c r="P139" s="30"/>
    </row>
    <row r="140" spans="16:16">
      <c r="P140" s="30"/>
    </row>
    <row r="141" spans="16:16">
      <c r="P141" s="30"/>
    </row>
    <row r="142" spans="16:16">
      <c r="P142" s="30"/>
    </row>
    <row r="143" spans="16:16">
      <c r="P143" s="30"/>
    </row>
    <row r="144" spans="16:16">
      <c r="P144" s="30"/>
    </row>
    <row r="145" spans="16:16">
      <c r="P145" s="30"/>
    </row>
    <row r="146" spans="16:16">
      <c r="P146" s="30"/>
    </row>
    <row r="147" spans="16:16">
      <c r="P147" s="30"/>
    </row>
    <row r="148" spans="16:16">
      <c r="P148" s="30"/>
    </row>
    <row r="149" spans="16:16">
      <c r="P149" s="30"/>
    </row>
    <row r="150" spans="16:16">
      <c r="P150" s="30"/>
    </row>
    <row r="151" spans="16:16">
      <c r="P151" s="30"/>
    </row>
    <row r="152" spans="16:16">
      <c r="P152" s="30"/>
    </row>
    <row r="153" spans="16:16">
      <c r="P153" s="30"/>
    </row>
    <row r="154" spans="16:16">
      <c r="P154" s="30"/>
    </row>
    <row r="155" spans="16:16">
      <c r="P155" s="30"/>
    </row>
    <row r="156" spans="16:16">
      <c r="P156" s="30"/>
    </row>
    <row r="157" spans="16:16">
      <c r="P157" s="30"/>
    </row>
    <row r="158" spans="16:16">
      <c r="P158" s="30"/>
    </row>
    <row r="159" spans="16:16">
      <c r="P159" s="30"/>
    </row>
    <row r="160" spans="16:16">
      <c r="P160" s="30"/>
    </row>
    <row r="161" spans="16:16">
      <c r="P161" s="30"/>
    </row>
    <row r="162" spans="16:16">
      <c r="P162" s="30"/>
    </row>
    <row r="163" spans="16:16">
      <c r="P163" s="30"/>
    </row>
    <row r="164" spans="16:16">
      <c r="P164" s="30"/>
    </row>
    <row r="165" spans="16:16">
      <c r="P165" s="30"/>
    </row>
    <row r="166" spans="16:16">
      <c r="P166" s="30"/>
    </row>
    <row r="167" spans="16:16">
      <c r="P167" s="30"/>
    </row>
    <row r="168" spans="16:16">
      <c r="P168" s="30"/>
    </row>
    <row r="169" spans="16:16">
      <c r="P169" s="30"/>
    </row>
    <row r="170" spans="16:16">
      <c r="P170" s="30"/>
    </row>
    <row r="171" spans="16:16">
      <c r="P171" s="30"/>
    </row>
    <row r="172" spans="16:16">
      <c r="P172" s="30"/>
    </row>
    <row r="173" spans="16:16">
      <c r="P173" s="30"/>
    </row>
    <row r="174" spans="16:16">
      <c r="P174" s="30"/>
    </row>
    <row r="175" spans="16:16">
      <c r="P175" s="30"/>
    </row>
    <row r="176" spans="16:16">
      <c r="P176" s="30"/>
    </row>
    <row r="177" spans="16:16">
      <c r="P177" s="30"/>
    </row>
    <row r="178" spans="16:16">
      <c r="P178" s="30"/>
    </row>
    <row r="179" spans="16:16">
      <c r="P179" s="31"/>
    </row>
    <row r="180" spans="16:16">
      <c r="P180" s="30"/>
    </row>
    <row r="181" spans="16:16">
      <c r="P181" s="30"/>
    </row>
    <row r="182" spans="16:16">
      <c r="P182" s="30"/>
    </row>
    <row r="183" spans="16:16">
      <c r="P183" s="30"/>
    </row>
    <row r="184" spans="16:16">
      <c r="P184" s="30"/>
    </row>
    <row r="185" spans="16:16">
      <c r="P185" s="30"/>
    </row>
    <row r="186" spans="16:16">
      <c r="P186" s="30"/>
    </row>
    <row r="187" spans="16:16">
      <c r="P187" s="30"/>
    </row>
    <row r="188" spans="16:16">
      <c r="P188" s="30"/>
    </row>
    <row r="189" spans="16:16">
      <c r="P189" s="30"/>
    </row>
    <row r="190" spans="16:16">
      <c r="P190" s="30"/>
    </row>
    <row r="191" spans="16:16">
      <c r="P191" s="30"/>
    </row>
    <row r="192" spans="16:16">
      <c r="P192" s="30"/>
    </row>
    <row r="193" spans="16:16">
      <c r="P193" s="30"/>
    </row>
    <row r="194" spans="16:16">
      <c r="P194" s="30"/>
    </row>
    <row r="195" spans="16:16">
      <c r="P195" s="30"/>
    </row>
    <row r="196" spans="16:16">
      <c r="P196" s="30"/>
    </row>
    <row r="197" spans="16:16">
      <c r="P197" s="30"/>
    </row>
    <row r="198" spans="16:16">
      <c r="P198" s="30"/>
    </row>
    <row r="199" spans="16:16">
      <c r="P199" s="30"/>
    </row>
    <row r="200" spans="16:16">
      <c r="P200" s="30"/>
    </row>
    <row r="201" spans="16:16">
      <c r="P201" s="30"/>
    </row>
    <row r="202" spans="16:16">
      <c r="P202" s="30"/>
    </row>
    <row r="203" spans="16:16">
      <c r="P203" s="30"/>
    </row>
    <row r="204" spans="16:16">
      <c r="P204" s="30"/>
    </row>
    <row r="205" spans="16:16">
      <c r="P205" s="30"/>
    </row>
    <row r="206" spans="16:16">
      <c r="P206" s="30"/>
    </row>
    <row r="207" spans="16:16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topLeftCell="A33" workbookViewId="0">
      <selection activeCell="L17" sqref="L17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51</v>
      </c>
      <c r="U4" s="21">
        <f>T4/S4</f>
        <v>0.70833333333333337</v>
      </c>
    </row>
    <row r="5" spans="1:21" ht="15" customHeight="1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>
      <c r="A6" s="9">
        <v>3235</v>
      </c>
      <c r="B6" s="51">
        <v>45956</v>
      </c>
      <c r="C6" s="8"/>
      <c r="D6" s="59">
        <v>1</v>
      </c>
      <c r="E6" s="59">
        <v>1</v>
      </c>
      <c r="F6" s="59">
        <v>1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45956</v>
      </c>
      <c r="P6" s="61">
        <v>3235</v>
      </c>
    </row>
    <row r="7" spans="1:21" ht="15" customHeight="1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>
      <c r="A10" s="9">
        <v>3239</v>
      </c>
      <c r="B10" s="51">
        <v>45966</v>
      </c>
      <c r="C10" s="8"/>
      <c r="D10" s="59">
        <v>4</v>
      </c>
      <c r="E10" s="59">
        <v>32</v>
      </c>
      <c r="F10" s="59">
        <v>32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45966</v>
      </c>
      <c r="P10" s="61">
        <v>3239</v>
      </c>
    </row>
    <row r="11" spans="1:21" ht="15" customHeight="1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>
      <c r="A20" s="18">
        <v>3250</v>
      </c>
      <c r="B20" s="51">
        <v>45963</v>
      </c>
      <c r="C20" s="8"/>
      <c r="D20" s="59">
        <v>2</v>
      </c>
      <c r="E20" s="59">
        <v>11</v>
      </c>
      <c r="F20" s="59">
        <v>11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45963</v>
      </c>
      <c r="P20" s="61">
        <v>3250</v>
      </c>
    </row>
    <row r="21" spans="1:16" ht="15" customHeight="1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3">
        <v>3254</v>
      </c>
      <c r="B24" s="51">
        <v>45960</v>
      </c>
      <c r="C24" s="8"/>
      <c r="D24" s="59">
        <v>1</v>
      </c>
      <c r="E24" s="59">
        <v>13</v>
      </c>
      <c r="F24" s="59">
        <v>13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45960</v>
      </c>
      <c r="P24" s="61">
        <v>3254</v>
      </c>
    </row>
    <row r="25" spans="1:16" ht="15" customHeight="1">
      <c r="A25" s="18">
        <v>3255</v>
      </c>
      <c r="B25" s="51">
        <v>45963</v>
      </c>
      <c r="C25" s="8"/>
      <c r="D25" s="59">
        <v>2</v>
      </c>
      <c r="E25" s="59">
        <v>5</v>
      </c>
      <c r="F25" s="59">
        <v>5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45963</v>
      </c>
      <c r="P25" s="61">
        <v>3255</v>
      </c>
    </row>
    <row r="26" spans="1:16" ht="15" customHeight="1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>
      <c r="A43" s="18">
        <v>3536</v>
      </c>
      <c r="B43" s="51">
        <v>45960</v>
      </c>
      <c r="C43" s="8"/>
      <c r="D43" s="59">
        <v>3</v>
      </c>
      <c r="E43" s="59">
        <v>35</v>
      </c>
      <c r="F43" s="59">
        <v>35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45960</v>
      </c>
      <c r="P43" s="61">
        <v>3536</v>
      </c>
    </row>
    <row r="44" spans="1:16" ht="15" customHeight="1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>
      <c r="A52" s="18">
        <v>3546</v>
      </c>
      <c r="B52" s="51">
        <v>45965</v>
      </c>
      <c r="C52" s="8"/>
      <c r="D52" s="59">
        <v>1</v>
      </c>
      <c r="E52" s="59">
        <v>9</v>
      </c>
      <c r="F52" s="59">
        <v>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45965</v>
      </c>
      <c r="P52" s="61">
        <v>3546</v>
      </c>
    </row>
    <row r="53" spans="1:16" ht="15" customHeight="1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abSelected="1" topLeftCell="E29" workbookViewId="0">
      <selection activeCell="K45" sqref="K45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>
        <v>45965</v>
      </c>
      <c r="C2" s="8"/>
      <c r="D2" s="59">
        <v>2</v>
      </c>
      <c r="E2" s="59">
        <v>75</v>
      </c>
      <c r="F2" s="59">
        <v>75</v>
      </c>
      <c r="G2" s="59">
        <v>0</v>
      </c>
      <c r="H2" s="59">
        <v>0</v>
      </c>
      <c r="I2" s="55"/>
      <c r="J2" s="59"/>
      <c r="K2" s="55"/>
      <c r="L2" s="59"/>
      <c r="M2" s="25" t="s">
        <v>0</v>
      </c>
      <c r="N2" s="25" t="s">
        <v>19</v>
      </c>
      <c r="O2" s="51">
        <v>45965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45</v>
      </c>
      <c r="U4" s="21">
        <f>T4/S4</f>
        <v>0.625</v>
      </c>
    </row>
    <row r="5" spans="1:21" ht="15" customHeight="1">
      <c r="A5" s="70">
        <v>3234</v>
      </c>
      <c r="B5" s="51">
        <v>45963</v>
      </c>
      <c r="C5" s="8"/>
      <c r="D5" s="59">
        <v>1</v>
      </c>
      <c r="E5" s="59">
        <v>14</v>
      </c>
      <c r="F5" s="59">
        <v>14</v>
      </c>
      <c r="G5" s="59">
        <v>0</v>
      </c>
      <c r="H5" s="59">
        <v>0</v>
      </c>
      <c r="I5" s="55"/>
      <c r="J5" s="59"/>
      <c r="K5" s="55"/>
      <c r="L5" s="59"/>
      <c r="M5" s="25" t="s">
        <v>0</v>
      </c>
      <c r="N5" s="25" t="s">
        <v>19</v>
      </c>
      <c r="O5" s="51">
        <v>45963</v>
      </c>
      <c r="P5" s="61">
        <v>3234</v>
      </c>
    </row>
    <row r="6" spans="1:21" ht="15" customHeight="1">
      <c r="A6" s="70">
        <v>3235</v>
      </c>
      <c r="B6" s="51">
        <v>45957</v>
      </c>
      <c r="C6" s="8"/>
      <c r="D6" s="59">
        <v>3</v>
      </c>
      <c r="E6" s="59">
        <v>28</v>
      </c>
      <c r="F6" s="59">
        <v>28</v>
      </c>
      <c r="G6" s="59">
        <v>0</v>
      </c>
      <c r="H6" s="59">
        <v>0</v>
      </c>
      <c r="I6" s="55"/>
      <c r="J6" s="59"/>
      <c r="K6" s="55"/>
      <c r="L6" s="59"/>
      <c r="M6" s="25" t="s">
        <v>0</v>
      </c>
      <c r="N6" s="25" t="s">
        <v>19</v>
      </c>
      <c r="O6" s="51">
        <v>45957</v>
      </c>
      <c r="P6" s="61">
        <v>3235</v>
      </c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>
      <c r="A8" s="70">
        <v>3237</v>
      </c>
      <c r="B8" s="51">
        <v>45956</v>
      </c>
      <c r="C8" s="8"/>
      <c r="D8" s="59">
        <v>2</v>
      </c>
      <c r="E8" s="59">
        <v>30</v>
      </c>
      <c r="F8" s="59">
        <v>30</v>
      </c>
      <c r="G8" s="59">
        <v>0</v>
      </c>
      <c r="H8" s="59">
        <v>0</v>
      </c>
      <c r="I8" s="55"/>
      <c r="J8" s="59"/>
      <c r="K8" s="55"/>
      <c r="L8" s="59"/>
      <c r="M8" s="25" t="s">
        <v>0</v>
      </c>
      <c r="N8" s="25" t="s">
        <v>19</v>
      </c>
      <c r="O8" s="51">
        <v>45956</v>
      </c>
      <c r="P8" s="61">
        <v>3237</v>
      </c>
    </row>
    <row r="9" spans="1:21" ht="15" customHeight="1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>
      <c r="A17" s="73">
        <v>3246</v>
      </c>
      <c r="B17" s="51">
        <v>45954</v>
      </c>
      <c r="C17" s="8"/>
      <c r="D17" s="59">
        <v>1</v>
      </c>
      <c r="E17" s="59">
        <v>7</v>
      </c>
      <c r="F17" s="59">
        <v>7</v>
      </c>
      <c r="G17" s="59">
        <v>0</v>
      </c>
      <c r="H17" s="59">
        <v>0</v>
      </c>
      <c r="I17" s="55"/>
      <c r="J17" s="59"/>
      <c r="K17" s="55"/>
      <c r="L17" s="59"/>
      <c r="M17" s="25" t="s">
        <v>0</v>
      </c>
      <c r="N17" s="25" t="s">
        <v>19</v>
      </c>
      <c r="O17" s="51">
        <v>45954</v>
      </c>
      <c r="P17" s="61">
        <v>3246</v>
      </c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>
      <c r="A42" s="73">
        <v>3535</v>
      </c>
      <c r="B42" s="51">
        <v>45959</v>
      </c>
      <c r="C42" s="8"/>
      <c r="D42" s="59">
        <v>3</v>
      </c>
      <c r="E42" s="59">
        <v>31</v>
      </c>
      <c r="F42" s="59">
        <v>31</v>
      </c>
      <c r="G42" s="59">
        <v>0</v>
      </c>
      <c r="H42" s="59">
        <v>0</v>
      </c>
      <c r="I42" s="55"/>
      <c r="J42" s="59"/>
      <c r="K42" s="55"/>
      <c r="L42" s="59"/>
      <c r="M42" s="25" t="s">
        <v>0</v>
      </c>
      <c r="N42" s="25" t="s">
        <v>19</v>
      </c>
      <c r="O42" s="51">
        <v>45959</v>
      </c>
      <c r="P42" s="61">
        <v>3535</v>
      </c>
    </row>
    <row r="43" spans="1:16" ht="15" customHeight="1">
      <c r="A43" s="73">
        <v>3536</v>
      </c>
      <c r="B43" s="51">
        <v>45966</v>
      </c>
      <c r="C43" s="8"/>
      <c r="D43" s="59">
        <v>2</v>
      </c>
      <c r="E43" s="59">
        <v>25</v>
      </c>
      <c r="F43" s="59">
        <v>25</v>
      </c>
      <c r="G43" s="59">
        <v>0</v>
      </c>
      <c r="H43" s="59">
        <v>0</v>
      </c>
      <c r="I43" s="55"/>
      <c r="J43" s="59"/>
      <c r="K43" s="55"/>
      <c r="L43" s="59"/>
      <c r="M43" s="25" t="s">
        <v>0</v>
      </c>
      <c r="N43" s="25" t="s">
        <v>19</v>
      </c>
      <c r="O43" s="51">
        <v>45966</v>
      </c>
      <c r="P43" s="61">
        <v>3536</v>
      </c>
    </row>
    <row r="44" spans="1:16" ht="15" customHeight="1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>
      <c r="A62" s="73">
        <v>3556</v>
      </c>
      <c r="B62" s="51">
        <v>45957</v>
      </c>
      <c r="C62" s="8"/>
      <c r="D62" s="59">
        <v>1</v>
      </c>
      <c r="E62" s="59">
        <v>7</v>
      </c>
      <c r="F62" s="59">
        <v>7</v>
      </c>
      <c r="G62" s="59">
        <v>0</v>
      </c>
      <c r="H62" s="59">
        <v>0</v>
      </c>
      <c r="I62" s="55"/>
      <c r="J62" s="59"/>
      <c r="K62" s="55"/>
      <c r="L62" s="59"/>
      <c r="M62" s="25" t="s">
        <v>0</v>
      </c>
      <c r="N62" s="25" t="s">
        <v>19</v>
      </c>
      <c r="O62" s="51">
        <v>45957</v>
      </c>
      <c r="P62" s="61">
        <v>3556</v>
      </c>
    </row>
    <row r="63" spans="1:16" ht="15" customHeight="1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">
      <c r="A69" s="76">
        <v>3563</v>
      </c>
      <c r="B69" s="51">
        <v>45965</v>
      </c>
      <c r="C69" s="8"/>
      <c r="D69" s="59">
        <v>3</v>
      </c>
      <c r="E69" s="59">
        <v>125</v>
      </c>
      <c r="F69" s="59">
        <v>125</v>
      </c>
      <c r="G69" s="59">
        <v>0</v>
      </c>
      <c r="H69" s="59">
        <v>0</v>
      </c>
      <c r="I69" s="55"/>
      <c r="J69" s="59"/>
      <c r="K69" s="55"/>
      <c r="L69" s="59"/>
      <c r="M69" s="25" t="s">
        <v>0</v>
      </c>
      <c r="N69" s="25" t="s">
        <v>19</v>
      </c>
      <c r="O69" s="51">
        <v>45965</v>
      </c>
      <c r="P69" s="61">
        <v>3563</v>
      </c>
    </row>
    <row r="70" spans="1:16" ht="18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L11" sqref="L11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37</v>
      </c>
      <c r="U4" s="21">
        <f>T4/S4</f>
        <v>0.51388888888888884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>
        <v>45965</v>
      </c>
      <c r="C6" s="8"/>
      <c r="D6" s="59">
        <v>1</v>
      </c>
      <c r="E6" s="59">
        <v>26</v>
      </c>
      <c r="F6" s="59">
        <v>26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45965</v>
      </c>
      <c r="P6" s="61">
        <v>3235</v>
      </c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>
        <v>45959</v>
      </c>
      <c r="C8" s="8"/>
      <c r="D8" s="59">
        <v>1</v>
      </c>
      <c r="E8" s="59">
        <v>25</v>
      </c>
      <c r="F8" s="59">
        <v>25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45959</v>
      </c>
      <c r="P8" s="61">
        <v>3237</v>
      </c>
    </row>
    <row r="9" spans="1:21" ht="15" customHeight="1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>
        <v>45965</v>
      </c>
      <c r="C11" s="8"/>
      <c r="D11" s="59">
        <v>2</v>
      </c>
      <c r="E11" s="59">
        <v>28</v>
      </c>
      <c r="F11" s="59">
        <v>28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45965</v>
      </c>
      <c r="P11" s="61">
        <v>3240</v>
      </c>
    </row>
    <row r="12" spans="1:21" ht="15" customHeight="1" thickBot="1">
      <c r="A12" s="71">
        <v>3241</v>
      </c>
      <c r="B12" s="51">
        <v>45959</v>
      </c>
      <c r="C12" s="8"/>
      <c r="D12" s="59">
        <v>3</v>
      </c>
      <c r="E12" s="59">
        <v>66</v>
      </c>
      <c r="F12" s="59">
        <v>66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34</v>
      </c>
      <c r="O12" s="51">
        <v>45959</v>
      </c>
      <c r="P12" s="61">
        <v>3241</v>
      </c>
    </row>
    <row r="13" spans="1:21" ht="15" customHeight="1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>
      <c r="A14" s="73">
        <v>3243</v>
      </c>
      <c r="B14" s="51">
        <v>45956</v>
      </c>
      <c r="C14" s="8"/>
      <c r="D14" s="59">
        <v>3</v>
      </c>
      <c r="E14" s="59">
        <v>3</v>
      </c>
      <c r="F14" s="59">
        <v>3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45956</v>
      </c>
      <c r="P14" s="61">
        <v>3243</v>
      </c>
    </row>
    <row r="15" spans="1:21" ht="15" customHeight="1">
      <c r="A15" s="73">
        <v>3244</v>
      </c>
      <c r="B15" s="51">
        <v>45957</v>
      </c>
      <c r="C15" s="8"/>
      <c r="D15" s="59">
        <v>1</v>
      </c>
      <c r="E15" s="59">
        <v>17</v>
      </c>
      <c r="F15" s="59">
        <v>17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45957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>
        <v>45960</v>
      </c>
      <c r="C17" s="8"/>
      <c r="D17" s="59">
        <v>1</v>
      </c>
      <c r="E17" s="59">
        <v>16</v>
      </c>
      <c r="F17" s="59">
        <v>16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>
        <v>45958</v>
      </c>
      <c r="C32" s="8"/>
      <c r="D32" s="59">
        <v>1</v>
      </c>
      <c r="E32" s="59">
        <v>8</v>
      </c>
      <c r="F32" s="59">
        <v>8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45958</v>
      </c>
      <c r="P32" s="61">
        <v>3263</v>
      </c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>
        <v>45956</v>
      </c>
      <c r="C37" s="8"/>
      <c r="D37" s="59">
        <v>3</v>
      </c>
      <c r="E37" s="59">
        <v>26</v>
      </c>
      <c r="F37" s="59">
        <v>26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45956</v>
      </c>
      <c r="P37" s="61">
        <v>3239</v>
      </c>
    </row>
    <row r="38" spans="1:16" ht="15" customHeight="1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>
        <v>45960</v>
      </c>
      <c r="C44" s="8"/>
      <c r="D44" s="59">
        <v>1</v>
      </c>
      <c r="E44" s="59">
        <v>12</v>
      </c>
      <c r="F44" s="59">
        <v>12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/>
      <c r="O44" s="51">
        <v>45960</v>
      </c>
      <c r="P44" s="61">
        <v>3537</v>
      </c>
    </row>
    <row r="45" spans="1:16" ht="15" customHeight="1" thickBot="1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>
      <c r="A56" s="74">
        <v>3550</v>
      </c>
      <c r="B56" s="51">
        <v>45961</v>
      </c>
      <c r="C56" s="8"/>
      <c r="D56" s="59">
        <v>1</v>
      </c>
      <c r="E56" s="59">
        <v>12</v>
      </c>
      <c r="F56" s="59">
        <v>12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45961</v>
      </c>
      <c r="P56" s="51">
        <v>45961</v>
      </c>
    </row>
    <row r="57" spans="1:16" ht="15" customHeight="1">
      <c r="A57" s="72">
        <v>3551</v>
      </c>
      <c r="B57" s="51">
        <v>45954</v>
      </c>
      <c r="C57" s="8"/>
      <c r="D57" s="59">
        <v>1</v>
      </c>
      <c r="E57" s="59">
        <v>2</v>
      </c>
      <c r="F57" s="59">
        <v>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45954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>
      <c r="A62" s="73">
        <v>3556</v>
      </c>
      <c r="B62" s="51">
        <v>45960</v>
      </c>
      <c r="C62" s="8"/>
      <c r="D62" s="59">
        <v>2</v>
      </c>
      <c r="E62" s="59">
        <v>27</v>
      </c>
      <c r="F62" s="59">
        <v>27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45960</v>
      </c>
      <c r="P62" s="61">
        <v>3556</v>
      </c>
    </row>
    <row r="63" spans="1:16" ht="15" customHeight="1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P56 O2:O55 O57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opLeftCell="A48" zoomScaleNormal="100" workbookViewId="0">
      <selection activeCell="P44" sqref="P44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45960</v>
      </c>
      <c r="C3" s="8"/>
      <c r="D3" s="59">
        <v>2</v>
      </c>
      <c r="E3" s="59">
        <v>13</v>
      </c>
      <c r="F3" s="59">
        <v>13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45960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27</v>
      </c>
      <c r="U4" s="21">
        <f>T4/S4</f>
        <v>0.375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>
        <v>45958</v>
      </c>
      <c r="C15" s="8"/>
      <c r="D15" s="59">
        <v>1</v>
      </c>
      <c r="E15" s="59">
        <v>25</v>
      </c>
      <c r="F15" s="59">
        <v>25</v>
      </c>
      <c r="G15" s="59">
        <v>0</v>
      </c>
      <c r="H15" s="59">
        <v>0</v>
      </c>
      <c r="I15" s="55"/>
      <c r="J15" s="59"/>
      <c r="K15" s="55"/>
      <c r="L15" s="59"/>
      <c r="M15" s="22" t="s">
        <v>33</v>
      </c>
      <c r="N15" s="25" t="s">
        <v>19</v>
      </c>
      <c r="O15" s="51">
        <v>45958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>
        <v>45956</v>
      </c>
      <c r="C19" s="8"/>
      <c r="D19" s="59">
        <v>1</v>
      </c>
      <c r="E19" s="59">
        <v>22</v>
      </c>
      <c r="F19" s="59">
        <v>22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45956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>
        <v>45964</v>
      </c>
      <c r="C27" s="8"/>
      <c r="D27" s="59">
        <v>1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45964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>
        <v>45960</v>
      </c>
      <c r="C35" s="8"/>
      <c r="D35" s="59">
        <v>2</v>
      </c>
      <c r="E35" s="59">
        <v>44</v>
      </c>
      <c r="F35" s="59">
        <v>44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45960</v>
      </c>
      <c r="P35" s="61">
        <v>3266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>
        <v>45961</v>
      </c>
      <c r="C37" s="8"/>
      <c r="D37" s="59">
        <v>1</v>
      </c>
      <c r="E37" s="59">
        <v>10</v>
      </c>
      <c r="F37" s="59">
        <v>10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45961</v>
      </c>
      <c r="P37" s="61">
        <v>3299</v>
      </c>
    </row>
    <row r="38" spans="1:16" ht="15" customHeight="1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>
        <v>45965</v>
      </c>
      <c r="C44" s="8"/>
      <c r="D44" s="59">
        <v>2</v>
      </c>
      <c r="E44" s="59">
        <v>35</v>
      </c>
      <c r="F44" s="59">
        <v>35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45965</v>
      </c>
      <c r="P44" s="61">
        <v>3537</v>
      </c>
    </row>
    <row r="45" spans="1:16" ht="15" customHeight="1" thickBot="1">
      <c r="A45" s="74">
        <v>3538</v>
      </c>
      <c r="B45" s="51">
        <v>45963</v>
      </c>
      <c r="C45" s="8"/>
      <c r="D45" s="59">
        <v>3</v>
      </c>
      <c r="E45" s="59">
        <v>50</v>
      </c>
      <c r="F45" s="59">
        <v>50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45963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>
      <c r="A48" s="73">
        <v>3542</v>
      </c>
      <c r="B48" s="51">
        <v>45959</v>
      </c>
      <c r="C48" s="8"/>
      <c r="D48" s="59">
        <v>3</v>
      </c>
      <c r="E48" s="59">
        <v>147</v>
      </c>
      <c r="F48" s="59">
        <v>147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45959</v>
      </c>
      <c r="P48" s="61">
        <v>3542</v>
      </c>
    </row>
    <row r="49" spans="1:16" ht="15" customHeight="1">
      <c r="A49" s="73">
        <v>3543</v>
      </c>
      <c r="B49" s="51">
        <v>45960</v>
      </c>
      <c r="C49" s="8"/>
      <c r="D49" s="59">
        <v>1</v>
      </c>
      <c r="E49" s="59">
        <v>9</v>
      </c>
      <c r="F49" s="59">
        <v>9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45960</v>
      </c>
      <c r="P49" s="61">
        <v>3243</v>
      </c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>
        <v>45960</v>
      </c>
      <c r="C51" s="8"/>
      <c r="D51" s="59">
        <v>3</v>
      </c>
      <c r="E51" s="59">
        <v>65</v>
      </c>
      <c r="F51" s="59">
        <v>65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45960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45954</v>
      </c>
      <c r="C53" s="8"/>
      <c r="D53" s="59">
        <v>1</v>
      </c>
      <c r="E53" s="59">
        <v>32</v>
      </c>
      <c r="F53" s="59">
        <v>32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45954</v>
      </c>
      <c r="P53" s="61">
        <v>3547</v>
      </c>
    </row>
    <row r="54" spans="1:16" ht="15" customHeight="1">
      <c r="A54" s="73">
        <v>3548</v>
      </c>
      <c r="B54" s="51">
        <v>45957</v>
      </c>
      <c r="C54" s="8"/>
      <c r="D54" s="59">
        <v>2</v>
      </c>
      <c r="E54" s="59">
        <v>11</v>
      </c>
      <c r="F54" s="59">
        <v>11</v>
      </c>
      <c r="G54" s="59">
        <v>0</v>
      </c>
      <c r="H54" s="59">
        <v>0</v>
      </c>
      <c r="I54" s="55"/>
      <c r="J54" s="59"/>
      <c r="K54" s="55"/>
      <c r="L54" s="59"/>
      <c r="M54" s="22" t="s">
        <v>33</v>
      </c>
      <c r="N54" s="25" t="s">
        <v>19</v>
      </c>
      <c r="O54" s="51">
        <v>45957</v>
      </c>
      <c r="P54" s="61">
        <v>3548</v>
      </c>
    </row>
    <row r="55" spans="1:16" ht="15" customHeight="1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>
        <v>45963</v>
      </c>
      <c r="C57" s="8"/>
      <c r="D57" s="59">
        <v>3</v>
      </c>
      <c r="E57" s="59">
        <v>27</v>
      </c>
      <c r="F57" s="59">
        <v>27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45963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45960</v>
      </c>
      <c r="C59" s="8"/>
      <c r="D59" s="59">
        <v>1</v>
      </c>
      <c r="E59" s="59">
        <v>2</v>
      </c>
      <c r="F59" s="59">
        <v>2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45960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>
        <v>45956</v>
      </c>
      <c r="C61" s="8"/>
      <c r="D61" s="59">
        <v>2</v>
      </c>
      <c r="E61" s="59">
        <v>39</v>
      </c>
      <c r="F61" s="59">
        <v>39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45956</v>
      </c>
      <c r="P61" s="61">
        <v>3555</v>
      </c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zoomScaleNormal="100" workbookViewId="0">
      <selection activeCell="O56" sqref="O56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15</v>
      </c>
      <c r="U4" s="21">
        <f>T4/S4</f>
        <v>0.20833333333333334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>
        <v>45957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45957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>
        <v>45958</v>
      </c>
      <c r="C30" s="8"/>
      <c r="D30" s="59">
        <v>1</v>
      </c>
      <c r="E30" s="59">
        <v>16</v>
      </c>
      <c r="F30" s="59">
        <v>16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45958</v>
      </c>
      <c r="P30" s="61">
        <v>3261</v>
      </c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45960</v>
      </c>
      <c r="C47" s="8"/>
      <c r="D47" s="59">
        <v>1</v>
      </c>
      <c r="E47" s="59">
        <v>45</v>
      </c>
      <c r="F47" s="59">
        <v>45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45960</v>
      </c>
      <c r="P47" s="61">
        <v>3541</v>
      </c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45960</v>
      </c>
      <c r="C53" s="8"/>
      <c r="D53" s="59">
        <v>1</v>
      </c>
      <c r="E53" s="59">
        <v>23</v>
      </c>
      <c r="F53" s="59">
        <v>23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45960</v>
      </c>
      <c r="P53" s="61">
        <v>3547</v>
      </c>
    </row>
    <row r="54" spans="1:16" ht="15" customHeight="1">
      <c r="A54" s="73">
        <v>3548</v>
      </c>
      <c r="B54" s="51">
        <v>45965</v>
      </c>
      <c r="C54" s="8"/>
      <c r="D54" s="59">
        <v>2</v>
      </c>
      <c r="E54" s="59">
        <v>28</v>
      </c>
      <c r="F54" s="59">
        <v>28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45965</v>
      </c>
      <c r="P54" s="61">
        <v>3548</v>
      </c>
    </row>
    <row r="55" spans="1:16" ht="15" customHeight="1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45963</v>
      </c>
      <c r="C59" s="8"/>
      <c r="D59" s="59">
        <v>1</v>
      </c>
      <c r="E59" s="59">
        <v>7</v>
      </c>
      <c r="F59" s="59">
        <v>7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45963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>
      <c r="A64" s="73">
        <v>3558</v>
      </c>
      <c r="B64" s="51">
        <v>45963</v>
      </c>
      <c r="C64" s="8"/>
      <c r="D64" s="59">
        <v>2</v>
      </c>
      <c r="E64" s="59">
        <v>21</v>
      </c>
      <c r="F64" s="59">
        <v>21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45963</v>
      </c>
      <c r="P64" s="61">
        <v>3558</v>
      </c>
    </row>
    <row r="65" spans="1:16" ht="15" customHeight="1" thickBot="1">
      <c r="A65" s="73">
        <v>3559</v>
      </c>
      <c r="B65" s="51">
        <v>45958</v>
      </c>
      <c r="C65" s="8"/>
      <c r="D65" s="59">
        <v>3</v>
      </c>
      <c r="E65" s="59">
        <v>39</v>
      </c>
      <c r="F65" s="59">
        <v>39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/>
      <c r="O65" s="51">
        <v>45958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">
      <c r="A73" s="77">
        <v>3567</v>
      </c>
      <c r="B73" s="51">
        <v>45961</v>
      </c>
      <c r="C73" s="8"/>
      <c r="D73" s="59">
        <v>2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45961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18" zoomScaleNormal="100" workbookViewId="0">
      <selection activeCell="O50" sqref="O50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</v>
      </c>
      <c r="U4" s="21">
        <f>T4/S4</f>
        <v>6.9444444444444448E-2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>
        <v>45956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45956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45964</v>
      </c>
      <c r="C47" s="8"/>
      <c r="D47" s="59">
        <v>1</v>
      </c>
      <c r="E47" s="59">
        <v>3</v>
      </c>
      <c r="F47" s="59">
        <v>3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45964</v>
      </c>
      <c r="P47" s="61">
        <v>3541</v>
      </c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>
        <v>45963</v>
      </c>
      <c r="C55" s="8"/>
      <c r="D55" s="59">
        <v>1</v>
      </c>
      <c r="E55" s="59">
        <v>4</v>
      </c>
      <c r="F55" s="59">
        <v>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45963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45956</v>
      </c>
      <c r="C72" s="8"/>
      <c r="D72" s="59">
        <v>1</v>
      </c>
      <c r="E72" s="59">
        <v>12</v>
      </c>
      <c r="F72" s="59">
        <v>12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45956</v>
      </c>
      <c r="P72" s="61">
        <v>3566</v>
      </c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7E-DFE4-4BB6-B061-DA14BC1F1A42}">
  <dimension ref="A1:U207"/>
  <sheetViews>
    <sheetView topLeftCell="A61" zoomScaleNormal="100" workbookViewId="0">
      <selection activeCell="R73" sqref="R73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15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</v>
      </c>
      <c r="U4" s="21">
        <f>T4/S4</f>
        <v>2.7777777777777776E-2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45956</v>
      </c>
      <c r="C70" s="8"/>
      <c r="D70" s="59">
        <v>3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45956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45961</v>
      </c>
      <c r="C72" s="8"/>
      <c r="D72" s="59">
        <v>1</v>
      </c>
      <c r="E72" s="59">
        <v>11</v>
      </c>
      <c r="F72" s="59">
        <v>11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45961</v>
      </c>
      <c r="P72" s="61">
        <v>3566</v>
      </c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YVZG5q4CcX2nQFdaMBGeO8ciLNcilM31JC0mRhJs5VD8AZSvXwkBVa46OZYhP24dG8J6IhoFtzUmJp2RgIg5PQ==" saltValue="TJXbQpJAfyMQZkOBkMhey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B4E459C-DF4C-4F43-8923-87F8A4FC1CF7}">
      <formula1>45658</formula1>
    </dataValidation>
    <dataValidation type="whole" operator="greaterThanOrEqual" allowBlank="1" showInputMessage="1" showErrorMessage="1" sqref="A2:A73 D2:H73 J2:J73 L2:L73 P2:P73" xr:uid="{545D6205-FF94-42DA-878C-59EB5ABF9B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A2DF99-0859-4375-9700-6E4AAA74F3B5}">
          <x14:formula1>
            <xm:f>Inspected!$A$1:$A$2</xm:f>
          </x14:formula1>
          <xm:sqref>M2:M73</xm:sqref>
        </x14:dataValidation>
        <x14:dataValidation type="list" allowBlank="1" showInputMessage="1" showErrorMessage="1" xr:uid="{CC4853AE-716E-405F-9501-5A8192AB2C42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CE7-A7F7-4C10-93B2-7500DB3819F3}">
  <dimension ref="A1:U207"/>
  <sheetViews>
    <sheetView topLeftCell="A55" zoomScaleNormal="100" workbookViewId="0">
      <selection activeCell="I12" sqref="I12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U9lLZZmQnkwaoI4IU/ZM9w8nsE0AcO4kaJrn/eFPQeAAMx4xshXKJfdskAMZX5Z5tvSIKNx9WBsJq7uUKUiJyQ==" saltValue="0aoprm8kzsvj+zT1Iib61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632237F2-14EF-4397-B7C8-C81E9E37B4A2}">
      <formula1>0</formula1>
    </dataValidation>
    <dataValidation type="date" operator="greaterThanOrEqual" allowBlank="1" showInputMessage="1" showErrorMessage="1" sqref="B2:B73 I2:I73 K2:K73 O2:O73" xr:uid="{78876164-01A5-46C1-BB37-ADDC122B9AE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BD787F-36FB-4664-82FA-15043406890C}">
          <x14:formula1>
            <xm:f>Inspected!$D$1</xm:f>
          </x14:formula1>
          <xm:sqref>C2:C73</xm:sqref>
        </x14:dataValidation>
        <x14:dataValidation type="list" allowBlank="1" showInputMessage="1" showErrorMessage="1" xr:uid="{791F296D-DD86-40D6-8E45-1A236D26C832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55A8-66E2-400A-8699-D7C628358FAB}">
  <dimension ref="A1:U207"/>
  <sheetViews>
    <sheetView topLeftCell="A16" zoomScaleNormal="100" workbookViewId="0">
      <selection activeCell="G9" sqref="G9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XksJxQbQ5vVSetMP5EuHdDl9rceLQ20wzwSHlRbPA2Hs6nDugtwQu7/OlUQUQ3vbAfbjNrD259TysHWQYOm6Gw==" saltValue="A1vnmiCD6hQEeEa0PvAEk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386B779-6702-4D3D-B0BE-CD1F2A95E545}">
      <formula1>45658</formula1>
    </dataValidation>
    <dataValidation type="whole" operator="greaterThanOrEqual" allowBlank="1" showInputMessage="1" showErrorMessage="1" sqref="A2:A73 D2:H73 J2:J73 L2:L73 P2:P73" xr:uid="{9EF3EDB9-5D78-4944-8967-60BCDCEFD94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73177E-D844-48E1-B2B7-D0D6750921A2}">
          <x14:formula1>
            <xm:f>Inspected!$A$1:$A$2</xm:f>
          </x14:formula1>
          <xm:sqref>M2:M73</xm:sqref>
        </x14:dataValidation>
        <x14:dataValidation type="list" allowBlank="1" showInputMessage="1" showErrorMessage="1" xr:uid="{8C9A8C4F-404D-47B4-9B5E-6C5FAB85F58A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3834C0-E432-439C-BE5B-793F0CCD786D}"/>
</file>

<file path=customXml/itemProps2.xml><?xml version="1.0" encoding="utf-8"?>
<ds:datastoreItem xmlns:ds="http://schemas.openxmlformats.org/officeDocument/2006/customXml" ds:itemID="{337FA35F-3C89-4A59-AA7F-04F9B99F757E}"/>
</file>

<file path=customXml/itemProps3.xml><?xml version="1.0" encoding="utf-8"?>
<ds:datastoreItem xmlns:ds="http://schemas.openxmlformats.org/officeDocument/2006/customXml" ds:itemID="{321238A5-3DA6-49C0-9DE6-F132ED09034B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Daniela Cornei</cp:lastModifiedBy>
  <cp:revision/>
  <dcterms:created xsi:type="dcterms:W3CDTF">2021-03-15T19:53:30Z</dcterms:created>
  <dcterms:modified xsi:type="dcterms:W3CDTF">2025-11-06T04:21:14Z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