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49" documentId="8_{311BF0A1-19F9-4D42-8D43-10C87A31E773}" xr6:coauthVersionLast="47" xr6:coauthVersionMax="47" xr10:uidLastSave="{FF37C715-56BA-4E62-BDF8-EEB06D65D12F}"/>
  <bookViews>
    <workbookView xWindow="-120" yWindow="-120" windowWidth="29040" windowHeight="15720" tabRatio="770" firstSheet="1" activeTab="1" xr2:uid="{EF5C035C-41B0-4463-AED5-105A1C53EA14}"/>
  </bookViews>
  <sheets>
    <sheet name="Inspected" sheetId="8" state="hidden" r:id="rId1"/>
    <sheet name="Central Line " sheetId="1" r:id="rId2"/>
    <sheet name="Repeat Attacks 1" sheetId="2" r:id="rId3"/>
    <sheet name="Repeat Attacks 2" sheetId="3" r:id="rId4"/>
    <sheet name="Repeat Attacks 3" sheetId="4" r:id="rId5"/>
    <sheet name="Repeat Attacks 4" sheetId="5" r:id="rId6"/>
    <sheet name="Repeat Attacks 5" sheetId="6" r:id="rId7"/>
    <sheet name="Repeat Attacks 6" sheetId="7" r:id="rId8"/>
    <sheet name="Repeat Attacks 7" sheetId="12" r:id="rId9"/>
    <sheet name="Repeat Attacks 8" sheetId="13" r:id="rId10"/>
    <sheet name="Repeat Attacks 9" sheetId="14" r:id="rId11"/>
    <sheet name="Repeat Attacks 10" sheetId="15" r:id="rId12"/>
    <sheet name="Repeat Attacks 11" sheetId="16" r:id="rId13"/>
    <sheet name="Repeat Attacks 12" sheetId="17" r:id="rId14"/>
  </sheets>
  <definedNames>
    <definedName name="_xlnm._FilterDatabase" localSheetId="1" hidden="1">'Central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7" l="1"/>
  <c r="U4" i="17" s="1"/>
  <c r="S4" i="17"/>
  <c r="T4" i="16"/>
  <c r="U4" i="16" s="1"/>
  <c r="S4" i="16"/>
  <c r="T4" i="15"/>
  <c r="U4" i="15" s="1"/>
  <c r="S4" i="15"/>
  <c r="T4" i="14"/>
  <c r="U4" i="14"/>
  <c r="S4" i="14"/>
  <c r="T4" i="13"/>
  <c r="S4" i="13"/>
  <c r="U4" i="13"/>
  <c r="T4" i="12"/>
  <c r="U4" i="12"/>
  <c r="S4" i="12"/>
  <c r="T4" i="7"/>
  <c r="U4" i="7"/>
  <c r="S4" i="7"/>
  <c r="T4" i="6"/>
  <c r="U4" i="6"/>
  <c r="S4" i="6"/>
  <c r="T4" i="5"/>
  <c r="U4" i="5"/>
  <c r="S4" i="5"/>
  <c r="T4" i="4"/>
  <c r="U4" i="4" s="1"/>
  <c r="S4" i="4"/>
  <c r="T4" i="3"/>
  <c r="U4" i="3" s="1"/>
  <c r="S4" i="3"/>
  <c r="T4" i="2"/>
  <c r="U4" i="2" s="1"/>
  <c r="S4" i="2"/>
  <c r="T4" i="1"/>
  <c r="S4" i="1"/>
  <c r="U4" i="1" l="1"/>
</calcChain>
</file>

<file path=xl/sharedStrings.xml><?xml version="1.0" encoding="utf-8"?>
<sst xmlns="http://schemas.openxmlformats.org/spreadsheetml/2006/main" count="1213" uniqueCount="111">
  <si>
    <t>Y</t>
  </si>
  <si>
    <t>Stopped</t>
  </si>
  <si>
    <t>N</t>
  </si>
  <si>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</si>
  <si>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</si>
  <si>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</si>
  <si>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</si>
  <si>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</si>
  <si>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</si>
  <si>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</si>
  <si>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</si>
  <si>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</si>
  <si>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</si>
  <si>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</si>
  <si>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</si>
  <si>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</si>
  <si>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</si>
  <si>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</si>
  <si>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</si>
  <si>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D Mihalache</t>
  </si>
  <si>
    <t>E N Daniels</t>
  </si>
  <si>
    <t>Total Trains</t>
  </si>
  <si>
    <t>Total Units</t>
  </si>
  <si>
    <t>Units Completed</t>
  </si>
  <si>
    <t>% Completed</t>
  </si>
  <si>
    <t>M Ebietsuwa</t>
  </si>
  <si>
    <t>y</t>
  </si>
  <si>
    <t>E. Nyarko</t>
  </si>
  <si>
    <t>L Dwyer</t>
  </si>
  <si>
    <t>91181</t>
  </si>
  <si>
    <t>91183</t>
  </si>
  <si>
    <t>91185</t>
  </si>
  <si>
    <t>91187</t>
  </si>
  <si>
    <t>91189</t>
  </si>
  <si>
    <t>91191</t>
  </si>
  <si>
    <t>91193</t>
  </si>
  <si>
    <t>91195</t>
  </si>
  <si>
    <t>91197</t>
  </si>
  <si>
    <t>91199</t>
  </si>
  <si>
    <t>91201</t>
  </si>
  <si>
    <t>91203</t>
  </si>
  <si>
    <t>91205</t>
  </si>
  <si>
    <t>C, Ebietsuwa</t>
  </si>
  <si>
    <t>91207</t>
  </si>
  <si>
    <t>91211</t>
  </si>
  <si>
    <t>91213</t>
  </si>
  <si>
    <t>91215</t>
  </si>
  <si>
    <t>91217</t>
  </si>
  <si>
    <t>91219</t>
  </si>
  <si>
    <t>91221</t>
  </si>
  <si>
    <t>91223</t>
  </si>
  <si>
    <t>91225</t>
  </si>
  <si>
    <t>91227</t>
  </si>
  <si>
    <t>91229</t>
  </si>
  <si>
    <t>91231</t>
  </si>
  <si>
    <t>91233</t>
  </si>
  <si>
    <t>91235</t>
  </si>
  <si>
    <t>91237</t>
  </si>
  <si>
    <t>91239</t>
  </si>
  <si>
    <t>91241</t>
  </si>
  <si>
    <t>91243</t>
  </si>
  <si>
    <t>91245</t>
  </si>
  <si>
    <t>91247</t>
  </si>
  <si>
    <t>91249</t>
  </si>
  <si>
    <t>91251</t>
  </si>
  <si>
    <t>91253</t>
  </si>
  <si>
    <t>91257</t>
  </si>
  <si>
    <t>91259</t>
  </si>
  <si>
    <t>91261</t>
  </si>
  <si>
    <t>91263</t>
  </si>
  <si>
    <t>91265</t>
  </si>
  <si>
    <t>91267</t>
  </si>
  <si>
    <t>91269</t>
  </si>
  <si>
    <t>91271</t>
  </si>
  <si>
    <t>91275</t>
  </si>
  <si>
    <t>91277</t>
  </si>
  <si>
    <t>91281</t>
  </si>
  <si>
    <t>91283</t>
  </si>
  <si>
    <t>91285</t>
  </si>
  <si>
    <t>91287</t>
  </si>
  <si>
    <t>91289</t>
  </si>
  <si>
    <t>91291</t>
  </si>
  <si>
    <t>91293</t>
  </si>
  <si>
    <t>91295</t>
  </si>
  <si>
    <t>91297</t>
  </si>
  <si>
    <t>91299</t>
  </si>
  <si>
    <t>91305</t>
  </si>
  <si>
    <t>91307</t>
  </si>
  <si>
    <t>91309</t>
  </si>
  <si>
    <t>91311</t>
  </si>
  <si>
    <t>91313</t>
  </si>
  <si>
    <t>91315</t>
  </si>
  <si>
    <t>91317</t>
  </si>
  <si>
    <t>91319</t>
  </si>
  <si>
    <t>91321</t>
  </si>
  <si>
    <t>91323</t>
  </si>
  <si>
    <t>91325</t>
  </si>
  <si>
    <t>91327</t>
  </si>
  <si>
    <t>91331</t>
  </si>
  <si>
    <t>91333</t>
  </si>
  <si>
    <t>91335</t>
  </si>
  <si>
    <t>91339</t>
  </si>
  <si>
    <t>M. Ebietsuwa</t>
  </si>
  <si>
    <t>C. Ebietsuwa</t>
  </si>
  <si>
    <t>E. N Daniels</t>
  </si>
  <si>
    <t>Christopher</t>
  </si>
  <si>
    <t>E N Danels</t>
  </si>
  <si>
    <t>E Nyarko</t>
  </si>
  <si>
    <t>C Eietsuwa</t>
  </si>
  <si>
    <t>M.Ebietswua</t>
  </si>
  <si>
    <t>M.Ebietsuwa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</si>
</sst>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left" vertical="top" wrapText="1" indent="1"/>
    </xf>
    <xf numFmtId="0" fontId="0" fillId="6" borderId="5" xfId="0" applyFill="1" applyBorder="1" applyAlignment="1">
      <alignment horizontal="left" vertical="top" wrapText="1" indent="1"/>
    </xf>
    <xf numFmtId="0" fontId="3" fillId="3" borderId="0" xfId="1" applyFont="1" applyFill="1" applyAlignment="1">
      <alignment horizontal="center"/>
    </xf>
    <xf numFmtId="0" fontId="0" fillId="0" borderId="8" xfId="0" applyBorder="1" applyAlignment="1">
      <alignment horizontal="left" vertical="top" wrapText="1" indent="1"/>
    </xf>
    <xf numFmtId="0" fontId="0" fillId="0" borderId="9" xfId="0" applyBorder="1" applyAlignment="1">
      <alignment horizontal="center" vertical="top" wrapText="1"/>
    </xf>
    <xf numFmtId="0" fontId="0" fillId="0" borderId="11" xfId="0" applyBorder="1" applyAlignment="1">
      <alignment horizontal="left" vertical="top" wrapText="1" indent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11" fillId="4" borderId="1" xfId="0" applyFont="1" applyFill="1" applyBorder="1" applyAlignment="1" applyProtection="1">
      <alignment horizontal="center" vertical="center" wrapText="1"/>
      <protection hidden="1"/>
    </xf>
    <xf numFmtId="0" fontId="11" fillId="5" borderId="1" xfId="0" applyFont="1" applyFill="1" applyBorder="1" applyAlignment="1" applyProtection="1">
      <alignment horizontal="center" vertical="center" wrapText="1"/>
      <protection hidden="1"/>
    </xf>
    <xf numFmtId="0" fontId="11" fillId="10" borderId="14" xfId="0" applyFont="1" applyFill="1" applyBorder="1" applyAlignment="1" applyProtection="1">
      <alignment horizontal="center" vertical="center" wrapText="1"/>
      <protection hidden="1"/>
    </xf>
    <xf numFmtId="0" fontId="11" fillId="11" borderId="14" xfId="0" applyFont="1" applyFill="1" applyBorder="1" applyAlignment="1" applyProtection="1">
      <alignment horizontal="center" vertical="center" wrapText="1"/>
      <protection hidden="1"/>
    </xf>
    <xf numFmtId="0" fontId="11" fillId="5" borderId="14" xfId="0" applyFont="1" applyFill="1" applyBorder="1" applyAlignment="1" applyProtection="1">
      <alignment horizontal="center" vertical="center" wrapText="1"/>
      <protection hidden="1"/>
    </xf>
    <xf numFmtId="0" fontId="11" fillId="5" borderId="15" xfId="0" applyFont="1" applyFill="1" applyBorder="1" applyAlignment="1" applyProtection="1">
      <alignment horizontal="center" vertical="center" wrapText="1"/>
      <protection hidden="1"/>
    </xf>
    <xf numFmtId="0" fontId="11" fillId="5" borderId="16" xfId="0" applyFont="1" applyFill="1" applyBorder="1" applyAlignment="1" applyProtection="1">
      <alignment horizontal="center" vertical="center" wrapText="1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164" fontId="5" fillId="0" borderId="13" xfId="0" applyNumberFormat="1" applyFont="1" applyBorder="1" applyAlignment="1" applyProtection="1">
      <alignment horizontal="left" vertical="center"/>
      <protection hidden="1"/>
    </xf>
    <xf numFmtId="0" fontId="7" fillId="0" borderId="13" xfId="0" applyFont="1" applyBorder="1" applyAlignment="1" applyProtection="1">
      <alignment horizontal="left" vertical="center"/>
      <protection locked="0"/>
    </xf>
    <xf numFmtId="0" fontId="11" fillId="9" borderId="6" xfId="0" applyFont="1" applyFill="1" applyBorder="1" applyAlignment="1" applyProtection="1">
      <alignment horizontal="center" vertical="center" wrapText="1"/>
      <protection hidden="1"/>
    </xf>
    <xf numFmtId="0" fontId="2" fillId="3" borderId="2" xfId="1" applyFont="1" applyFill="1" applyBorder="1" applyAlignment="1">
      <alignment horizontal="center" vertical="center" wrapText="1"/>
    </xf>
    <xf numFmtId="0" fontId="2" fillId="3" borderId="21" xfId="1" applyFont="1" applyFill="1" applyBorder="1" applyAlignment="1">
      <alignment horizontal="center" vertical="center" wrapText="1"/>
    </xf>
    <xf numFmtId="0" fontId="2" fillId="3" borderId="22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/>
    </xf>
    <xf numFmtId="0" fontId="2" fillId="3" borderId="23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12" fillId="4" borderId="1" xfId="0" applyFont="1" applyFill="1" applyBorder="1" applyAlignment="1" applyProtection="1">
      <alignment horizontal="center" vertical="center" wrapText="1"/>
      <protection hidden="1"/>
    </xf>
    <xf numFmtId="0" fontId="8" fillId="3" borderId="2" xfId="1" applyFont="1" applyFill="1" applyBorder="1" applyAlignment="1">
      <alignment horizontal="center" vertical="center" wrapText="1"/>
    </xf>
    <xf numFmtId="0" fontId="8" fillId="3" borderId="21" xfId="1" applyFont="1" applyFill="1" applyBorder="1" applyAlignment="1">
      <alignment horizontal="center" vertical="center" wrapText="1"/>
    </xf>
    <xf numFmtId="0" fontId="8" fillId="3" borderId="22" xfId="1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/>
    </xf>
    <xf numFmtId="0" fontId="4" fillId="3" borderId="6" xfId="1" applyFont="1" applyFill="1" applyBorder="1" applyAlignment="1">
      <alignment horizontal="center"/>
    </xf>
    <xf numFmtId="0" fontId="8" fillId="3" borderId="23" xfId="1" applyFont="1" applyFill="1" applyBorder="1" applyAlignment="1">
      <alignment horizontal="center" vertical="center" wrapText="1"/>
    </xf>
    <xf numFmtId="0" fontId="8" fillId="3" borderId="6" xfId="1" applyFont="1" applyFill="1" applyBorder="1" applyAlignment="1">
      <alignment horizontal="center" vertical="center" wrapText="1"/>
    </xf>
    <xf numFmtId="0" fontId="2" fillId="3" borderId="25" xfId="1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10" borderId="17" xfId="0" applyFont="1" applyFill="1" applyBorder="1" applyAlignment="1">
      <alignment horizontal="center" vertical="center" wrapText="1"/>
    </xf>
    <xf numFmtId="0" fontId="11" fillId="11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8" fillId="3" borderId="24" xfId="1" applyFont="1" applyFill="1" applyBorder="1" applyAlignment="1">
      <alignment horizontal="center" vertical="center" wrapText="1"/>
    </xf>
    <xf numFmtId="0" fontId="8" fillId="3" borderId="25" xfId="1" applyFont="1" applyFill="1" applyBorder="1" applyAlignment="1">
      <alignment horizontal="center" vertical="center" wrapText="1"/>
    </xf>
    <xf numFmtId="0" fontId="4" fillId="3" borderId="20" xfId="1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 vertical="center" wrapText="1"/>
    </xf>
    <xf numFmtId="0" fontId="8" fillId="3" borderId="26" xfId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 wrapText="1"/>
    </xf>
    <xf numFmtId="0" fontId="6" fillId="9" borderId="13" xfId="0" applyFont="1" applyFill="1" applyBorder="1" applyAlignment="1" applyProtection="1">
      <alignment horizontal="left" vertical="center"/>
      <protection locked="0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4" fillId="3" borderId="13" xfId="1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center" vertical="center"/>
      <protection hidden="1"/>
    </xf>
    <xf numFmtId="0" fontId="7" fillId="0" borderId="13" xfId="0" applyFont="1" applyBorder="1" applyAlignment="1" applyProtection="1">
      <alignment horizontal="center" vertical="center"/>
      <protection locked="0"/>
    </xf>
    <xf numFmtId="165" fontId="0" fillId="0" borderId="10" xfId="2" applyNumberFormat="1" applyFont="1" applyBorder="1" applyAlignment="1">
      <alignment horizontal="center" vertical="top" wrapText="1"/>
    </xf>
    <xf numFmtId="1" fontId="10" fillId="2" borderId="1" xfId="0" applyNumberFormat="1" applyFont="1" applyFill="1" applyBorder="1" applyAlignment="1" applyProtection="1">
      <alignment horizontal="center" vertical="center"/>
      <protection hidden="1"/>
    </xf>
    <xf numFmtId="1" fontId="8" fillId="3" borderId="13" xfId="1" applyNumberFormat="1" applyFont="1" applyFill="1" applyBorder="1" applyAlignment="1">
      <alignment horizontal="center" vertical="center" wrapText="1"/>
    </xf>
    <xf numFmtId="1" fontId="4" fillId="3" borderId="13" xfId="1" applyNumberFormat="1" applyFont="1" applyFill="1" applyBorder="1" applyAlignment="1">
      <alignment horizontal="center"/>
    </xf>
    <xf numFmtId="14" fontId="11" fillId="5" borderId="1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14" fontId="11" fillId="10" borderId="14" xfId="0" applyNumberFormat="1" applyFont="1" applyFill="1" applyBorder="1" applyAlignment="1" applyProtection="1">
      <alignment horizontal="center" vertical="center" wrapText="1"/>
      <protection hidden="1"/>
    </xf>
    <xf numFmtId="14" fontId="7" fillId="0" borderId="13" xfId="0" applyNumberFormat="1" applyFont="1" applyBorder="1" applyAlignment="1" applyProtection="1">
      <alignment horizontal="center" vertical="center"/>
      <protection locked="0"/>
    </xf>
    <xf numFmtId="14" fontId="0" fillId="0" borderId="0" xfId="0" applyNumberFormat="1" applyAlignment="1">
      <alignment horizontal="left" vertical="top" wrapText="1" indent="1"/>
    </xf>
    <xf numFmtId="14" fontId="11" fillId="11" borderId="14" xfId="0" applyNumberFormat="1" applyFont="1" applyFill="1" applyBorder="1" applyAlignment="1" applyProtection="1">
      <alignment horizontal="center" vertical="center" wrapText="1"/>
      <protection hidden="1"/>
    </xf>
    <xf numFmtId="14" fontId="11" fillId="10" borderId="17" xfId="0" applyNumberFormat="1" applyFont="1" applyFill="1" applyBorder="1" applyAlignment="1">
      <alignment horizontal="center" vertical="center" wrapText="1"/>
    </xf>
    <xf numFmtId="14" fontId="11" fillId="11" borderId="17" xfId="0" applyNumberFormat="1" applyFont="1" applyFill="1" applyBorder="1" applyAlignment="1">
      <alignment horizontal="center" vertical="center" wrapText="1"/>
    </xf>
    <xf numFmtId="164" fontId="5" fillId="12" borderId="13" xfId="0" applyNumberFormat="1" applyFont="1" applyFill="1" applyBorder="1" applyAlignment="1" applyProtection="1">
      <alignment horizontal="center" vertical="center"/>
      <protection hidden="1"/>
    </xf>
    <xf numFmtId="164" fontId="5" fillId="3" borderId="13" xfId="0" applyNumberFormat="1" applyFont="1" applyFill="1" applyBorder="1" applyAlignment="1" applyProtection="1">
      <alignment horizontal="center" vertical="center"/>
      <protection hidden="1"/>
    </xf>
    <xf numFmtId="164" fontId="5" fillId="13" borderId="13" xfId="0" applyNumberFormat="1" applyFont="1" applyFill="1" applyBorder="1" applyAlignment="1" applyProtection="1">
      <alignment horizontal="center" vertical="center"/>
      <protection hidden="1"/>
    </xf>
    <xf numFmtId="164" fontId="5" fillId="14" borderId="13" xfId="0" applyNumberFormat="1" applyFont="1" applyFill="1" applyBorder="1" applyAlignment="1" applyProtection="1">
      <alignment horizontal="center" vertical="center"/>
      <protection hidden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</cellXfs>
  <cellStyles count="3">
    <cellStyle name="Normal" xfId="0" builtinId="0"/>
    <cellStyle name="Normal 2" xfId="1" xr:uid="{42090E7C-01C3-4A0A-88B5-D96A9BA41DC0}"/>
    <cellStyle name="Percent" xfId="2" builtinId="5"/>
  </cellStyles>
  <dxfs count="387"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39DE2-8F2A-4D74-B557-1676C6C746E5}" name="TagsRA0" displayName="TagsRA0" ref="A1:P341" totalsRowShown="0" headerRowDxfId="386" dataDxfId="385">
  <autoFilter ref="A1:P341" xr:uid="{25739DE2-8F2A-4D74-B557-1676C6C746E5}"/>
  <tableColumns count="16">
    <tableColumn id="1" xr3:uid="{8E29AF23-D2B5-48AA-AA1F-07105CCD58D5}" name="Unit No." dataDxfId="384" dataCellStyle="Normal 2"/>
    <tableColumn id="2" xr3:uid="{280F4C70-A824-4162-AD22-59661912177D}" name="DATE" dataDxfId="383"/>
    <tableColumn id="16" xr3:uid="{3C56F797-A188-40EB-83A7-E08C9B524D9B}" name="Status" dataDxfId="382"/>
    <tableColumn id="3" xr3:uid="{E8F16424-FE11-40AB-91C4-B5E82D5F8820}" name="Number of cars affected by graffiti/shadows on this unit" dataDxfId="381"/>
    <tableColumn id="4" xr3:uid="{2A615BEC-C4DF-4509-A3F4-C8AAB324BA15}" name="Total Number of Tags found" dataDxfId="380"/>
    <tableColumn id="5" xr3:uid="{D1A895EF-2576-44AE-A0BA-CFBDF7C9D702}" name="Total Tags Removed / Cleaned" dataDxfId="379"/>
    <tableColumn id="6" xr3:uid="{239F26BC-84E8-4761-9AC4-39E1E2992FC2}" name="Total Tags Not Cleaned on this Unit" dataDxfId="378"/>
    <tableColumn id="7" xr3:uid="{15C35F87-3516-4633-BB82-7617449E1313}" name="Car Number (s)  of Tags not cleaned (shadows)" dataDxfId="377"/>
    <tableColumn id="8" xr3:uid="{69369207-7FF6-4DA7-A903-437CAD1DA830}" name="Date of 2nd visit to clean remaining tags" dataDxfId="376"/>
    <tableColumn id="9" xr3:uid="{B92D9AE7-C8FD-4CBE-952B-0A87423AA4DB}" name="Number of tags removed" dataDxfId="375"/>
    <tableColumn id="10" xr3:uid="{907636B3-99A9-4FBB-9921-E7F775FE0243}" name="Date of 3rd visit to clean remaining tags" dataDxfId="374"/>
    <tableColumn id="11" xr3:uid="{6AD6B2BE-BDF2-4C20-821D-9B16FBA09CA4}" name="Number of tags removed2" dataDxfId="373"/>
    <tableColumn id="12" xr3:uid="{800251E3-1F7C-41D6-A68A-10BE6C49C53C}" name="Train Inspected and Fit for service    (Y/N)" dataDxfId="372"/>
    <tableColumn id="13" xr3:uid="{E7DC253B-A5AD-4BEB-9B57-E1D1A4115E37}" name="Inspected by Supervisor/Manager (Name)" dataDxfId="371"/>
    <tableColumn id="14" xr3:uid="{EAA7A615-B716-40F3-93B7-D50AF10CEBD2}" name="Date of Completing all shadows (Tags) on this Unit excluding acid etched shadows" dataDxfId="370"/>
    <tableColumn id="15" xr3:uid="{F363365B-8E82-4B7F-8B10-B094022294DC}" name="Car Number (s)  of Tags not cleaned due to acid etched shadows" dataDxfId="36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5C3E80-F1E8-4065-969F-41CDFA505ADD}" name="TagsRA1" displayName="TagsRA1" ref="A1:P341" totalsRowShown="0" dataDxfId="368" tableBorderDxfId="367">
  <autoFilter ref="A1:P341" xr:uid="{055C3E80-F1E8-4065-969F-41CDFA505ADD}"/>
  <tableColumns count="16">
    <tableColumn id="1" xr3:uid="{F4426E50-6DE3-4712-B097-84033CBAAC7C}" name="Unit No." dataDxfId="366" dataCellStyle="Normal 2"/>
    <tableColumn id="2" xr3:uid="{52050C25-9F15-4E0B-B902-4A7B25C375FF}" name="DATE" dataDxfId="365"/>
    <tableColumn id="3" xr3:uid="{67497FD7-2C09-4967-B637-7F44073ADFCA}" name="Status" dataDxfId="364"/>
    <tableColumn id="4" xr3:uid="{28BE4AFA-918C-4895-BF78-DE0F9389F8E1}" name="Number of cars affected by graffiti/shadows on this unit" dataDxfId="363"/>
    <tableColumn id="5" xr3:uid="{28F63405-E9C2-4161-A5AF-943A81DBD3B0}" name="Total Number of Tags found" dataDxfId="362"/>
    <tableColumn id="6" xr3:uid="{2F425AD2-FC36-47D0-B9C1-83D7049E8C95}" name="Total Tags Removed / Cleaned" dataDxfId="361"/>
    <tableColumn id="7" xr3:uid="{A9AA02A3-785F-4FD3-9EF8-B2E137749E85}" name="Total Tags Not Cleaned on this Unit" dataDxfId="360"/>
    <tableColumn id="8" xr3:uid="{8119F186-8156-4085-8F18-2EBA7298155A}" name="Car Number (s)  of Tags not cleaned (shadows)" dataDxfId="359"/>
    <tableColumn id="9" xr3:uid="{36A11E21-F31F-4699-8617-83AF13A09E99}" name="Date of 2nd visit to clean remaining tags" dataDxfId="358"/>
    <tableColumn id="10" xr3:uid="{B0DA56F3-CB56-4691-B4E3-85B812EF51E1}" name="Number of tags removed" dataDxfId="357"/>
    <tableColumn id="11" xr3:uid="{E2D13399-CD64-435C-9BE2-2F67B5C26CA3}" name="Date of 3rd visit to clean remaining tags" dataDxfId="356"/>
    <tableColumn id="12" xr3:uid="{2F01406E-0D38-443C-82E5-7CF608564158}" name="Number of tags removed2" dataDxfId="355"/>
    <tableColumn id="13" xr3:uid="{CFB326A5-6BFB-4C04-9257-3B2D58F571FA}" name="Train Inspected and Fit for service    (Y/N)" dataDxfId="354"/>
    <tableColumn id="14" xr3:uid="{8B1FB599-8849-449F-83BD-8D60A212049C}" name="Inspected by Supervisor/Manager (Name)" dataDxfId="353"/>
    <tableColumn id="15" xr3:uid="{476295EB-DB92-4E6C-A0A3-7E36B5E4D11C}" name="Date of Completing all shadows (Tags) on this Unit excluding acid etched shadows" dataDxfId="352"/>
    <tableColumn id="16" xr3:uid="{A735C9C1-FD69-4A18-A761-613AA1A8CC70}" name="Car Number (s)  of Tags not cleaned due to acid etched shadows" dataDxfId="35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46A322-7C2B-44DA-ACD0-614501242134}" name="TagsRA2" displayName="TagsRA2" ref="A1:P341" totalsRowShown="0" headerRowDxfId="350" dataDxfId="349" tableBorderDxfId="348">
  <autoFilter ref="A1:P341" xr:uid="{F246A322-7C2B-44DA-ACD0-614501242134}"/>
  <tableColumns count="16">
    <tableColumn id="1" xr3:uid="{AA7B76C1-CC41-4EDC-A15A-9B7FED0C484E}" name="Unit No." dataDxfId="347" dataCellStyle="Normal 2"/>
    <tableColumn id="2" xr3:uid="{DD5B4A64-2AD5-4865-9A36-48905E4D02C5}" name="DATE" dataDxfId="346"/>
    <tableColumn id="3" xr3:uid="{87955A5F-35C2-43B6-9A95-989D1B48777C}" name="Status" dataDxfId="345"/>
    <tableColumn id="4" xr3:uid="{E05D6B80-9AA2-42E4-A7E0-804B2459587A}" name="Number of cars affected by graffiti/shadows on this unit" dataDxfId="344"/>
    <tableColumn id="5" xr3:uid="{07CBAEED-EDC9-459A-9F89-283F083CAD69}" name="Total Number of Tags found" dataDxfId="343"/>
    <tableColumn id="6" xr3:uid="{43FCB5A5-B5F3-4FBE-ACE0-6C0B36B95F34}" name="Total Tags Removed / Cleaned" dataDxfId="342"/>
    <tableColumn id="7" xr3:uid="{C18072F5-D8B1-42A8-8B97-9E5C843F545C}" name="Total Tags Not Cleaned on this Unit" dataDxfId="341"/>
    <tableColumn id="8" xr3:uid="{D0D93D34-F2B8-443D-9186-173ECAD00655}" name="Car Number (s)  of Tags not cleaned (shadows)" dataDxfId="340"/>
    <tableColumn id="9" xr3:uid="{46FDB5AD-6FCD-4BEB-A571-05447C7D2F16}" name="Date of 2nd visit to clean remaining tags" dataDxfId="339"/>
    <tableColumn id="10" xr3:uid="{75CF85A2-F634-44E6-953A-D5C9CECB78C4}" name="Number of tags removed" dataDxfId="338"/>
    <tableColumn id="11" xr3:uid="{77FCC65A-F584-4A76-92AF-6793ED753DFD}" name="Date of 3rd visit to clean remaining tags" dataDxfId="337"/>
    <tableColumn id="12" xr3:uid="{2B2690BA-B6FC-4F64-977E-7A004B2523BB}" name="Number of tags removed2" dataDxfId="336"/>
    <tableColumn id="13" xr3:uid="{5AC99077-0360-41A0-BD4A-9DF088F2080E}" name="Train Inspected and Fit for service    (Y/N)" dataDxfId="335"/>
    <tableColumn id="14" xr3:uid="{93331A0F-E41B-4792-BC9F-1C9A6B3AF0E9}" name="Inspected by Supervisor/Manager (Name)" dataDxfId="334"/>
    <tableColumn id="15" xr3:uid="{0F89DBE2-20E3-4BCD-A3E2-CC942CA8F207}" name="Date of Completing all shadows (Tags) on this Unit excluding acid etched shadows" dataDxfId="333"/>
    <tableColumn id="16" xr3:uid="{20556E22-9DF1-4FC7-A01E-4C5813718EEB}" name="Car Number (s)  of Tags not cleaned due to acid etched shadows" dataDxfId="3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FC8A9F-99FF-425A-A2DC-806E346D7351}" name="TagsRA3" displayName="TagsRA3" ref="A1:P341" totalsRowShown="0" headerRowDxfId="331" dataDxfId="330" tableBorderDxfId="329">
  <autoFilter ref="A1:P341" xr:uid="{88FC8A9F-99FF-425A-A2DC-806E346D7351}"/>
  <tableColumns count="16">
    <tableColumn id="1" xr3:uid="{9E67B48E-B2B5-41CE-B74B-C131FA05B1EF}" name="Unit No." dataDxfId="328" dataCellStyle="Normal 2"/>
    <tableColumn id="2" xr3:uid="{B0139093-E3C8-4914-9BED-C117B7055A68}" name="DATE" dataDxfId="327"/>
    <tableColumn id="3" xr3:uid="{ADB9A756-FF6E-43BF-A0F6-13E7B9632E3D}" name="Status" dataDxfId="326"/>
    <tableColumn id="4" xr3:uid="{A27D76A6-F9FB-4096-9775-0C4ACEBB743F}" name="Number of cars affected by graffiti/shadows on this unit" dataDxfId="325"/>
    <tableColumn id="5" xr3:uid="{68F488DA-11E2-448E-ACBC-6948F56CFB70}" name="Total Number of Tags found" dataDxfId="324"/>
    <tableColumn id="6" xr3:uid="{5DAC82DC-130B-469C-8823-E1C05A66C55E}" name="Total Tags Removed / Cleaned" dataDxfId="323"/>
    <tableColumn id="7" xr3:uid="{119C2B33-EEDD-47D8-96C4-92A1BEBE8599}" name="Total Tags Not Cleaned on this Unit" dataDxfId="322"/>
    <tableColumn id="8" xr3:uid="{E7D7D1E4-7062-43E0-B0B4-28F584D7BB33}" name="Car Number (s)  of Tags not cleaned (shadows)" dataDxfId="321"/>
    <tableColumn id="9" xr3:uid="{8658B66D-0285-4477-9F3B-4BFFB62AE8C7}" name="Date of 2nd visit to clean remaining tags" dataDxfId="320"/>
    <tableColumn id="10" xr3:uid="{0DE077A2-7126-46FA-9806-3A2310F05FCF}" name="Number of tags removed" dataDxfId="319"/>
    <tableColumn id="11" xr3:uid="{3EB86066-A8C1-42C8-BD8D-2299C169758A}" name="Date of 3rd visit to clean remaining tags" dataDxfId="318"/>
    <tableColumn id="12" xr3:uid="{17FEF7A9-D170-43A6-9832-649688271E55}" name="Number of tags removed2" dataDxfId="317"/>
    <tableColumn id="13" xr3:uid="{962A6CAE-7569-4AE7-847C-FAE4CC62599B}" name="Train Inspected and Fit for service    (Y/N)" dataDxfId="316"/>
    <tableColumn id="14" xr3:uid="{C17A7922-8168-4E88-82A8-B7F72C3A015B}" name="Inspected by Supervisor/Manager (Name)" dataDxfId="315"/>
    <tableColumn id="15" xr3:uid="{EE06BD65-C533-41F5-A973-CD4DD5B78843}" name="Date of Completing all shadows (Tags) on this Unit excluding acid etched shadows" dataDxfId="314"/>
    <tableColumn id="16" xr3:uid="{698E9DE1-334A-4A60-BA3F-215844171F25}" name="Car Number (s)  of Tags not cleaned due to acid etched shadows" dataDxfId="3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023B58-265E-4653-AE98-D2C661461C39}" name="TagsRA4" displayName="TagsRA4" ref="A1:P341" totalsRowShown="0" dataDxfId="312" tableBorderDxfId="311">
  <autoFilter ref="A1:P341" xr:uid="{F4023B58-265E-4653-AE98-D2C661461C39}"/>
  <tableColumns count="16">
    <tableColumn id="1" xr3:uid="{E532262D-A578-452C-ADE8-8AAE241F27FC}" name="Unit No." dataDxfId="310" dataCellStyle="Normal 2"/>
    <tableColumn id="2" xr3:uid="{F5AE1B6C-2FE7-4089-B0EE-ECB71BECF75A}" name="DATE" dataDxfId="309"/>
    <tableColumn id="3" xr3:uid="{D6C2A3FA-9299-4AAB-83E2-BCFED135877D}" name="Status" dataDxfId="308"/>
    <tableColumn id="4" xr3:uid="{3A57CBA5-C041-4A05-A0A0-243A49D6012B}" name="Number of cars affected by graffiti/shadows on this unit" dataDxfId="307"/>
    <tableColumn id="5" xr3:uid="{F5876F73-F6AD-408E-9A13-D2DF4276CB05}" name="Total Number of Tags found" dataDxfId="306"/>
    <tableColumn id="6" xr3:uid="{4E65A1CA-1278-4998-83D7-AC43DA4E947E}" name="Total Tags Removed / Cleaned" dataDxfId="305"/>
    <tableColumn id="7" xr3:uid="{08A9A2F0-7575-40B4-ABF5-CA7792F18A64}" name="Total Tags Not Cleaned on this Unit" dataDxfId="304"/>
    <tableColumn id="8" xr3:uid="{889DD197-602E-4226-96EC-3DE693B8C875}" name="Car Number (s)  of Tags not cleaned (shadows)" dataDxfId="303"/>
    <tableColumn id="9" xr3:uid="{0A1025FA-DC94-4795-ADCE-F2E093AC1D4F}" name="Date of 2nd visit to clean remaining tags" dataDxfId="302"/>
    <tableColumn id="10" xr3:uid="{11E340CD-2DD7-43C6-99FE-331666AFD984}" name="Number of tags removed" dataDxfId="301"/>
    <tableColumn id="11" xr3:uid="{1C487697-8816-44F5-B89E-06BC9A28BDC9}" name="Date of 3rd visit to clean remaining tags" dataDxfId="300"/>
    <tableColumn id="12" xr3:uid="{46D45003-1CF1-496A-A56C-177A93A32D7B}" name="Number of tags removed2" dataDxfId="299"/>
    <tableColumn id="13" xr3:uid="{54727284-AE82-4E20-8ACE-53E1F5AFADE7}" name="Train Inspected and Fit for service    (Y/N)" dataDxfId="298"/>
    <tableColumn id="14" xr3:uid="{520BAC98-012B-4D49-AD95-A0575C14D637}" name="Inspected by Supervisor/Manager (Name)" dataDxfId="297"/>
    <tableColumn id="15" xr3:uid="{9BA964C1-5CC4-42D5-8456-01C59DAE5B83}" name="Date of Completing all shadows (Tags) on this Unit excluding acid etched shadows" dataDxfId="296"/>
    <tableColumn id="16" xr3:uid="{4A8DB84F-0090-4374-A6FF-739E753BDC03}" name="Car Number (s)  of Tags not cleaned due to acid etched shadows" dataDxfId="2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06974B-E406-4A8D-A942-3F29AAB55605}" name="TagsRA5" displayName="TagsRA5" ref="A1:P341" totalsRowShown="0" headerRowDxfId="294" dataDxfId="293" tableBorderDxfId="292">
  <autoFilter ref="A1:P341" xr:uid="{A706974B-E406-4A8D-A942-3F29AAB55605}"/>
  <tableColumns count="16">
    <tableColumn id="1" xr3:uid="{6B9BEDBE-E372-41C8-B51E-4AE8554A9E60}" name="Unit No." dataDxfId="291" dataCellStyle="Normal 2"/>
    <tableColumn id="2" xr3:uid="{FE44B94D-C0F0-47FB-B574-768E29A11BF9}" name="DATE" dataDxfId="290"/>
    <tableColumn id="3" xr3:uid="{7B4433D1-DE97-4CEE-8CEF-35AB62033B87}" name="Status" dataDxfId="289"/>
    <tableColumn id="4" xr3:uid="{9C9FF2F3-83CD-431E-84AE-3D82CAEAC687}" name="Number of cars affected by graffiti/shadows on this unit" dataDxfId="288"/>
    <tableColumn id="5" xr3:uid="{66D0B0AA-9903-4F20-93B3-995AFCD21169}" name="Total Number of Tags found" dataDxfId="287"/>
    <tableColumn id="6" xr3:uid="{882A17F7-C713-47D8-AB6A-1C3CE8483052}" name="Total Tags Removed / Cleaned" dataDxfId="286"/>
    <tableColumn id="7" xr3:uid="{88FB23F3-C5BF-44FF-90A0-6119771C2CE4}" name="Total Tags Not Cleaned on this Unit" dataDxfId="285"/>
    <tableColumn id="8" xr3:uid="{B68FEA3E-65FF-43EC-A345-C441DBCF2C0E}" name="Car Number (s)  of Tags not cleaned (shadows)" dataDxfId="284"/>
    <tableColumn id="9" xr3:uid="{07516BDC-2892-4699-8FCF-389CBF451538}" name="Date of 2nd visit to clean remaining tags" dataDxfId="283"/>
    <tableColumn id="10" xr3:uid="{B5335020-78B8-41B1-909F-D3B6E12C99AB}" name="Number of tags removed" dataDxfId="282"/>
    <tableColumn id="11" xr3:uid="{9CF2CB4E-1AA1-48FB-A00F-850EEE1C3ED6}" name="Date of 3rd visit to clean remaining tags" dataDxfId="281"/>
    <tableColumn id="12" xr3:uid="{7587150E-DBA3-48B3-B16D-843DA702B77B}" name="Number of tags removed2" dataDxfId="280"/>
    <tableColumn id="13" xr3:uid="{2BCA8CAB-ECD9-4406-BA98-4DE4C5DEA893}" name="Train Inspected and Fit for service    (Y/N)" dataDxfId="279"/>
    <tableColumn id="14" xr3:uid="{28C33576-099B-4E7E-8BFD-5488A0E97573}" name="Inspected by Supervisor/Manager (Name)" dataDxfId="278"/>
    <tableColumn id="15" xr3:uid="{3DCE6DD9-92E7-4000-B55E-1C7300A3B8ED}" name="Date of Completing all shadows (Tags) on this Unit excluding acid etched shadows" dataDxfId="277"/>
    <tableColumn id="16" xr3:uid="{384D2BF4-CF0F-4CAB-93C4-C531BB6184E6}" name="Car Number (s)  of Tags not cleaned due to acid etched shadows" dataDxfId="27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BE998A-EAB3-460B-9825-8C8BF638603F}" name="TagsRA6" displayName="TagsRA6" ref="A1:P341" totalsRowShown="0" headerRowDxfId="275" dataDxfId="274" tableBorderDxfId="273">
  <autoFilter ref="A1:P341" xr:uid="{F3BE998A-EAB3-460B-9825-8C8BF638603F}"/>
  <tableColumns count="16">
    <tableColumn id="1" xr3:uid="{D35B46F5-4BAE-4531-870B-16C2FE56507A}" name="Unit No." dataDxfId="272" dataCellStyle="Normal 2"/>
    <tableColumn id="2" xr3:uid="{FBB22DCE-C56D-4136-BBC6-D0C6EF41C7A3}" name="DATE" dataDxfId="271"/>
    <tableColumn id="3" xr3:uid="{43B014A4-23B1-431F-B980-B7CC1CB7AD00}" name="Status" dataDxfId="270"/>
    <tableColumn id="4" xr3:uid="{6E191EC2-7F2F-4089-8E4B-5BEF77789A12}" name="Number of cars affected by graffiti/shadows on this unit" dataDxfId="269"/>
    <tableColumn id="5" xr3:uid="{192D2158-5ECD-4A7B-B7F1-80AE8450F4AA}" name="Total Number of Tags found" dataDxfId="268"/>
    <tableColumn id="6" xr3:uid="{E56ACA20-41F5-4ABD-830B-8FBF8BB53ADB}" name="Total Tags Removed / Cleaned" dataDxfId="267"/>
    <tableColumn id="7" xr3:uid="{F66556B3-8A84-4916-A0AA-822D00979F09}" name="Total Tags Not Cleaned on this Unit" dataDxfId="266"/>
    <tableColumn id="8" xr3:uid="{07383774-9C1C-4AE1-8510-002FB8EE817A}" name="Car Number (s)  of Tags not cleaned (shadows)" dataDxfId="265"/>
    <tableColumn id="9" xr3:uid="{A878154B-192C-44AC-8FD4-125CDF127C9D}" name="Date of 2nd visit to clean remaining tags" dataDxfId="264"/>
    <tableColumn id="10" xr3:uid="{8FD3C07F-0A12-444C-A09A-F1D88BA519F3}" name="Number of tags removed" dataDxfId="263"/>
    <tableColumn id="11" xr3:uid="{6219D737-9D6F-47A1-9597-94C13265E898}" name="Date of 3rd visit to clean remaining tags" dataDxfId="262"/>
    <tableColumn id="12" xr3:uid="{5645E381-D7B4-4335-A2F6-F8D4004B8FBA}" name="Number of tags removed2" dataDxfId="261"/>
    <tableColumn id="13" xr3:uid="{C3F9E3E6-4E88-45CE-9C4A-D85855004F29}" name="Train Inspected and Fit for service    (Y/N)" dataDxfId="260"/>
    <tableColumn id="14" xr3:uid="{3A9978AD-240C-433F-AF6F-A8FE360184EF}" name="Inspected by Supervisor/Manager (Name)" dataDxfId="259"/>
    <tableColumn id="15" xr3:uid="{E8F9A25A-EC48-4495-A8AA-9911978600C8}" name="Date of Completing all shadows (Tags) on this Unit excluding acid etched shadows" dataDxfId="258"/>
    <tableColumn id="16" xr3:uid="{0A9911D1-AC3D-4E8B-9E49-2460277B1614}" name="Car Number (s)  of Tags not cleaned due to acid etched shadows" dataDxfId="25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3CCC1EB-0CA7-4686-9023-BA58E10DCAE9}" name="TagsRA7" displayName="TagsRA7" ref="A1:P341" totalsRowShown="0" headerRowDxfId="256" dataDxfId="255" tableBorderDxfId="254">
  <autoFilter ref="A1:P341" xr:uid="{C3CCC1EB-0CA7-4686-9023-BA58E10DCAE9}"/>
  <tableColumns count="16">
    <tableColumn id="1" xr3:uid="{B7C061C6-37C7-43B0-B53D-9CD2F02C3ECB}" name="Unit No." dataDxfId="253" dataCellStyle="Normal 2"/>
    <tableColumn id="2" xr3:uid="{EF4EC2EA-9E1E-4A50-B33A-ABA8F140A80E}" name="DATE" dataDxfId="252"/>
    <tableColumn id="3" xr3:uid="{FE014084-2AB6-439F-B81F-A31B727A703F}" name="Status" dataDxfId="251"/>
    <tableColumn id="4" xr3:uid="{5917508F-83D7-4ADC-BDF7-D3950815F70D}" name="Number of cars affected by graffiti/shadows on this unit" dataDxfId="250"/>
    <tableColumn id="5" xr3:uid="{DD302FAE-CFFE-4598-A6A9-453035F1A146}" name="Total Number of Tags found" dataDxfId="249"/>
    <tableColumn id="6" xr3:uid="{8699AEF6-696C-4606-8420-A6F044B56BAC}" name="Total Tags Removed / Cleaned" dataDxfId="248"/>
    <tableColumn id="7" xr3:uid="{95BBB5B4-FF52-4DEC-952D-BEB56A0F1060}" name="Total Tags Not Cleaned on this Unit" dataDxfId="247"/>
    <tableColumn id="8" xr3:uid="{80FCCBE6-D672-4C06-A22E-91B3BDFE4092}" name="Car Number (s)  of Tags not cleaned (shadows)" dataDxfId="246"/>
    <tableColumn id="9" xr3:uid="{DAFA5009-E5D9-4889-8EC0-E57A63F63538}" name="Date of 2nd visit to clean remaining tags" dataDxfId="245"/>
    <tableColumn id="10" xr3:uid="{BC194A7C-0E77-43E0-A0DA-11BA81F03BB8}" name="Number of tags removed" dataDxfId="244"/>
    <tableColumn id="11" xr3:uid="{A35E02D0-EE19-4B6D-B89E-6E04F1D20306}" name="Date of 3rd visit to clean remaining tags" dataDxfId="243"/>
    <tableColumn id="12" xr3:uid="{6AF2F213-8590-46CD-8460-CDE93DF3792B}" name="Number of tags removed2" dataDxfId="242"/>
    <tableColumn id="13" xr3:uid="{2458630A-EE59-4F98-995F-3322FD4B4989}" name="Train Inspected and Fit for service    (Y/N)" dataDxfId="241"/>
    <tableColumn id="14" xr3:uid="{438490E6-18DC-4150-BDBA-22D290C34C70}" name="Inspected by Supervisor/Manager (Name)" dataDxfId="240"/>
    <tableColumn id="15" xr3:uid="{C5D6BB46-1AF4-49E5-9413-1EA8B159B130}" name="Date of Completing all shadows (Tags) on this Unit excluding acid etched shadows" dataDxfId="239"/>
    <tableColumn id="16" xr3:uid="{3AB0C4E3-AC11-42C7-90E1-5BFE49B0D334}" name="Car Number (s)  of Tags not cleaned due to acid etched shadows" dataDxfId="23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3D78991-CDFD-4953-8DDE-4C109F38CC84}" name="TagsRA8" displayName="TagsRA8" ref="A1:P341" totalsRowShown="0" headerRowDxfId="237" dataDxfId="236" tableBorderDxfId="235">
  <autoFilter ref="A1:P341" xr:uid="{E3D78991-CDFD-4953-8DDE-4C109F38CC84}"/>
  <tableColumns count="16">
    <tableColumn id="1" xr3:uid="{4D7C6BE6-0DF0-4E7F-9297-B40D23650352}" name="Unit No." dataDxfId="234" dataCellStyle="Normal 2"/>
    <tableColumn id="2" xr3:uid="{DCD7F4CE-8EB5-49E7-BAA9-05F998500AC4}" name="DATE" dataDxfId="233"/>
    <tableColumn id="3" xr3:uid="{DC68C896-7604-4309-8214-4A3B3207DF67}" name="Status" dataDxfId="232"/>
    <tableColumn id="4" xr3:uid="{9E0121F0-493F-43E0-B4D0-A0A257A8EA6B}" name="Number of cars affected by graffiti/shadows on this unit" dataDxfId="231"/>
    <tableColumn id="5" xr3:uid="{3FA97C99-0A49-4485-A66D-5FE647ACD406}" name="Total Number of Tags found" dataDxfId="230"/>
    <tableColumn id="6" xr3:uid="{95BB0962-F83E-42FE-94B0-AE2652D9ABD7}" name="Total Tags Removed / Cleaned" dataDxfId="229"/>
    <tableColumn id="7" xr3:uid="{AB76B730-9AD1-45DE-9D3D-3A957EF29FE9}" name="Total Tags Not Cleaned on this Unit" dataDxfId="228"/>
    <tableColumn id="8" xr3:uid="{E2B37295-B514-4450-837B-E693D9CC352A}" name="Car Number (s)  of Tags not cleaned (shadows)" dataDxfId="227"/>
    <tableColumn id="9" xr3:uid="{06B69593-2ECF-4D99-B681-D1B3F23759E7}" name="Date of 2nd visit to clean remaining tags" dataDxfId="226"/>
    <tableColumn id="10" xr3:uid="{6B2EDDCC-31FF-4A23-A857-0147AF4CAEB7}" name="Number of tags removed" dataDxfId="225"/>
    <tableColumn id="11" xr3:uid="{3095A129-C386-4276-B6B4-9D4684385F22}" name="Date of 3rd visit to clean remaining tags" dataDxfId="224"/>
    <tableColumn id="12" xr3:uid="{E12EBA54-1467-466B-985C-561722927E1F}" name="Number of tags removed2" dataDxfId="223"/>
    <tableColumn id="13" xr3:uid="{9090D18A-55D7-439D-9720-EEDD53D96DFB}" name="Train Inspected and Fit for service    (Y/N)" dataDxfId="222"/>
    <tableColumn id="14" xr3:uid="{586B0415-2F0F-419D-B28F-72C5981703FF}" name="Inspected by Supervisor/Manager (Name)" dataDxfId="221"/>
    <tableColumn id="15" xr3:uid="{7C5E1692-477F-4E20-8326-22BC13D506DE}" name="Date of Completing all shadows (Tags) on this Unit excluding acid etched shadows" dataDxfId="220"/>
    <tableColumn id="16" xr3:uid="{AB502279-CBFE-47D2-A20A-9F5368DFCBE3}" name="Car Number (s)  of Tags not cleaned due to acid etched shadows" dataDxfId="21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0991185-A119-4635-9444-D621C29FCDB6}" name="TagsRA9" displayName="TagsRA9" ref="A1:P341" totalsRowShown="0" headerRowDxfId="218" dataDxfId="217" tableBorderDxfId="216">
  <autoFilter ref="A1:P341" xr:uid="{90991185-A119-4635-9444-D621C29FCDB6}"/>
  <tableColumns count="16">
    <tableColumn id="1" xr3:uid="{C1578BD5-70E0-4824-9B54-E295D9A1BB30}" name="Unit No." dataDxfId="215" dataCellStyle="Normal 2"/>
    <tableColumn id="2" xr3:uid="{518AA7E1-369B-49CC-A60E-EE3F15DBBC32}" name="DATE" dataDxfId="214"/>
    <tableColumn id="3" xr3:uid="{0717CEC9-55EC-4F79-B349-B4B599097E82}" name="Status" dataDxfId="213"/>
    <tableColumn id="4" xr3:uid="{9E27957C-8645-4961-BEDA-5B203D42C3D4}" name="Number of cars affected by graffiti/shadows on this unit" dataDxfId="212"/>
    <tableColumn id="5" xr3:uid="{B770CE79-C219-4A38-A2C6-1FA76ED25B12}" name="Total Number of Tags found" dataDxfId="211"/>
    <tableColumn id="6" xr3:uid="{A9704DB1-C3B8-4D99-9CF6-9BA20A35F92C}" name="Total Tags Removed / Cleaned" dataDxfId="210"/>
    <tableColumn id="7" xr3:uid="{BFA56168-A392-4748-9B20-BF89067EE35C}" name="Total Tags Not Cleaned on this Unit" dataDxfId="209"/>
    <tableColumn id="8" xr3:uid="{B4446814-0FEE-48A5-9B8F-09CEB03B1AFF}" name="Car Number (s)  of Tags not cleaned (shadows)" dataDxfId="208"/>
    <tableColumn id="9" xr3:uid="{302FADD9-BBF0-478F-8C65-B404B2479E7C}" name="Date of 2nd visit to clean remaining tags" dataDxfId="207"/>
    <tableColumn id="10" xr3:uid="{5A6DC1BD-C702-4EDC-A1EC-66CA68F86CDD}" name="Number of tags removed" dataDxfId="206"/>
    <tableColumn id="11" xr3:uid="{FA2D7497-6815-40BC-B9EE-E623F8CF9CCE}" name="Date of 3rd visit to clean remaining tags" dataDxfId="205"/>
    <tableColumn id="12" xr3:uid="{73E5E678-EE36-40C2-90F5-6E9F323F6934}" name="Number of tags removed2" dataDxfId="204"/>
    <tableColumn id="13" xr3:uid="{37CE8A90-62D6-4409-8C14-29DA85DE986A}" name="Train Inspected and Fit for service    (Y/N)" dataDxfId="203"/>
    <tableColumn id="14" xr3:uid="{4707ED02-9491-4686-87F7-A82D87554B51}" name="Inspected by Supervisor/Manager (Name)" dataDxfId="202"/>
    <tableColumn id="15" xr3:uid="{E528CE7A-D4F1-4CD2-A017-264868E03100}" name="Date of Completing all shadows (Tags) on this Unit excluding acid etched shadows" dataDxfId="201"/>
    <tableColumn id="16" xr3:uid="{90BA2E5F-DE94-40E5-B2C5-8028E6EDFB9A}" name="Car Number (s)  of Tags not cleaned due to acid etched shadows" dataDxfId="20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D4F222E-DDDF-43BE-ACAC-FCB67E4AC8B1}" name="TagsRA10" displayName="TagsRA10" ref="A1:P341" totalsRowShown="0" headerRowDxfId="199" dataDxfId="198" tableBorderDxfId="197">
  <autoFilter ref="A1:P341" xr:uid="{90991185-A119-4635-9444-D621C29FCDB6}"/>
  <tableColumns count="16">
    <tableColumn id="1" xr3:uid="{679EAA1B-EE3B-4A18-AAE1-3CE5B5A07123}" name="Unit No." dataDxfId="196" dataCellStyle="Normal 2"/>
    <tableColumn id="2" xr3:uid="{C9D0BA02-FAB3-4691-9557-451C59635A8A}" name="DATE" dataDxfId="195"/>
    <tableColumn id="3" xr3:uid="{A1361FBF-DA87-4B85-B01C-7C684C1F86B3}" name="Status" dataDxfId="194"/>
    <tableColumn id="4" xr3:uid="{1D830E95-AB3A-4852-A573-E429707933C2}" name="Number of cars affected by graffiti/shadows on this unit" dataDxfId="193"/>
    <tableColumn id="5" xr3:uid="{3940786C-25C0-4DB1-A39F-0ABB84D1015D}" name="Total Number of Tags found" dataDxfId="192"/>
    <tableColumn id="6" xr3:uid="{C8D0C067-B8CC-42B0-939A-2EFF5142AC06}" name="Total Tags Removed / Cleaned" dataDxfId="191"/>
    <tableColumn id="7" xr3:uid="{9B21ECA2-EEA6-43A6-AA30-5A5127FCAAD7}" name="Total Tags Not Cleaned on this Unit" dataDxfId="190"/>
    <tableColumn id="8" xr3:uid="{D1EB1ECD-6901-400D-B443-1978494C372F}" name="Car Number (s)  of Tags not cleaned (shadows)" dataDxfId="189"/>
    <tableColumn id="9" xr3:uid="{5A5E4285-AB66-4297-9885-EE554B2F765E}" name="Date of 2nd visit to clean remaining tags" dataDxfId="188"/>
    <tableColumn id="10" xr3:uid="{70B7E12B-A1C7-4256-909F-23CE4066FC1D}" name="Number of tags removed" dataDxfId="187"/>
    <tableColumn id="11" xr3:uid="{95944602-FDD2-4D2D-AF88-4AE8E9762ABA}" name="Date of 3rd visit to clean remaining tags" dataDxfId="186"/>
    <tableColumn id="12" xr3:uid="{D0561322-6EAC-49BF-945B-877FFEEDB556}" name="Number of tags removed2" dataDxfId="185"/>
    <tableColumn id="13" xr3:uid="{8DC01424-4BF5-4AEF-B159-C618A87D682E}" name="Train Inspected and Fit for service    (Y/N)" dataDxfId="184"/>
    <tableColumn id="14" xr3:uid="{950665C3-FD16-4AEF-AB8D-9536FF7DAB25}" name="Inspected by Supervisor/Manager (Name)" dataDxfId="183"/>
    <tableColumn id="15" xr3:uid="{76083904-EBE1-4ADC-AB9E-89F8DBCF6C48}" name="Date of Completing all shadows (Tags) on this Unit excluding acid etched shadows" dataDxfId="182"/>
    <tableColumn id="16" xr3:uid="{FF7F14A1-7A0C-4F2D-8E0F-B26B445FA6A0}" name="Car Number (s)  of Tags not cleaned due to acid etched shadows" dataDxfId="18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CC66EB5-A1F4-4A54-90D6-70B6292E4E97}" name="TagsRA11" displayName="TagsRA11" ref="A1:P341" totalsRowShown="0" headerRowDxfId="180" dataDxfId="179" tableBorderDxfId="178">
  <autoFilter ref="A1:P341" xr:uid="{90991185-A119-4635-9444-D621C29FCDB6}"/>
  <tableColumns count="16">
    <tableColumn id="1" xr3:uid="{D5A37893-C2C7-4F0F-BA1C-D9310913614C}" name="Unit No." dataDxfId="177" dataCellStyle="Normal 2"/>
    <tableColumn id="2" xr3:uid="{9581F025-2F31-4DA7-A5AB-E0BC4D10641A}" name="DATE" dataDxfId="176"/>
    <tableColumn id="3" xr3:uid="{51874CEE-1D5D-480A-A80A-2BF14685D409}" name="Status" dataDxfId="175"/>
    <tableColumn id="4" xr3:uid="{E8402C0E-0BD0-4687-8763-EC98FA7C4870}" name="Number of cars affected by graffiti/shadows on this unit" dataDxfId="174"/>
    <tableColumn id="5" xr3:uid="{198270B8-3EA6-4429-9D63-DAD3DDE6FCA8}" name="Total Number of Tags found" dataDxfId="173"/>
    <tableColumn id="6" xr3:uid="{04F64C65-3531-42BE-9AF5-02576C7B33FA}" name="Total Tags Removed / Cleaned" dataDxfId="172"/>
    <tableColumn id="7" xr3:uid="{BD28DF08-7621-41A0-856A-634D20F89B51}" name="Total Tags Not Cleaned on this Unit" dataDxfId="171"/>
    <tableColumn id="8" xr3:uid="{95C2DA3D-BDA4-4A35-90D5-A332DD12C646}" name="Car Number (s)  of Tags not cleaned (shadows)" dataDxfId="170"/>
    <tableColumn id="9" xr3:uid="{A16DB017-E303-43F0-9F70-CE3E547B953E}" name="Date of 2nd visit to clean remaining tags" dataDxfId="169"/>
    <tableColumn id="10" xr3:uid="{A1C98BD0-F3FF-4FE4-BF0F-2C313A1D9D41}" name="Number of tags removed" dataDxfId="168"/>
    <tableColumn id="11" xr3:uid="{468C3820-85CE-400C-99EC-0DCE4079B579}" name="Date of 3rd visit to clean remaining tags" dataDxfId="167"/>
    <tableColumn id="12" xr3:uid="{AC621B2F-E6BA-402D-949D-1E38C6ACE286}" name="Number of tags removed2" dataDxfId="166"/>
    <tableColumn id="13" xr3:uid="{E828BA72-FA48-4DDF-95E7-33A83FA7E925}" name="Train Inspected and Fit for service    (Y/N)" dataDxfId="165"/>
    <tableColumn id="14" xr3:uid="{F50953BA-6978-4747-86A5-570FA32F5F85}" name="Inspected by Supervisor/Manager (Name)" dataDxfId="164"/>
    <tableColumn id="15" xr3:uid="{B81E7C5E-00DC-4475-B000-D8B157C12CBA}" name="Date of Completing all shadows (Tags) on this Unit excluding acid etched shadows" dataDxfId="163"/>
    <tableColumn id="16" xr3:uid="{0589DB72-8853-4931-83CE-27A481D4ACD7}" name="Car Number (s)  of Tags not cleaned due to acid etched shadows" dataDxfId="16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408DE9F-CE61-4852-B7AE-FD409F9B9FDA}" name="TagsRA12" displayName="TagsRA12" ref="A1:P341" totalsRowShown="0" headerRowDxfId="161" dataDxfId="160" tableBorderDxfId="159">
  <autoFilter ref="A1:P341" xr:uid="{90991185-A119-4635-9444-D621C29FCDB6}"/>
  <tableColumns count="16">
    <tableColumn id="1" xr3:uid="{08417B0B-B243-45CD-8C3F-68BBBDBCE502}" name="Unit No." dataDxfId="158" dataCellStyle="Normal 2"/>
    <tableColumn id="2" xr3:uid="{17B58F61-EB66-4557-8F5D-1B1921C38EB6}" name="DATE" dataDxfId="157"/>
    <tableColumn id="3" xr3:uid="{805EA1A5-D156-402E-8E35-C36F85C93F29}" name="Status" dataDxfId="156"/>
    <tableColumn id="4" xr3:uid="{9B946C37-864A-4A2E-B751-2321970529C0}" name="Number of cars affected by graffiti/shadows on this unit" dataDxfId="155"/>
    <tableColumn id="5" xr3:uid="{2757C171-4447-464C-9C67-162BE81F1AFD}" name="Total Number of Tags found" dataDxfId="154"/>
    <tableColumn id="6" xr3:uid="{4BEBE68D-ACBE-4534-8F76-66075DC08F74}" name="Total Tags Removed / Cleaned" dataDxfId="153"/>
    <tableColumn id="7" xr3:uid="{71C49DFF-8877-4E65-A85B-19B16E994AE0}" name="Total Tags Not Cleaned on this Unit" dataDxfId="152"/>
    <tableColumn id="8" xr3:uid="{89604AFC-5E78-4FBE-BFE1-03493F0EDD1F}" name="Car Number (s)  of Tags not cleaned (shadows)" dataDxfId="151"/>
    <tableColumn id="9" xr3:uid="{6E793D87-7576-492D-ABDB-F49E30E639D8}" name="Date of 2nd visit to clean remaining tags" dataDxfId="150"/>
    <tableColumn id="10" xr3:uid="{3A350FDA-DB8F-4BEC-8D12-0809FFE392AC}" name="Number of tags removed" dataDxfId="149"/>
    <tableColumn id="11" xr3:uid="{FDC2B53D-C4D0-42E1-994E-2D377F55E658}" name="Date of 3rd visit to clean remaining tags" dataDxfId="148"/>
    <tableColumn id="12" xr3:uid="{F5F9DD93-C202-49AF-902E-95D5EED7405B}" name="Number of tags removed2" dataDxfId="147"/>
    <tableColumn id="13" xr3:uid="{91AFEA76-C4BB-4854-87D7-C96F98905D1F}" name="Train Inspected and Fit for service    (Y/N)" dataDxfId="146"/>
    <tableColumn id="14" xr3:uid="{560A1144-60B4-4363-8305-58999F44CD8C}" name="Inspected by Supervisor/Manager (Name)" dataDxfId="145"/>
    <tableColumn id="15" xr3:uid="{8C591227-8A2A-49C7-A09A-2E04254F281B}" name="Date of Completing all shadows (Tags) on this Unit excluding acid etched shadows" dataDxfId="144"/>
    <tableColumn id="16" xr3:uid="{EB602BEA-D57F-48B2-8E4E-7197BD1A1D94}" name="Car Number (s)  of Tags not cleaned due to acid etched shadows" dataDxfId="14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5B81-187A-4E1B-83CA-F88FBFB528CA}">
  <dimension ref="A1:F2"/>
  <sheetViews>
    <sheetView workbookViewId="0">
      <selection activeCell="F2" sqref="F2"/>
    </sheetView>
  </sheetViews>
  <sheetFormatPr defaultRowHeight="15" x14ac:dyDescent="0.25"/>
  <sheetData>
    <row r="1" spans="1:6" x14ac:dyDescent="0.25">
      <c r="A1" t="s">
        <v>0</v>
      </c>
      <c r="F1" t="s">
        <v>1</v>
      </c>
    </row>
    <row r="2" spans="1:6" x14ac:dyDescent="0.25">
      <c r="A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341"/>
  <sheetViews>
    <sheetView showGridLines="0" tabSelected="1" workbookViewId="0">
      <selection activeCell="P342" sqref="P342"/>
    </sheetView>
  </sheetViews>
  <sheetFormatPr defaultColWidth="14.42578125" defaultRowHeight="15" x14ac:dyDescent="0.25"/>
  <cols>
    <col min="1" max="1" width="9.28515625" style="1" customWidth="1"/>
    <col min="2" max="3" width="12.7109375" style="1" customWidth="1"/>
    <col min="4" max="4" width="22.28515625" style="58" customWidth="1"/>
    <col min="5" max="5" width="11.28515625" style="58" customWidth="1"/>
    <col min="6" max="6" width="11" style="58" customWidth="1"/>
    <col min="7" max="7" width="14.28515625" style="58" customWidth="1"/>
    <col min="8" max="8" width="17.42578125" style="58" customWidth="1"/>
    <col min="9" max="9" width="14.42578125" style="1"/>
    <col min="10" max="10" width="10.28515625" style="58" customWidth="1"/>
    <col min="11" max="11" width="14.42578125" style="1"/>
    <col min="12" max="12" width="11" style="58" customWidth="1"/>
    <col min="13" max="13" width="14.42578125" style="58"/>
    <col min="14" max="14" width="14.42578125" style="1"/>
    <col min="15" max="15" width="28.28515625" style="1" customWidth="1"/>
    <col min="16" max="16" width="21" style="1" customWidth="1"/>
    <col min="17" max="16384" width="14.425781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5" t="s">
        <v>18</v>
      </c>
    </row>
    <row r="2" spans="1:21" ht="15" customHeight="1" x14ac:dyDescent="0.25">
      <c r="A2" s="46">
        <v>91001</v>
      </c>
      <c r="B2" s="51">
        <v>45775</v>
      </c>
      <c r="C2" s="16"/>
      <c r="D2" s="52">
        <v>1</v>
      </c>
      <c r="E2" s="52">
        <v>1</v>
      </c>
      <c r="F2" s="52">
        <v>1</v>
      </c>
      <c r="G2" s="52">
        <v>0</v>
      </c>
      <c r="H2" s="52">
        <v>0</v>
      </c>
      <c r="I2" s="60"/>
      <c r="J2" s="52"/>
      <c r="K2" s="60"/>
      <c r="L2" s="52"/>
      <c r="M2" s="52" t="s">
        <v>0</v>
      </c>
      <c r="N2" s="17" t="s">
        <v>19</v>
      </c>
      <c r="O2" s="51">
        <v>45775</v>
      </c>
      <c r="P2" s="47"/>
      <c r="R2" s="69"/>
      <c r="S2" s="70"/>
      <c r="T2" s="70"/>
      <c r="U2" s="71"/>
    </row>
    <row r="3" spans="1:21" ht="15" customHeight="1" x14ac:dyDescent="0.25">
      <c r="A3" s="46">
        <v>91003</v>
      </c>
      <c r="B3" s="51">
        <v>45838</v>
      </c>
      <c r="C3" s="16"/>
      <c r="D3" s="52">
        <v>1</v>
      </c>
      <c r="E3" s="52">
        <v>44</v>
      </c>
      <c r="F3" s="52">
        <v>44</v>
      </c>
      <c r="G3" s="52">
        <v>0</v>
      </c>
      <c r="H3" s="52">
        <v>0</v>
      </c>
      <c r="I3" s="60"/>
      <c r="J3" s="52"/>
      <c r="K3" s="60"/>
      <c r="L3" s="52"/>
      <c r="M3" s="52" t="s">
        <v>0</v>
      </c>
      <c r="N3" s="17" t="s">
        <v>20</v>
      </c>
      <c r="O3" s="51">
        <v>45838</v>
      </c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6">
        <v>91005</v>
      </c>
      <c r="B4" s="51">
        <v>45817</v>
      </c>
      <c r="C4" s="16"/>
      <c r="D4" s="52">
        <v>2</v>
      </c>
      <c r="E4" s="52">
        <v>115</v>
      </c>
      <c r="F4" s="52">
        <v>115</v>
      </c>
      <c r="G4" s="52">
        <v>0</v>
      </c>
      <c r="H4" s="52">
        <v>0</v>
      </c>
      <c r="I4" s="60"/>
      <c r="J4" s="52"/>
      <c r="K4" s="60"/>
      <c r="L4" s="52"/>
      <c r="M4" s="52" t="s">
        <v>0</v>
      </c>
      <c r="N4" s="17" t="s">
        <v>25</v>
      </c>
      <c r="O4" s="51">
        <v>45817</v>
      </c>
      <c r="P4" s="47"/>
      <c r="R4" s="4">
        <v>85</v>
      </c>
      <c r="S4" s="5">
        <f>COUNTA(A:A)-1</f>
        <v>340</v>
      </c>
      <c r="T4" s="5">
        <f>COUNTA(O:O)-1</f>
        <v>249</v>
      </c>
      <c r="U4" s="53">
        <f>T4/S4*100</f>
        <v>73.235294117647058</v>
      </c>
    </row>
    <row r="5" spans="1:21" ht="15" customHeight="1" x14ac:dyDescent="0.25">
      <c r="A5" s="46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6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6">
        <v>91011</v>
      </c>
      <c r="B7" s="51">
        <v>45805</v>
      </c>
      <c r="C7" s="16"/>
      <c r="D7" s="52">
        <v>2</v>
      </c>
      <c r="E7" s="52">
        <v>250</v>
      </c>
      <c r="F7" s="52">
        <v>250</v>
      </c>
      <c r="G7" s="52">
        <v>0</v>
      </c>
      <c r="H7" s="52">
        <v>0</v>
      </c>
      <c r="I7" s="60"/>
      <c r="J7" s="52"/>
      <c r="K7" s="60"/>
      <c r="L7" s="52"/>
      <c r="M7" s="52" t="s">
        <v>0</v>
      </c>
      <c r="N7" s="17" t="s">
        <v>20</v>
      </c>
      <c r="O7" s="51">
        <v>45805</v>
      </c>
      <c r="P7" s="47"/>
    </row>
    <row r="8" spans="1:21" ht="15" customHeight="1" x14ac:dyDescent="0.25">
      <c r="A8" s="46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6">
        <v>91015</v>
      </c>
      <c r="B9" s="51">
        <v>45790</v>
      </c>
      <c r="C9" s="16"/>
      <c r="D9" s="52">
        <v>2</v>
      </c>
      <c r="E9" s="52">
        <v>98</v>
      </c>
      <c r="F9" s="52">
        <v>98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20</v>
      </c>
      <c r="O9" s="51">
        <v>45790</v>
      </c>
      <c r="P9" s="47">
        <v>91015</v>
      </c>
    </row>
    <row r="10" spans="1:21" ht="15" customHeight="1" x14ac:dyDescent="0.25">
      <c r="A10" s="46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6">
        <v>91019</v>
      </c>
      <c r="B11" s="51">
        <v>45827</v>
      </c>
      <c r="C11" s="16"/>
      <c r="D11" s="52">
        <v>2</v>
      </c>
      <c r="E11" s="52">
        <v>240</v>
      </c>
      <c r="F11" s="52">
        <v>240</v>
      </c>
      <c r="G11" s="52">
        <v>0</v>
      </c>
      <c r="H11" s="52">
        <v>0</v>
      </c>
      <c r="I11" s="60"/>
      <c r="J11" s="52"/>
      <c r="K11" s="60"/>
      <c r="L11" s="52"/>
      <c r="M11" s="52" t="s">
        <v>0</v>
      </c>
      <c r="N11" s="17" t="s">
        <v>20</v>
      </c>
      <c r="O11" s="51">
        <v>45827</v>
      </c>
      <c r="P11" s="47"/>
    </row>
    <row r="12" spans="1:21" ht="15" customHeight="1" x14ac:dyDescent="0.25">
      <c r="A12" s="46">
        <v>91021</v>
      </c>
      <c r="B12" s="51">
        <v>45824</v>
      </c>
      <c r="C12" s="16"/>
      <c r="D12" s="52">
        <v>2</v>
      </c>
      <c r="E12" s="52">
        <v>200</v>
      </c>
      <c r="F12" s="52">
        <v>200</v>
      </c>
      <c r="G12" s="52">
        <v>0</v>
      </c>
      <c r="H12" s="52">
        <v>0</v>
      </c>
      <c r="I12" s="60"/>
      <c r="J12" s="52"/>
      <c r="K12" s="60"/>
      <c r="L12" s="52"/>
      <c r="M12" s="52" t="s">
        <v>0</v>
      </c>
      <c r="N12" s="17" t="s">
        <v>20</v>
      </c>
      <c r="O12" s="51">
        <v>45824</v>
      </c>
      <c r="P12" s="47"/>
    </row>
    <row r="13" spans="1:21" ht="15" customHeight="1" x14ac:dyDescent="0.25">
      <c r="A13" s="46">
        <v>91023</v>
      </c>
      <c r="B13" s="51">
        <v>45784</v>
      </c>
      <c r="C13" s="16"/>
      <c r="D13" s="52">
        <v>2</v>
      </c>
      <c r="E13" s="52">
        <v>70</v>
      </c>
      <c r="F13" s="52">
        <v>70</v>
      </c>
      <c r="G13" s="52">
        <v>0</v>
      </c>
      <c r="H13" s="52">
        <v>0</v>
      </c>
      <c r="I13" s="60"/>
      <c r="J13" s="52"/>
      <c r="K13" s="60"/>
      <c r="L13" s="52"/>
      <c r="M13" s="52" t="s">
        <v>0</v>
      </c>
      <c r="N13" s="17" t="s">
        <v>20</v>
      </c>
      <c r="O13" s="51">
        <v>45784</v>
      </c>
      <c r="P13" s="47"/>
    </row>
    <row r="14" spans="1:21" ht="15" customHeight="1" x14ac:dyDescent="0.25">
      <c r="A14" s="46">
        <v>91025</v>
      </c>
      <c r="B14" s="51">
        <v>45860</v>
      </c>
      <c r="C14" s="16"/>
      <c r="D14" s="52">
        <v>2</v>
      </c>
      <c r="E14" s="52">
        <v>180</v>
      </c>
      <c r="F14" s="52">
        <v>180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20</v>
      </c>
      <c r="O14" s="51">
        <v>45860</v>
      </c>
      <c r="P14" s="47"/>
    </row>
    <row r="15" spans="1:21" ht="15" customHeight="1" x14ac:dyDescent="0.25">
      <c r="A15" s="46">
        <v>91027</v>
      </c>
      <c r="B15" s="51">
        <v>45820</v>
      </c>
      <c r="C15" s="16"/>
      <c r="D15" s="52">
        <v>2</v>
      </c>
      <c r="E15" s="52">
        <v>226</v>
      </c>
      <c r="F15" s="52">
        <v>226</v>
      </c>
      <c r="G15" s="52">
        <v>0</v>
      </c>
      <c r="H15" s="52">
        <v>0</v>
      </c>
      <c r="I15" s="60"/>
      <c r="J15" s="52"/>
      <c r="K15" s="60"/>
      <c r="L15" s="52"/>
      <c r="M15" s="52" t="s">
        <v>0</v>
      </c>
      <c r="N15" s="17" t="s">
        <v>25</v>
      </c>
      <c r="O15" s="51">
        <v>45820</v>
      </c>
      <c r="P15" s="47"/>
    </row>
    <row r="16" spans="1:21" ht="15" customHeight="1" x14ac:dyDescent="0.25">
      <c r="A16" s="46">
        <v>91029</v>
      </c>
      <c r="B16" s="51">
        <v>45901</v>
      </c>
      <c r="C16" s="16"/>
      <c r="D16" s="52">
        <v>2</v>
      </c>
      <c r="E16" s="52">
        <v>156</v>
      </c>
      <c r="F16" s="52">
        <v>156</v>
      </c>
      <c r="G16" s="52">
        <v>0</v>
      </c>
      <c r="H16" s="52">
        <v>0</v>
      </c>
      <c r="I16" s="60"/>
      <c r="J16" s="52"/>
      <c r="K16" s="60"/>
      <c r="L16" s="52"/>
      <c r="M16" s="52" t="s">
        <v>0</v>
      </c>
      <c r="N16" s="17" t="s">
        <v>25</v>
      </c>
      <c r="O16" s="51">
        <v>45901</v>
      </c>
      <c r="P16" s="47"/>
    </row>
    <row r="17" spans="1:16" ht="15" customHeight="1" x14ac:dyDescent="0.25">
      <c r="A17" s="46">
        <v>91031</v>
      </c>
      <c r="B17" s="51">
        <v>45802</v>
      </c>
      <c r="C17" s="16"/>
      <c r="D17" s="52">
        <v>2</v>
      </c>
      <c r="E17" s="52">
        <v>200</v>
      </c>
      <c r="F17" s="52">
        <v>200</v>
      </c>
      <c r="G17" s="52">
        <v>0</v>
      </c>
      <c r="H17" s="52">
        <v>0</v>
      </c>
      <c r="I17" s="60"/>
      <c r="J17" s="52"/>
      <c r="K17" s="60"/>
      <c r="L17" s="52"/>
      <c r="M17" s="52" t="s">
        <v>0</v>
      </c>
      <c r="N17" s="17" t="s">
        <v>20</v>
      </c>
      <c r="O17" s="51">
        <v>45802</v>
      </c>
      <c r="P17" s="47"/>
    </row>
    <row r="18" spans="1:16" ht="15" customHeight="1" x14ac:dyDescent="0.25">
      <c r="A18" s="46">
        <v>91033</v>
      </c>
      <c r="B18" s="51">
        <v>45789</v>
      </c>
      <c r="C18" s="16"/>
      <c r="D18" s="52">
        <v>2</v>
      </c>
      <c r="E18" s="52">
        <v>120</v>
      </c>
      <c r="F18" s="52">
        <v>120</v>
      </c>
      <c r="G18" s="52">
        <v>0</v>
      </c>
      <c r="H18" s="52">
        <v>0</v>
      </c>
      <c r="I18" s="60"/>
      <c r="J18" s="52"/>
      <c r="K18" s="60"/>
      <c r="L18" s="52"/>
      <c r="M18" s="52" t="s">
        <v>0</v>
      </c>
      <c r="N18" s="17" t="s">
        <v>20</v>
      </c>
      <c r="O18" s="51">
        <v>45789</v>
      </c>
      <c r="P18" s="47">
        <v>91033</v>
      </c>
    </row>
    <row r="19" spans="1:16" ht="15" customHeight="1" x14ac:dyDescent="0.25">
      <c r="A19" s="46">
        <v>91035</v>
      </c>
      <c r="B19" s="51">
        <v>45853</v>
      </c>
      <c r="C19" s="16"/>
      <c r="D19" s="52">
        <v>2</v>
      </c>
      <c r="E19" s="52">
        <v>140</v>
      </c>
      <c r="F19" s="52">
        <v>140</v>
      </c>
      <c r="G19" s="52">
        <v>0</v>
      </c>
      <c r="H19" s="52">
        <v>0</v>
      </c>
      <c r="I19" s="60"/>
      <c r="J19" s="52"/>
      <c r="K19" s="60"/>
      <c r="L19" s="52"/>
      <c r="M19" s="52" t="s">
        <v>0</v>
      </c>
      <c r="N19" s="17" t="s">
        <v>25</v>
      </c>
      <c r="O19" s="51">
        <v>45853</v>
      </c>
      <c r="P19" s="47"/>
    </row>
    <row r="20" spans="1:16" ht="15" customHeight="1" x14ac:dyDescent="0.25">
      <c r="A20" s="46">
        <v>91037</v>
      </c>
      <c r="B20" s="51">
        <v>45762</v>
      </c>
      <c r="C20" s="16"/>
      <c r="D20" s="52">
        <v>2</v>
      </c>
      <c r="E20" s="52">
        <v>62</v>
      </c>
      <c r="F20" s="52">
        <v>62</v>
      </c>
      <c r="G20" s="52">
        <v>0</v>
      </c>
      <c r="H20" s="52">
        <v>0</v>
      </c>
      <c r="I20" s="60"/>
      <c r="J20" s="52"/>
      <c r="K20" s="60"/>
      <c r="L20" s="52"/>
      <c r="M20" s="52" t="s">
        <v>0</v>
      </c>
      <c r="N20" s="17" t="s">
        <v>20</v>
      </c>
      <c r="O20" s="51">
        <v>45762</v>
      </c>
      <c r="P20" s="47"/>
    </row>
    <row r="21" spans="1:16" ht="15" customHeight="1" x14ac:dyDescent="0.25">
      <c r="A21" s="46">
        <v>91039</v>
      </c>
      <c r="B21" s="51">
        <v>45774</v>
      </c>
      <c r="C21" s="16"/>
      <c r="D21" s="52">
        <v>2</v>
      </c>
      <c r="E21" s="52">
        <v>49</v>
      </c>
      <c r="F21" s="52">
        <v>49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20</v>
      </c>
      <c r="O21" s="51">
        <v>45774</v>
      </c>
      <c r="P21" s="47"/>
    </row>
    <row r="22" spans="1:16" ht="15" customHeight="1" x14ac:dyDescent="0.25">
      <c r="A22" s="46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6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6">
        <v>91045</v>
      </c>
      <c r="B24" s="51">
        <v>45846</v>
      </c>
      <c r="C24" s="16"/>
      <c r="D24" s="52">
        <v>2</v>
      </c>
      <c r="E24" s="52">
        <v>210</v>
      </c>
      <c r="F24" s="52">
        <v>210</v>
      </c>
      <c r="G24" s="52">
        <v>0</v>
      </c>
      <c r="H24" s="52">
        <v>0</v>
      </c>
      <c r="I24" s="60"/>
      <c r="J24" s="52"/>
      <c r="K24" s="60"/>
      <c r="L24" s="52"/>
      <c r="M24" s="52" t="s">
        <v>0</v>
      </c>
      <c r="N24" s="17" t="s">
        <v>20</v>
      </c>
      <c r="O24" s="51">
        <v>45846</v>
      </c>
      <c r="P24" s="47"/>
    </row>
    <row r="25" spans="1:16" ht="15" customHeight="1" x14ac:dyDescent="0.25">
      <c r="A25" s="46">
        <v>91047</v>
      </c>
      <c r="B25" s="51">
        <v>45858</v>
      </c>
      <c r="C25" s="16"/>
      <c r="D25" s="52">
        <v>2</v>
      </c>
      <c r="E25" s="52">
        <v>160</v>
      </c>
      <c r="F25" s="52">
        <v>160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25</v>
      </c>
      <c r="O25" s="51">
        <v>45858</v>
      </c>
      <c r="P25" s="47"/>
    </row>
    <row r="26" spans="1:16" ht="15" customHeight="1" x14ac:dyDescent="0.25">
      <c r="A26" s="46">
        <v>91049</v>
      </c>
      <c r="B26" s="51">
        <v>45796</v>
      </c>
      <c r="C26" s="16"/>
      <c r="D26" s="52">
        <v>2</v>
      </c>
      <c r="E26" s="52">
        <v>98</v>
      </c>
      <c r="F26" s="52">
        <v>98</v>
      </c>
      <c r="G26" s="52">
        <v>0</v>
      </c>
      <c r="H26" s="52">
        <v>0</v>
      </c>
      <c r="I26" s="60"/>
      <c r="J26" s="52"/>
      <c r="K26" s="60"/>
      <c r="L26" s="52"/>
      <c r="M26" s="52" t="s">
        <v>0</v>
      </c>
      <c r="N26" s="17" t="s">
        <v>20</v>
      </c>
      <c r="O26" s="51">
        <v>45796</v>
      </c>
      <c r="P26" s="47"/>
    </row>
    <row r="27" spans="1:16" ht="15" customHeight="1" x14ac:dyDescent="0.25">
      <c r="A27" s="46">
        <v>91051</v>
      </c>
      <c r="B27" s="51">
        <v>45776</v>
      </c>
      <c r="C27" s="16"/>
      <c r="D27" s="52">
        <v>2</v>
      </c>
      <c r="E27" s="52">
        <v>2</v>
      </c>
      <c r="F27" s="52">
        <v>2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45776</v>
      </c>
      <c r="P27" s="47"/>
    </row>
    <row r="28" spans="1:16" ht="15" customHeight="1" x14ac:dyDescent="0.25">
      <c r="A28" s="46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6">
        <v>91055</v>
      </c>
      <c r="B29" s="51">
        <v>45786</v>
      </c>
      <c r="C29" s="16"/>
      <c r="D29" s="52">
        <v>2</v>
      </c>
      <c r="E29" s="52">
        <v>216</v>
      </c>
      <c r="F29" s="52">
        <v>216</v>
      </c>
      <c r="G29" s="52">
        <v>0</v>
      </c>
      <c r="H29" s="52">
        <v>0</v>
      </c>
      <c r="I29" s="60"/>
      <c r="J29" s="52"/>
      <c r="K29" s="60"/>
      <c r="L29" s="52"/>
      <c r="M29" s="52" t="s">
        <v>0</v>
      </c>
      <c r="N29" s="17" t="s">
        <v>20</v>
      </c>
      <c r="O29" s="51">
        <v>45786</v>
      </c>
      <c r="P29" s="47"/>
    </row>
    <row r="30" spans="1:16" ht="15" customHeight="1" x14ac:dyDescent="0.25">
      <c r="A30" s="46">
        <v>91057</v>
      </c>
      <c r="B30" s="51">
        <v>45855</v>
      </c>
      <c r="C30" s="16"/>
      <c r="D30" s="52">
        <v>2</v>
      </c>
      <c r="E30" s="52">
        <v>190</v>
      </c>
      <c r="F30" s="52">
        <v>190</v>
      </c>
      <c r="G30" s="52">
        <v>0</v>
      </c>
      <c r="H30" s="52">
        <v>0</v>
      </c>
      <c r="I30" s="60"/>
      <c r="J30" s="52"/>
      <c r="K30" s="60"/>
      <c r="L30" s="52"/>
      <c r="M30" s="52" t="s">
        <v>0</v>
      </c>
      <c r="N30" s="17" t="s">
        <v>20</v>
      </c>
      <c r="O30" s="51">
        <v>45855</v>
      </c>
      <c r="P30" s="47"/>
    </row>
    <row r="31" spans="1:16" ht="15" customHeight="1" x14ac:dyDescent="0.25">
      <c r="A31" s="46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6">
        <v>91061</v>
      </c>
      <c r="B32" s="51">
        <v>45797</v>
      </c>
      <c r="C32" s="16"/>
      <c r="D32" s="52">
        <v>2</v>
      </c>
      <c r="E32" s="52">
        <v>225</v>
      </c>
      <c r="F32" s="52">
        <v>225</v>
      </c>
      <c r="G32" s="52">
        <v>0</v>
      </c>
      <c r="H32" s="52">
        <v>0</v>
      </c>
      <c r="I32" s="60"/>
      <c r="J32" s="52"/>
      <c r="K32" s="60"/>
      <c r="L32" s="52"/>
      <c r="M32" s="52" t="s">
        <v>0</v>
      </c>
      <c r="N32" s="17" t="s">
        <v>20</v>
      </c>
      <c r="O32" s="51">
        <v>45797</v>
      </c>
      <c r="P32" s="47"/>
    </row>
    <row r="33" spans="1:16" ht="15" customHeight="1" x14ac:dyDescent="0.25">
      <c r="A33" s="46">
        <v>91063</v>
      </c>
      <c r="B33" s="51">
        <v>45789</v>
      </c>
      <c r="C33" s="16"/>
      <c r="D33" s="52">
        <v>2</v>
      </c>
      <c r="E33" s="52">
        <v>108</v>
      </c>
      <c r="F33" s="52">
        <v>108</v>
      </c>
      <c r="G33" s="52">
        <v>0</v>
      </c>
      <c r="H33" s="52">
        <v>0</v>
      </c>
      <c r="I33" s="60"/>
      <c r="J33" s="52"/>
      <c r="K33" s="60"/>
      <c r="L33" s="52"/>
      <c r="M33" s="52" t="s">
        <v>0</v>
      </c>
      <c r="N33" s="17" t="s">
        <v>25</v>
      </c>
      <c r="O33" s="51">
        <v>45789</v>
      </c>
      <c r="P33" s="47">
        <v>91063</v>
      </c>
    </row>
    <row r="34" spans="1:16" ht="15" customHeight="1" x14ac:dyDescent="0.25">
      <c r="A34" s="46">
        <v>91065</v>
      </c>
      <c r="B34" s="51">
        <v>45775</v>
      </c>
      <c r="C34" s="16"/>
      <c r="D34" s="52">
        <v>2</v>
      </c>
      <c r="E34" s="52">
        <v>36</v>
      </c>
      <c r="F34" s="52">
        <v>36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20</v>
      </c>
      <c r="O34" s="51">
        <v>45775</v>
      </c>
      <c r="P34" s="47">
        <v>91065</v>
      </c>
    </row>
    <row r="35" spans="1:16" ht="15" customHeight="1" x14ac:dyDescent="0.25">
      <c r="A35" s="46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x14ac:dyDescent="0.25">
      <c r="A36" s="46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4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6">
        <v>91073</v>
      </c>
      <c r="B38" s="51">
        <v>45851</v>
      </c>
      <c r="C38" s="16"/>
      <c r="D38" s="52">
        <v>2</v>
      </c>
      <c r="E38" s="52">
        <v>280</v>
      </c>
      <c r="F38" s="52">
        <v>280</v>
      </c>
      <c r="G38" s="52">
        <v>0</v>
      </c>
      <c r="H38" s="52">
        <v>0</v>
      </c>
      <c r="I38" s="60"/>
      <c r="J38" s="52"/>
      <c r="K38" s="60"/>
      <c r="L38" s="52"/>
      <c r="M38" s="52" t="s">
        <v>0</v>
      </c>
      <c r="N38" s="17" t="s">
        <v>20</v>
      </c>
      <c r="O38" s="51">
        <v>45851</v>
      </c>
      <c r="P38" s="47"/>
    </row>
    <row r="39" spans="1:16" ht="15" customHeight="1" x14ac:dyDescent="0.25">
      <c r="A39" s="46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6">
        <v>91077</v>
      </c>
      <c r="B40" s="51">
        <v>45867</v>
      </c>
      <c r="C40" s="16"/>
      <c r="D40" s="52">
        <v>2</v>
      </c>
      <c r="E40" s="52">
        <v>160</v>
      </c>
      <c r="F40" s="52">
        <v>160</v>
      </c>
      <c r="G40" s="52">
        <v>0</v>
      </c>
      <c r="H40" s="52">
        <v>0</v>
      </c>
      <c r="I40" s="60"/>
      <c r="J40" s="52"/>
      <c r="K40" s="60"/>
      <c r="L40" s="52"/>
      <c r="M40" s="52" t="s">
        <v>0</v>
      </c>
      <c r="N40" s="17" t="s">
        <v>20</v>
      </c>
      <c r="O40" s="51">
        <v>45867</v>
      </c>
      <c r="P40" s="47"/>
    </row>
    <row r="41" spans="1:16" ht="15" customHeight="1" x14ac:dyDescent="0.25">
      <c r="A41" s="46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6">
        <v>91081</v>
      </c>
      <c r="B42" s="51">
        <v>45882</v>
      </c>
      <c r="C42" s="16"/>
      <c r="D42" s="52">
        <v>2</v>
      </c>
      <c r="E42" s="52">
        <v>220</v>
      </c>
      <c r="F42" s="52">
        <v>220</v>
      </c>
      <c r="G42" s="52">
        <v>0</v>
      </c>
      <c r="H42" s="52">
        <v>0</v>
      </c>
      <c r="I42" s="60"/>
      <c r="J42" s="52"/>
      <c r="K42" s="60"/>
      <c r="L42" s="52"/>
      <c r="M42" s="52" t="s">
        <v>0</v>
      </c>
      <c r="N42" s="17" t="s">
        <v>20</v>
      </c>
      <c r="O42" s="51">
        <v>45882</v>
      </c>
      <c r="P42" s="47"/>
    </row>
    <row r="43" spans="1:16" ht="15" customHeight="1" x14ac:dyDescent="0.25">
      <c r="A43" s="46">
        <v>91083</v>
      </c>
      <c r="B43" s="51">
        <v>45769</v>
      </c>
      <c r="C43" s="16"/>
      <c r="D43" s="52">
        <v>2</v>
      </c>
      <c r="E43" s="52">
        <v>200</v>
      </c>
      <c r="F43" s="52">
        <v>200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20</v>
      </c>
      <c r="O43" s="51">
        <v>45769</v>
      </c>
      <c r="P43" s="47">
        <v>91083</v>
      </c>
    </row>
    <row r="44" spans="1:16" ht="15" customHeight="1" x14ac:dyDescent="0.25">
      <c r="A44" s="46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6">
        <v>91087</v>
      </c>
      <c r="B45" s="51">
        <v>45902</v>
      </c>
      <c r="C45" s="16"/>
      <c r="D45" s="52">
        <v>2</v>
      </c>
      <c r="E45" s="52">
        <v>236</v>
      </c>
      <c r="F45" s="52">
        <v>236</v>
      </c>
      <c r="G45" s="52">
        <v>0</v>
      </c>
      <c r="H45" s="52">
        <v>0</v>
      </c>
      <c r="I45" s="60"/>
      <c r="J45" s="52"/>
      <c r="K45" s="60"/>
      <c r="L45" s="52"/>
      <c r="M45" s="52" t="s">
        <v>0</v>
      </c>
      <c r="N45" s="17" t="s">
        <v>25</v>
      </c>
      <c r="O45" s="51">
        <v>45902</v>
      </c>
      <c r="P45" s="47"/>
    </row>
    <row r="46" spans="1:16" ht="15" customHeight="1" x14ac:dyDescent="0.25">
      <c r="A46" s="46">
        <v>91089</v>
      </c>
      <c r="B46" s="51">
        <v>45771</v>
      </c>
      <c r="C46" s="16"/>
      <c r="D46" s="52">
        <v>2</v>
      </c>
      <c r="E46" s="52">
        <v>63</v>
      </c>
      <c r="F46" s="52">
        <v>63</v>
      </c>
      <c r="G46" s="52">
        <v>0</v>
      </c>
      <c r="H46" s="52">
        <v>0</v>
      </c>
      <c r="I46" s="60"/>
      <c r="J46" s="52"/>
      <c r="K46" s="60"/>
      <c r="L46" s="52"/>
      <c r="M46" s="52" t="s">
        <v>0</v>
      </c>
      <c r="N46" s="17" t="s">
        <v>20</v>
      </c>
      <c r="O46" s="51">
        <v>45771</v>
      </c>
      <c r="P46" s="47">
        <v>91089</v>
      </c>
    </row>
    <row r="47" spans="1:16" ht="15" customHeight="1" x14ac:dyDescent="0.25">
      <c r="A47" s="46">
        <v>91091</v>
      </c>
      <c r="B47" s="51">
        <v>45803</v>
      </c>
      <c r="C47" s="16"/>
      <c r="D47" s="52">
        <v>2</v>
      </c>
      <c r="E47" s="52">
        <v>102</v>
      </c>
      <c r="F47" s="52">
        <v>102</v>
      </c>
      <c r="G47" s="52">
        <v>0</v>
      </c>
      <c r="H47" s="52">
        <v>0</v>
      </c>
      <c r="I47" s="60"/>
      <c r="J47" s="52"/>
      <c r="K47" s="60"/>
      <c r="L47" s="52"/>
      <c r="M47" s="52" t="s">
        <v>0</v>
      </c>
      <c r="N47" s="17" t="s">
        <v>25</v>
      </c>
      <c r="O47" s="51">
        <v>45803</v>
      </c>
      <c r="P47" s="47"/>
    </row>
    <row r="48" spans="1:16" ht="15" customHeight="1" x14ac:dyDescent="0.25">
      <c r="A48" s="46">
        <v>91093</v>
      </c>
      <c r="B48" s="51">
        <v>45775</v>
      </c>
      <c r="C48" s="16"/>
      <c r="D48" s="52">
        <v>1</v>
      </c>
      <c r="E48" s="52">
        <v>1</v>
      </c>
      <c r="F48" s="52">
        <v>1</v>
      </c>
      <c r="G48" s="52">
        <v>0</v>
      </c>
      <c r="H48" s="52">
        <v>0</v>
      </c>
      <c r="I48" s="60"/>
      <c r="J48" s="52"/>
      <c r="K48" s="60"/>
      <c r="L48" s="52"/>
      <c r="M48" s="52" t="s">
        <v>0</v>
      </c>
      <c r="N48" s="17" t="s">
        <v>19</v>
      </c>
      <c r="O48" s="51">
        <v>45775</v>
      </c>
      <c r="P48" s="47"/>
    </row>
    <row r="49" spans="1:16" ht="15" customHeight="1" x14ac:dyDescent="0.25">
      <c r="A49" s="46">
        <v>91095</v>
      </c>
      <c r="B49" s="51">
        <v>45795</v>
      </c>
      <c r="C49" s="16"/>
      <c r="D49" s="52">
        <v>2</v>
      </c>
      <c r="E49" s="52">
        <v>119</v>
      </c>
      <c r="F49" s="52">
        <v>119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45795</v>
      </c>
      <c r="P49" s="47"/>
    </row>
    <row r="50" spans="1:16" ht="15" customHeight="1" x14ac:dyDescent="0.25">
      <c r="A50" s="46">
        <v>91097</v>
      </c>
      <c r="B50" s="51">
        <v>45781</v>
      </c>
      <c r="C50" s="16"/>
      <c r="D50" s="52">
        <v>2</v>
      </c>
      <c r="E50" s="52">
        <v>26</v>
      </c>
      <c r="F50" s="52">
        <v>26</v>
      </c>
      <c r="G50" s="52">
        <v>0</v>
      </c>
      <c r="H50" s="52">
        <v>0</v>
      </c>
      <c r="I50" s="60"/>
      <c r="J50" s="52"/>
      <c r="K50" s="60"/>
      <c r="L50" s="52"/>
      <c r="M50" s="52" t="s">
        <v>0</v>
      </c>
      <c r="N50" s="17" t="s">
        <v>20</v>
      </c>
      <c r="O50" s="51">
        <v>45781</v>
      </c>
      <c r="P50" s="47"/>
    </row>
    <row r="51" spans="1:16" ht="15" customHeight="1" x14ac:dyDescent="0.25">
      <c r="A51" s="46">
        <v>91099</v>
      </c>
      <c r="B51" s="51">
        <v>45806</v>
      </c>
      <c r="C51" s="16"/>
      <c r="D51" s="52">
        <v>2</v>
      </c>
      <c r="E51" s="52">
        <v>4</v>
      </c>
      <c r="F51" s="52">
        <v>4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20</v>
      </c>
      <c r="O51" s="51">
        <v>45806</v>
      </c>
      <c r="P51" s="47"/>
    </row>
    <row r="52" spans="1:16" ht="15" customHeight="1" x14ac:dyDescent="0.25">
      <c r="A52" s="46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6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6">
        <v>91105</v>
      </c>
      <c r="B54" s="51">
        <v>45761</v>
      </c>
      <c r="C54" s="16"/>
      <c r="D54" s="52">
        <v>2</v>
      </c>
      <c r="E54" s="52">
        <v>22</v>
      </c>
      <c r="F54" s="52">
        <v>22</v>
      </c>
      <c r="G54" s="52">
        <v>0</v>
      </c>
      <c r="H54" s="52">
        <v>0</v>
      </c>
      <c r="I54" s="60"/>
      <c r="J54" s="52"/>
      <c r="K54" s="60"/>
      <c r="L54" s="52"/>
      <c r="M54" s="52" t="s">
        <v>0</v>
      </c>
      <c r="N54" s="17" t="s">
        <v>20</v>
      </c>
      <c r="O54" s="51">
        <v>45761</v>
      </c>
      <c r="P54" s="47"/>
    </row>
    <row r="55" spans="1:16" ht="15" customHeight="1" x14ac:dyDescent="0.25">
      <c r="A55" s="46">
        <v>91107</v>
      </c>
      <c r="B55" s="65">
        <v>45928</v>
      </c>
      <c r="C55" s="16"/>
      <c r="D55" s="52">
        <v>2</v>
      </c>
      <c r="E55" s="52">
        <v>200</v>
      </c>
      <c r="F55" s="52">
        <v>200</v>
      </c>
      <c r="G55" s="52">
        <v>0</v>
      </c>
      <c r="H55" s="52">
        <v>0</v>
      </c>
      <c r="I55" s="60"/>
      <c r="J55" s="52"/>
      <c r="K55" s="60"/>
      <c r="L55" s="52"/>
      <c r="M55" s="52" t="s">
        <v>0</v>
      </c>
      <c r="N55" s="17" t="s">
        <v>20</v>
      </c>
      <c r="O55" s="51">
        <v>45928</v>
      </c>
      <c r="P55" s="47"/>
    </row>
    <row r="56" spans="1:16" ht="15" customHeight="1" x14ac:dyDescent="0.25">
      <c r="A56" s="46">
        <v>91109</v>
      </c>
      <c r="B56" s="51">
        <v>45775</v>
      </c>
      <c r="C56" s="16"/>
      <c r="D56" s="52">
        <v>1</v>
      </c>
      <c r="E56" s="52">
        <v>1</v>
      </c>
      <c r="F56" s="52">
        <v>1</v>
      </c>
      <c r="G56" s="52">
        <v>0</v>
      </c>
      <c r="H56" s="52">
        <v>0</v>
      </c>
      <c r="I56" s="60"/>
      <c r="J56" s="52"/>
      <c r="K56" s="60"/>
      <c r="L56" s="52"/>
      <c r="M56" s="52" t="s">
        <v>0</v>
      </c>
      <c r="N56" s="17" t="s">
        <v>19</v>
      </c>
      <c r="O56" s="51">
        <v>45775</v>
      </c>
      <c r="P56" s="47"/>
    </row>
    <row r="57" spans="1:16" ht="15" customHeight="1" x14ac:dyDescent="0.25">
      <c r="A57" s="46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6">
        <v>91113</v>
      </c>
      <c r="B58" s="51">
        <v>45775</v>
      </c>
      <c r="C58" s="16"/>
      <c r="D58" s="52">
        <v>2</v>
      </c>
      <c r="E58" s="52">
        <v>10</v>
      </c>
      <c r="F58" s="52">
        <v>10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20</v>
      </c>
      <c r="O58" s="51">
        <v>45775</v>
      </c>
      <c r="P58" s="47"/>
    </row>
    <row r="59" spans="1:16" ht="15" customHeight="1" x14ac:dyDescent="0.25">
      <c r="A59" s="46">
        <v>91115</v>
      </c>
      <c r="B59" s="65">
        <v>45924</v>
      </c>
      <c r="C59" s="16"/>
      <c r="D59" s="52">
        <v>2</v>
      </c>
      <c r="E59" s="52">
        <v>226</v>
      </c>
      <c r="F59" s="52">
        <v>226</v>
      </c>
      <c r="G59" s="52">
        <v>0</v>
      </c>
      <c r="H59" s="52">
        <v>0</v>
      </c>
      <c r="I59" s="60"/>
      <c r="J59" s="52"/>
      <c r="K59" s="60"/>
      <c r="L59" s="52"/>
      <c r="M59" s="52" t="s">
        <v>26</v>
      </c>
      <c r="N59" s="17" t="s">
        <v>20</v>
      </c>
      <c r="O59" s="51">
        <v>45924</v>
      </c>
      <c r="P59" s="47"/>
    </row>
    <row r="60" spans="1:16" ht="15" customHeight="1" x14ac:dyDescent="0.25">
      <c r="A60" s="46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6">
        <v>91119</v>
      </c>
      <c r="B61" s="51">
        <v>45909</v>
      </c>
      <c r="C61" s="16"/>
      <c r="D61" s="52">
        <v>2</v>
      </c>
      <c r="E61" s="52">
        <v>190</v>
      </c>
      <c r="F61" s="52">
        <v>190</v>
      </c>
      <c r="G61" s="52">
        <v>0</v>
      </c>
      <c r="H61" s="52">
        <v>0</v>
      </c>
      <c r="I61" s="60"/>
      <c r="J61" s="52"/>
      <c r="K61" s="60"/>
      <c r="L61" s="52"/>
      <c r="M61" s="52" t="s">
        <v>0</v>
      </c>
      <c r="N61" s="17" t="s">
        <v>20</v>
      </c>
      <c r="O61" s="51">
        <v>45909</v>
      </c>
      <c r="P61" s="47"/>
    </row>
    <row r="62" spans="1:16" ht="15" customHeight="1" x14ac:dyDescent="0.25">
      <c r="A62" s="46">
        <v>91121</v>
      </c>
      <c r="B62" s="51">
        <v>45806</v>
      </c>
      <c r="C62" s="16"/>
      <c r="D62" s="52">
        <v>2</v>
      </c>
      <c r="E62" s="52">
        <v>4</v>
      </c>
      <c r="F62" s="52">
        <v>4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20</v>
      </c>
      <c r="O62" s="51">
        <v>45806</v>
      </c>
      <c r="P62" s="47"/>
    </row>
    <row r="63" spans="1:16" ht="15" customHeight="1" x14ac:dyDescent="0.25">
      <c r="A63" s="46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6">
        <v>91125</v>
      </c>
      <c r="B64" s="51">
        <v>45809</v>
      </c>
      <c r="C64" s="16"/>
      <c r="D64" s="52">
        <v>2</v>
      </c>
      <c r="E64" s="52">
        <v>100</v>
      </c>
      <c r="F64" s="52">
        <v>100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25</v>
      </c>
      <c r="O64" s="51">
        <v>45809</v>
      </c>
      <c r="P64" s="47"/>
    </row>
    <row r="65" spans="1:16" ht="15" customHeight="1" x14ac:dyDescent="0.25">
      <c r="A65" s="46">
        <v>91127</v>
      </c>
      <c r="B65" s="51">
        <v>45826</v>
      </c>
      <c r="C65" s="16"/>
      <c r="D65" s="52">
        <v>2</v>
      </c>
      <c r="E65" s="52">
        <v>290</v>
      </c>
      <c r="F65" s="52">
        <v>290</v>
      </c>
      <c r="G65" s="52">
        <v>0</v>
      </c>
      <c r="H65" s="52">
        <v>0</v>
      </c>
      <c r="I65" s="60"/>
      <c r="J65" s="52"/>
      <c r="K65" s="60"/>
      <c r="L65" s="52"/>
      <c r="M65" s="52" t="s">
        <v>0</v>
      </c>
      <c r="N65" s="17" t="s">
        <v>27</v>
      </c>
      <c r="O65" s="51">
        <v>45826</v>
      </c>
      <c r="P65" s="47"/>
    </row>
    <row r="66" spans="1:16" ht="15" customHeight="1" x14ac:dyDescent="0.25">
      <c r="A66" s="46">
        <v>91129</v>
      </c>
      <c r="B66" s="51">
        <v>45788</v>
      </c>
      <c r="C66" s="16"/>
      <c r="D66" s="52">
        <v>2</v>
      </c>
      <c r="E66" s="52">
        <v>80</v>
      </c>
      <c r="F66" s="52">
        <v>80</v>
      </c>
      <c r="G66" s="52">
        <v>0</v>
      </c>
      <c r="H66" s="52">
        <v>0</v>
      </c>
      <c r="I66" s="60"/>
      <c r="J66" s="52"/>
      <c r="K66" s="60"/>
      <c r="L66" s="52"/>
      <c r="M66" s="52" t="s">
        <v>0</v>
      </c>
      <c r="N66" s="17" t="s">
        <v>20</v>
      </c>
      <c r="O66" s="51">
        <v>45788</v>
      </c>
      <c r="P66" s="47">
        <v>91129</v>
      </c>
    </row>
    <row r="67" spans="1:16" ht="15" customHeight="1" x14ac:dyDescent="0.25">
      <c r="A67" s="46">
        <v>91131</v>
      </c>
      <c r="B67" s="51">
        <v>45802</v>
      </c>
      <c r="C67" s="16"/>
      <c r="D67" s="52">
        <v>2</v>
      </c>
      <c r="E67" s="52">
        <v>109</v>
      </c>
      <c r="F67" s="52">
        <v>109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20</v>
      </c>
      <c r="O67" s="51">
        <v>45802</v>
      </c>
      <c r="P67" s="47"/>
    </row>
    <row r="68" spans="1:16" x14ac:dyDescent="0.25">
      <c r="A68" s="46">
        <v>91133</v>
      </c>
      <c r="B68" s="51">
        <v>45847</v>
      </c>
      <c r="C68" s="16"/>
      <c r="D68" s="52">
        <v>2</v>
      </c>
      <c r="E68" s="52">
        <v>260</v>
      </c>
      <c r="F68" s="52">
        <v>260</v>
      </c>
      <c r="G68" s="52">
        <v>0</v>
      </c>
      <c r="H68" s="52">
        <v>0</v>
      </c>
      <c r="I68" s="60"/>
      <c r="J68" s="52"/>
      <c r="K68" s="60"/>
      <c r="L68" s="52"/>
      <c r="M68" s="52" t="s">
        <v>0</v>
      </c>
      <c r="N68" s="17" t="s">
        <v>20</v>
      </c>
      <c r="O68" s="51">
        <v>45847</v>
      </c>
      <c r="P68" s="47"/>
    </row>
    <row r="69" spans="1:16" x14ac:dyDescent="0.25">
      <c r="A69" s="46">
        <v>91135</v>
      </c>
      <c r="B69" s="51">
        <v>45809</v>
      </c>
      <c r="C69" s="16"/>
      <c r="D69" s="52">
        <v>2</v>
      </c>
      <c r="E69" s="52">
        <v>130</v>
      </c>
      <c r="F69" s="52">
        <v>130</v>
      </c>
      <c r="G69" s="52">
        <v>0</v>
      </c>
      <c r="H69" s="52">
        <v>0</v>
      </c>
      <c r="I69" s="60"/>
      <c r="J69" s="52"/>
      <c r="K69" s="60"/>
      <c r="L69" s="52"/>
      <c r="M69" s="52" t="s">
        <v>0</v>
      </c>
      <c r="N69" s="17" t="s">
        <v>25</v>
      </c>
      <c r="O69" s="51">
        <v>45809</v>
      </c>
      <c r="P69" s="47"/>
    </row>
    <row r="70" spans="1:16" x14ac:dyDescent="0.25">
      <c r="A70" s="46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25</v>
      </c>
      <c r="O70" s="51">
        <v>45910</v>
      </c>
      <c r="P70" s="47"/>
    </row>
    <row r="71" spans="1:16" x14ac:dyDescent="0.25">
      <c r="A71" s="46">
        <v>91139</v>
      </c>
      <c r="B71" s="51">
        <v>45806</v>
      </c>
      <c r="C71" s="16"/>
      <c r="D71" s="52">
        <v>2</v>
      </c>
      <c r="E71" s="52">
        <v>225</v>
      </c>
      <c r="F71" s="52">
        <v>225</v>
      </c>
      <c r="G71" s="52">
        <v>0</v>
      </c>
      <c r="H71" s="52">
        <v>0</v>
      </c>
      <c r="I71" s="60"/>
      <c r="J71" s="52"/>
      <c r="K71" s="60"/>
      <c r="L71" s="52"/>
      <c r="M71" s="52" t="s">
        <v>0</v>
      </c>
      <c r="N71" s="17" t="s">
        <v>20</v>
      </c>
      <c r="O71" s="51">
        <v>45806</v>
      </c>
      <c r="P71" s="47"/>
    </row>
    <row r="72" spans="1:16" x14ac:dyDescent="0.25">
      <c r="A72" s="46">
        <v>91141</v>
      </c>
      <c r="B72" s="51">
        <v>45775</v>
      </c>
      <c r="C72" s="16"/>
      <c r="D72" s="52">
        <v>2</v>
      </c>
      <c r="E72" s="52">
        <v>6</v>
      </c>
      <c r="F72" s="52">
        <v>6</v>
      </c>
      <c r="G72" s="52">
        <v>0</v>
      </c>
      <c r="H72" s="52">
        <v>0</v>
      </c>
      <c r="I72" s="60"/>
      <c r="J72" s="52"/>
      <c r="K72" s="60"/>
      <c r="L72" s="52"/>
      <c r="M72" s="52" t="s">
        <v>0</v>
      </c>
      <c r="N72" s="17" t="s">
        <v>20</v>
      </c>
      <c r="O72" s="51">
        <v>45775</v>
      </c>
      <c r="P72" s="47"/>
    </row>
    <row r="73" spans="1:16" x14ac:dyDescent="0.25">
      <c r="A73" s="46">
        <v>91143</v>
      </c>
      <c r="B73" s="51">
        <v>45874</v>
      </c>
      <c r="C73" s="16"/>
      <c r="D73" s="52">
        <v>2</v>
      </c>
      <c r="E73" s="52">
        <v>184</v>
      </c>
      <c r="F73" s="52">
        <v>184</v>
      </c>
      <c r="G73" s="52">
        <v>0</v>
      </c>
      <c r="H73" s="52">
        <v>0</v>
      </c>
      <c r="I73" s="60"/>
      <c r="J73" s="52"/>
      <c r="K73" s="60"/>
      <c r="L73" s="52"/>
      <c r="M73" s="52" t="s">
        <v>0</v>
      </c>
      <c r="N73" s="17" t="s">
        <v>25</v>
      </c>
      <c r="O73" s="51">
        <v>45874</v>
      </c>
      <c r="P73" s="47"/>
    </row>
    <row r="74" spans="1:16" x14ac:dyDescent="0.25">
      <c r="A74" s="46">
        <v>91145</v>
      </c>
      <c r="B74" s="51">
        <v>45816</v>
      </c>
      <c r="C74" s="16"/>
      <c r="D74" s="52">
        <v>2</v>
      </c>
      <c r="E74" s="52">
        <v>230</v>
      </c>
      <c r="F74" s="52">
        <v>230</v>
      </c>
      <c r="G74" s="52">
        <v>0</v>
      </c>
      <c r="H74" s="52">
        <v>0</v>
      </c>
      <c r="I74" s="60"/>
      <c r="J74" s="52"/>
      <c r="K74" s="60"/>
      <c r="L74" s="52"/>
      <c r="M74" s="52" t="s">
        <v>0</v>
      </c>
      <c r="N74" s="17" t="s">
        <v>20</v>
      </c>
      <c r="O74" s="51">
        <v>45816</v>
      </c>
      <c r="P74" s="47"/>
    </row>
    <row r="75" spans="1:16" x14ac:dyDescent="0.25">
      <c r="A75" s="46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6">
        <v>91149</v>
      </c>
      <c r="B76" s="51">
        <v>45918</v>
      </c>
      <c r="C76" s="16"/>
      <c r="D76" s="52">
        <v>2</v>
      </c>
      <c r="E76" s="52">
        <v>179</v>
      </c>
      <c r="F76" s="52">
        <v>179</v>
      </c>
      <c r="G76" s="52">
        <v>0</v>
      </c>
      <c r="H76" s="52">
        <v>0</v>
      </c>
      <c r="I76" s="60"/>
      <c r="J76" s="52"/>
      <c r="K76" s="60"/>
      <c r="L76" s="52"/>
      <c r="M76" s="52" t="s">
        <v>0</v>
      </c>
      <c r="N76" s="17" t="s">
        <v>20</v>
      </c>
      <c r="O76" s="51">
        <v>45918</v>
      </c>
      <c r="P76" s="47"/>
    </row>
    <row r="77" spans="1:16" x14ac:dyDescent="0.25">
      <c r="A77" s="46">
        <v>91151</v>
      </c>
      <c r="B77" s="51">
        <v>45781</v>
      </c>
      <c r="C77" s="16"/>
      <c r="D77" s="52">
        <v>2</v>
      </c>
      <c r="E77" s="52">
        <v>33</v>
      </c>
      <c r="F77" s="52">
        <v>33</v>
      </c>
      <c r="G77" s="52">
        <v>0</v>
      </c>
      <c r="H77" s="52">
        <v>0</v>
      </c>
      <c r="I77" s="60"/>
      <c r="J77" s="52"/>
      <c r="K77" s="60"/>
      <c r="L77" s="52"/>
      <c r="M77" s="52" t="s">
        <v>0</v>
      </c>
      <c r="N77" s="17" t="s">
        <v>20</v>
      </c>
      <c r="O77" s="51">
        <v>45781</v>
      </c>
      <c r="P77" s="47"/>
    </row>
    <row r="78" spans="1:16" x14ac:dyDescent="0.25">
      <c r="A78" s="46">
        <v>91153</v>
      </c>
      <c r="B78" s="51">
        <v>45795</v>
      </c>
      <c r="C78" s="16"/>
      <c r="D78" s="52">
        <v>2</v>
      </c>
      <c r="E78" s="52">
        <v>95</v>
      </c>
      <c r="F78" s="52">
        <v>95</v>
      </c>
      <c r="G78" s="52">
        <v>0</v>
      </c>
      <c r="H78" s="52">
        <v>0</v>
      </c>
      <c r="I78" s="60"/>
      <c r="J78" s="52"/>
      <c r="K78" s="60"/>
      <c r="L78" s="52"/>
      <c r="M78" s="52" t="s">
        <v>0</v>
      </c>
      <c r="N78" s="17" t="s">
        <v>25</v>
      </c>
      <c r="O78" s="51">
        <v>45795</v>
      </c>
      <c r="P78" s="47"/>
    </row>
    <row r="79" spans="1:16" x14ac:dyDescent="0.25">
      <c r="A79" s="46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6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6">
        <v>91159</v>
      </c>
      <c r="B81" s="51">
        <v>45841</v>
      </c>
      <c r="C81" s="16"/>
      <c r="D81" s="52">
        <v>2</v>
      </c>
      <c r="E81" s="52">
        <v>87</v>
      </c>
      <c r="F81" s="52">
        <v>87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20</v>
      </c>
      <c r="O81" s="51">
        <v>45841</v>
      </c>
      <c r="P81" s="47"/>
    </row>
    <row r="82" spans="1:16" x14ac:dyDescent="0.25">
      <c r="A82" s="46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6">
        <v>91163</v>
      </c>
      <c r="B83" s="51">
        <v>45775</v>
      </c>
      <c r="C83" s="16"/>
      <c r="D83" s="52">
        <v>2</v>
      </c>
      <c r="E83" s="52">
        <v>4</v>
      </c>
      <c r="F83" s="52">
        <v>4</v>
      </c>
      <c r="G83" s="52">
        <v>0</v>
      </c>
      <c r="H83" s="52">
        <v>0</v>
      </c>
      <c r="I83" s="60"/>
      <c r="J83" s="52"/>
      <c r="K83" s="60"/>
      <c r="L83" s="52"/>
      <c r="M83" s="52" t="s">
        <v>0</v>
      </c>
      <c r="N83" s="17" t="s">
        <v>20</v>
      </c>
      <c r="O83" s="51">
        <v>45775</v>
      </c>
      <c r="P83" s="47"/>
    </row>
    <row r="84" spans="1:16" x14ac:dyDescent="0.25">
      <c r="A84" s="46">
        <v>91165</v>
      </c>
      <c r="B84" s="51">
        <v>45785</v>
      </c>
      <c r="C84" s="16"/>
      <c r="D84" s="52">
        <v>2</v>
      </c>
      <c r="E84" s="52">
        <v>82</v>
      </c>
      <c r="F84" s="52">
        <v>82</v>
      </c>
      <c r="G84" s="52">
        <v>0</v>
      </c>
      <c r="H84" s="52">
        <v>0</v>
      </c>
      <c r="I84" s="60"/>
      <c r="J84" s="52"/>
      <c r="K84" s="60"/>
      <c r="L84" s="52"/>
      <c r="M84" s="52" t="s">
        <v>0</v>
      </c>
      <c r="N84" s="17" t="s">
        <v>28</v>
      </c>
      <c r="O84" s="51">
        <v>45785</v>
      </c>
      <c r="P84" s="47"/>
    </row>
    <row r="85" spans="1:16" x14ac:dyDescent="0.25">
      <c r="A85" s="46">
        <v>91167</v>
      </c>
      <c r="B85" s="51">
        <v>45783</v>
      </c>
      <c r="C85" s="16"/>
      <c r="D85" s="52">
        <v>2</v>
      </c>
      <c r="E85" s="52">
        <v>38</v>
      </c>
      <c r="F85" s="52">
        <v>38</v>
      </c>
      <c r="G85" s="52">
        <v>0</v>
      </c>
      <c r="H85" s="52">
        <v>0</v>
      </c>
      <c r="I85" s="60"/>
      <c r="J85" s="52"/>
      <c r="K85" s="60"/>
      <c r="L85" s="52"/>
      <c r="M85" s="52" t="s">
        <v>0</v>
      </c>
      <c r="N85" s="17" t="s">
        <v>20</v>
      </c>
      <c r="O85" s="51">
        <v>45783</v>
      </c>
      <c r="P85" s="47">
        <v>91167</v>
      </c>
    </row>
    <row r="86" spans="1:16" x14ac:dyDescent="0.25">
      <c r="A86" s="46">
        <v>91169</v>
      </c>
      <c r="B86" s="51">
        <v>45778</v>
      </c>
      <c r="C86" s="16"/>
      <c r="D86" s="52">
        <v>2</v>
      </c>
      <c r="E86" s="52">
        <v>44</v>
      </c>
      <c r="F86" s="52">
        <v>44</v>
      </c>
      <c r="G86" s="52">
        <v>0</v>
      </c>
      <c r="H86" s="52">
        <v>0</v>
      </c>
      <c r="I86" s="60"/>
      <c r="J86" s="52"/>
      <c r="K86" s="60"/>
      <c r="L86" s="52"/>
      <c r="M86" s="52" t="s">
        <v>0</v>
      </c>
      <c r="N86" s="17" t="s">
        <v>20</v>
      </c>
      <c r="O86" s="51">
        <v>45778</v>
      </c>
      <c r="P86" s="47"/>
    </row>
    <row r="87" spans="1:16" x14ac:dyDescent="0.25">
      <c r="A87" s="46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6">
        <v>91173</v>
      </c>
      <c r="B88" s="51">
        <v>45791</v>
      </c>
      <c r="C88" s="16"/>
      <c r="D88" s="52">
        <v>2</v>
      </c>
      <c r="E88" s="52">
        <v>200</v>
      </c>
      <c r="F88" s="52">
        <v>200</v>
      </c>
      <c r="G88" s="52">
        <v>0</v>
      </c>
      <c r="H88" s="52">
        <v>0</v>
      </c>
      <c r="I88" s="60"/>
      <c r="J88" s="52"/>
      <c r="K88" s="60"/>
      <c r="L88" s="52"/>
      <c r="M88" s="52" t="s">
        <v>0</v>
      </c>
      <c r="N88" s="17" t="s">
        <v>20</v>
      </c>
      <c r="O88" s="51">
        <v>45791</v>
      </c>
      <c r="P88" s="47"/>
    </row>
    <row r="89" spans="1:16" x14ac:dyDescent="0.25">
      <c r="A89" s="46">
        <v>91175</v>
      </c>
      <c r="B89" s="51">
        <v>45782</v>
      </c>
      <c r="C89" s="16"/>
      <c r="D89" s="52">
        <v>2</v>
      </c>
      <c r="E89" s="52">
        <v>42</v>
      </c>
      <c r="F89" s="52">
        <v>42</v>
      </c>
      <c r="G89" s="52">
        <v>0</v>
      </c>
      <c r="H89" s="52">
        <v>0</v>
      </c>
      <c r="I89" s="60"/>
      <c r="J89" s="52"/>
      <c r="K89" s="60"/>
      <c r="L89" s="52"/>
      <c r="M89" s="52" t="s">
        <v>0</v>
      </c>
      <c r="N89" s="17" t="s">
        <v>25</v>
      </c>
      <c r="O89" s="51">
        <v>45782</v>
      </c>
      <c r="P89" s="47"/>
    </row>
    <row r="90" spans="1:16" x14ac:dyDescent="0.25">
      <c r="A90" s="46">
        <v>91177</v>
      </c>
      <c r="B90" s="51">
        <v>45775</v>
      </c>
      <c r="C90" s="16"/>
      <c r="D90" s="52">
        <v>2</v>
      </c>
      <c r="E90" s="52">
        <v>3</v>
      </c>
      <c r="F90" s="52">
        <v>3</v>
      </c>
      <c r="G90" s="52">
        <v>0</v>
      </c>
      <c r="H90" s="52">
        <v>0</v>
      </c>
      <c r="I90" s="60"/>
      <c r="J90" s="52"/>
      <c r="K90" s="60"/>
      <c r="L90" s="52"/>
      <c r="M90" s="52" t="s">
        <v>0</v>
      </c>
      <c r="N90" s="17" t="s">
        <v>20</v>
      </c>
      <c r="O90" s="51">
        <v>45775</v>
      </c>
      <c r="P90" s="47">
        <v>91177</v>
      </c>
    </row>
    <row r="91" spans="1:16" x14ac:dyDescent="0.25">
      <c r="A91" s="46">
        <v>91179</v>
      </c>
      <c r="B91" s="51">
        <v>45804</v>
      </c>
      <c r="C91" s="16"/>
      <c r="D91" s="52">
        <v>2</v>
      </c>
      <c r="E91" s="52">
        <v>225</v>
      </c>
      <c r="F91" s="52">
        <v>225</v>
      </c>
      <c r="G91" s="52">
        <v>0</v>
      </c>
      <c r="H91" s="52">
        <v>0</v>
      </c>
      <c r="I91" s="60"/>
      <c r="J91" s="52"/>
      <c r="K91" s="60"/>
      <c r="L91" s="52"/>
      <c r="M91" s="52" t="s">
        <v>0</v>
      </c>
      <c r="N91" s="17" t="s">
        <v>20</v>
      </c>
      <c r="O91" s="51">
        <v>45804</v>
      </c>
      <c r="P91" s="47"/>
    </row>
    <row r="92" spans="1:16" x14ac:dyDescent="0.25">
      <c r="A92" s="46" t="s">
        <v>29</v>
      </c>
      <c r="B92" s="51">
        <v>45761</v>
      </c>
      <c r="C92" s="16"/>
      <c r="D92" s="52">
        <v>2</v>
      </c>
      <c r="E92" s="52">
        <v>182</v>
      </c>
      <c r="F92" s="52">
        <v>182</v>
      </c>
      <c r="G92" s="52">
        <v>0</v>
      </c>
      <c r="H92" s="52">
        <v>0</v>
      </c>
      <c r="I92" s="60"/>
      <c r="J92" s="52"/>
      <c r="K92" s="60"/>
      <c r="L92" s="52"/>
      <c r="M92" s="52" t="s">
        <v>0</v>
      </c>
      <c r="N92" s="17" t="s">
        <v>20</v>
      </c>
      <c r="O92" s="51">
        <v>45852</v>
      </c>
      <c r="P92" s="47"/>
    </row>
    <row r="93" spans="1:16" x14ac:dyDescent="0.25">
      <c r="A93" s="46" t="s">
        <v>30</v>
      </c>
      <c r="B93" s="65">
        <v>45921</v>
      </c>
      <c r="C93" s="16"/>
      <c r="D93" s="52">
        <v>2</v>
      </c>
      <c r="E93" s="52">
        <v>204</v>
      </c>
      <c r="F93" s="52">
        <v>204</v>
      </c>
      <c r="G93" s="52">
        <v>0</v>
      </c>
      <c r="H93" s="52">
        <v>0</v>
      </c>
      <c r="I93" s="60"/>
      <c r="J93" s="52"/>
      <c r="K93" s="60"/>
      <c r="L93" s="52"/>
      <c r="M93" s="52" t="s">
        <v>0</v>
      </c>
      <c r="N93" s="17" t="s">
        <v>25</v>
      </c>
      <c r="O93" s="51">
        <v>45921</v>
      </c>
      <c r="P93" s="47"/>
    </row>
    <row r="94" spans="1:16" x14ac:dyDescent="0.25">
      <c r="A94" s="46" t="s">
        <v>31</v>
      </c>
      <c r="B94" s="51">
        <v>45778</v>
      </c>
      <c r="C94" s="16"/>
      <c r="D94" s="52">
        <v>2</v>
      </c>
      <c r="E94" s="52">
        <v>32</v>
      </c>
      <c r="F94" s="52">
        <v>32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45778</v>
      </c>
      <c r="P94" s="47"/>
    </row>
    <row r="95" spans="1:16" x14ac:dyDescent="0.25">
      <c r="A95" s="46" t="s">
        <v>32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6" t="s">
        <v>33</v>
      </c>
      <c r="B96" s="51">
        <v>45827</v>
      </c>
      <c r="C96" s="16"/>
      <c r="D96" s="52">
        <v>2</v>
      </c>
      <c r="E96" s="52">
        <v>210</v>
      </c>
      <c r="F96" s="52">
        <v>210</v>
      </c>
      <c r="G96" s="52">
        <v>0</v>
      </c>
      <c r="H96" s="52">
        <v>0</v>
      </c>
      <c r="I96" s="60"/>
      <c r="J96" s="52"/>
      <c r="K96" s="60"/>
      <c r="L96" s="52"/>
      <c r="M96" s="52" t="s">
        <v>0</v>
      </c>
      <c r="N96" s="17" t="s">
        <v>20</v>
      </c>
      <c r="O96" s="51">
        <v>45827</v>
      </c>
      <c r="P96" s="47"/>
    </row>
    <row r="97" spans="1:16" x14ac:dyDescent="0.25">
      <c r="A97" s="46" t="s">
        <v>34</v>
      </c>
      <c r="B97" s="51">
        <v>45865</v>
      </c>
      <c r="C97" s="16"/>
      <c r="D97" s="52">
        <v>2</v>
      </c>
      <c r="E97" s="52">
        <v>272</v>
      </c>
      <c r="F97" s="52">
        <v>272</v>
      </c>
      <c r="G97" s="52">
        <v>0</v>
      </c>
      <c r="H97" s="52">
        <v>0</v>
      </c>
      <c r="I97" s="60"/>
      <c r="J97" s="52"/>
      <c r="K97" s="60"/>
      <c r="L97" s="52"/>
      <c r="M97" s="52" t="s">
        <v>0</v>
      </c>
      <c r="N97" s="17" t="s">
        <v>20</v>
      </c>
      <c r="O97" s="51">
        <v>45865</v>
      </c>
      <c r="P97" s="47"/>
    </row>
    <row r="98" spans="1:16" x14ac:dyDescent="0.25">
      <c r="A98" s="46" t="s">
        <v>35</v>
      </c>
      <c r="B98" s="51">
        <v>45782</v>
      </c>
      <c r="C98" s="16"/>
      <c r="D98" s="52">
        <v>2</v>
      </c>
      <c r="E98" s="52">
        <v>48</v>
      </c>
      <c r="F98" s="52">
        <v>48</v>
      </c>
      <c r="G98" s="52">
        <v>0</v>
      </c>
      <c r="H98" s="52">
        <v>0</v>
      </c>
      <c r="I98" s="60"/>
      <c r="J98" s="52"/>
      <c r="K98" s="60"/>
      <c r="L98" s="52"/>
      <c r="M98" s="52" t="s">
        <v>0</v>
      </c>
      <c r="N98" s="17" t="s">
        <v>25</v>
      </c>
      <c r="O98" s="51">
        <v>45782</v>
      </c>
      <c r="P98" s="47"/>
    </row>
    <row r="99" spans="1:16" x14ac:dyDescent="0.25">
      <c r="A99" s="46" t="s">
        <v>36</v>
      </c>
      <c r="B99" s="51">
        <v>45803</v>
      </c>
      <c r="C99" s="16"/>
      <c r="D99" s="52">
        <v>2</v>
      </c>
      <c r="E99" s="52">
        <v>59</v>
      </c>
      <c r="F99" s="52">
        <v>59</v>
      </c>
      <c r="G99" s="52">
        <v>0</v>
      </c>
      <c r="H99" s="52">
        <v>0</v>
      </c>
      <c r="I99" s="60"/>
      <c r="J99" s="52"/>
      <c r="K99" s="60"/>
      <c r="L99" s="52"/>
      <c r="M99" s="52" t="s">
        <v>0</v>
      </c>
      <c r="N99" s="17" t="s">
        <v>25</v>
      </c>
      <c r="O99" s="51">
        <v>45803</v>
      </c>
      <c r="P99" s="47"/>
    </row>
    <row r="100" spans="1:16" x14ac:dyDescent="0.25">
      <c r="A100" s="46" t="s">
        <v>37</v>
      </c>
      <c r="B100" s="51">
        <v>45776</v>
      </c>
      <c r="C100" s="16"/>
      <c r="D100" s="52">
        <v>2</v>
      </c>
      <c r="E100" s="52">
        <v>16</v>
      </c>
      <c r="F100" s="52">
        <v>16</v>
      </c>
      <c r="G100" s="52">
        <v>0</v>
      </c>
      <c r="H100" s="52">
        <v>0</v>
      </c>
      <c r="I100" s="60"/>
      <c r="J100" s="52"/>
      <c r="K100" s="60"/>
      <c r="L100" s="52"/>
      <c r="M100" s="52" t="s">
        <v>0</v>
      </c>
      <c r="N100" s="17" t="s">
        <v>20</v>
      </c>
      <c r="O100" s="51">
        <v>45776</v>
      </c>
      <c r="P100" s="47"/>
    </row>
    <row r="101" spans="1:16" x14ac:dyDescent="0.25">
      <c r="A101" s="46" t="s">
        <v>38</v>
      </c>
      <c r="B101" s="51">
        <v>45798</v>
      </c>
      <c r="C101" s="16"/>
      <c r="D101" s="52">
        <v>2</v>
      </c>
      <c r="E101" s="52">
        <v>200</v>
      </c>
      <c r="F101" s="52">
        <v>200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20</v>
      </c>
      <c r="O101" s="51">
        <v>45798</v>
      </c>
      <c r="P101" s="47"/>
    </row>
    <row r="102" spans="1:16" x14ac:dyDescent="0.25">
      <c r="A102" s="46" t="s">
        <v>39</v>
      </c>
      <c r="B102" s="51">
        <v>45775</v>
      </c>
      <c r="C102" s="16"/>
      <c r="D102" s="52">
        <v>1</v>
      </c>
      <c r="E102" s="52">
        <v>1</v>
      </c>
      <c r="F102" s="52">
        <v>1</v>
      </c>
      <c r="G102" s="52">
        <v>0</v>
      </c>
      <c r="H102" s="52">
        <v>0</v>
      </c>
      <c r="I102" s="60"/>
      <c r="J102" s="52"/>
      <c r="K102" s="60"/>
      <c r="L102" s="52"/>
      <c r="M102" s="52" t="s">
        <v>0</v>
      </c>
      <c r="N102" s="17" t="s">
        <v>19</v>
      </c>
      <c r="O102" s="51">
        <v>45775</v>
      </c>
      <c r="P102" s="47"/>
    </row>
    <row r="103" spans="1:16" x14ac:dyDescent="0.25">
      <c r="A103" s="46" t="s">
        <v>40</v>
      </c>
      <c r="B103" s="65">
        <v>46001</v>
      </c>
      <c r="C103" s="16"/>
      <c r="D103" s="52">
        <v>2</v>
      </c>
      <c r="E103" s="52">
        <v>220</v>
      </c>
      <c r="F103" s="52">
        <v>220</v>
      </c>
      <c r="G103" s="52">
        <v>0</v>
      </c>
      <c r="H103" s="52">
        <v>0</v>
      </c>
      <c r="I103" s="60"/>
      <c r="J103" s="52"/>
      <c r="K103" s="60"/>
      <c r="L103" s="52"/>
      <c r="M103" s="52" t="s">
        <v>0</v>
      </c>
      <c r="N103" s="17" t="s">
        <v>25</v>
      </c>
      <c r="O103" s="51">
        <v>46001</v>
      </c>
      <c r="P103" s="47"/>
    </row>
    <row r="104" spans="1:16" x14ac:dyDescent="0.25">
      <c r="A104" s="46" t="s">
        <v>41</v>
      </c>
      <c r="B104" s="51">
        <v>45798</v>
      </c>
      <c r="C104" s="16"/>
      <c r="D104" s="52">
        <v>2</v>
      </c>
      <c r="E104" s="52">
        <v>208</v>
      </c>
      <c r="F104" s="52">
        <v>208</v>
      </c>
      <c r="G104" s="52">
        <v>0</v>
      </c>
      <c r="H104" s="52">
        <v>0</v>
      </c>
      <c r="I104" s="60"/>
      <c r="J104" s="52"/>
      <c r="K104" s="60"/>
      <c r="L104" s="52"/>
      <c r="M104" s="52" t="s">
        <v>0</v>
      </c>
      <c r="N104" s="17" t="s">
        <v>42</v>
      </c>
      <c r="O104" s="51">
        <v>45798</v>
      </c>
      <c r="P104" s="47"/>
    </row>
    <row r="105" spans="1:16" x14ac:dyDescent="0.25">
      <c r="A105" s="46" t="s">
        <v>43</v>
      </c>
      <c r="B105" s="51">
        <v>45837</v>
      </c>
      <c r="C105" s="16"/>
      <c r="D105" s="52">
        <v>2</v>
      </c>
      <c r="E105" s="52">
        <v>160</v>
      </c>
      <c r="F105" s="52">
        <v>160</v>
      </c>
      <c r="G105" s="52">
        <v>0</v>
      </c>
      <c r="H105" s="52">
        <v>0</v>
      </c>
      <c r="I105" s="60"/>
      <c r="J105" s="52"/>
      <c r="K105" s="60"/>
      <c r="L105" s="52"/>
      <c r="M105" s="52" t="s">
        <v>0</v>
      </c>
      <c r="N105" s="17" t="s">
        <v>20</v>
      </c>
      <c r="O105" s="51">
        <v>45837</v>
      </c>
      <c r="P105" s="47"/>
    </row>
    <row r="106" spans="1:16" x14ac:dyDescent="0.25">
      <c r="A106" s="46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46" t="s">
        <v>44</v>
      </c>
      <c r="B107" s="51">
        <v>45777</v>
      </c>
      <c r="C107" s="16"/>
      <c r="D107" s="52">
        <v>2</v>
      </c>
      <c r="E107" s="52">
        <v>28</v>
      </c>
      <c r="F107" s="52">
        <v>28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20</v>
      </c>
      <c r="O107" s="51">
        <v>45777</v>
      </c>
      <c r="P107" s="47"/>
    </row>
    <row r="108" spans="1:16" x14ac:dyDescent="0.25">
      <c r="A108" s="46" t="s">
        <v>45</v>
      </c>
      <c r="B108" s="51">
        <v>45812</v>
      </c>
      <c r="C108" s="16"/>
      <c r="D108" s="52">
        <v>1</v>
      </c>
      <c r="E108" s="52">
        <v>20</v>
      </c>
      <c r="F108" s="52">
        <v>20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27</v>
      </c>
      <c r="O108" s="51">
        <v>45812</v>
      </c>
      <c r="P108" s="47"/>
    </row>
    <row r="109" spans="1:16" x14ac:dyDescent="0.25">
      <c r="A109" s="46" t="s">
        <v>46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6" t="s">
        <v>47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6" t="s">
        <v>48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6" t="s">
        <v>49</v>
      </c>
      <c r="B112" s="51">
        <v>45777</v>
      </c>
      <c r="C112" s="16"/>
      <c r="D112" s="52">
        <v>2</v>
      </c>
      <c r="E112" s="52">
        <v>38</v>
      </c>
      <c r="F112" s="52">
        <v>38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45777</v>
      </c>
      <c r="P112" s="47"/>
    </row>
    <row r="113" spans="1:16" x14ac:dyDescent="0.25">
      <c r="A113" s="46" t="s">
        <v>50</v>
      </c>
      <c r="B113" s="51">
        <v>45823</v>
      </c>
      <c r="C113" s="16"/>
      <c r="D113" s="52">
        <v>2</v>
      </c>
      <c r="E113" s="52">
        <v>100</v>
      </c>
      <c r="F113" s="52">
        <v>100</v>
      </c>
      <c r="G113" s="52">
        <v>0</v>
      </c>
      <c r="H113" s="52">
        <v>0</v>
      </c>
      <c r="I113" s="60"/>
      <c r="J113" s="52"/>
      <c r="K113" s="60"/>
      <c r="L113" s="52"/>
      <c r="M113" s="52" t="s">
        <v>0</v>
      </c>
      <c r="N113" s="17" t="s">
        <v>20</v>
      </c>
      <c r="O113" s="51">
        <v>45823</v>
      </c>
      <c r="P113" s="47"/>
    </row>
    <row r="114" spans="1:16" x14ac:dyDescent="0.25">
      <c r="A114" s="46" t="s">
        <v>51</v>
      </c>
      <c r="B114" s="51">
        <v>45769</v>
      </c>
      <c r="C114" s="16"/>
      <c r="D114" s="52">
        <v>2</v>
      </c>
      <c r="E114" s="52">
        <v>34</v>
      </c>
      <c r="F114" s="52">
        <v>34</v>
      </c>
      <c r="G114" s="52">
        <v>0</v>
      </c>
      <c r="H114" s="52">
        <v>0</v>
      </c>
      <c r="I114" s="60"/>
      <c r="J114" s="52"/>
      <c r="K114" s="60"/>
      <c r="L114" s="52"/>
      <c r="M114" s="52" t="s">
        <v>0</v>
      </c>
      <c r="N114" s="17" t="s">
        <v>20</v>
      </c>
      <c r="O114" s="51">
        <v>45769</v>
      </c>
      <c r="P114" s="47">
        <v>91225</v>
      </c>
    </row>
    <row r="115" spans="1:16" x14ac:dyDescent="0.25">
      <c r="A115" s="46" t="s">
        <v>52</v>
      </c>
      <c r="B115" s="51">
        <v>45806</v>
      </c>
      <c r="C115" s="16"/>
      <c r="D115" s="52">
        <v>2</v>
      </c>
      <c r="E115" s="52">
        <v>200</v>
      </c>
      <c r="F115" s="52">
        <v>200</v>
      </c>
      <c r="G115" s="52">
        <v>0</v>
      </c>
      <c r="H115" s="52">
        <v>0</v>
      </c>
      <c r="I115" s="60"/>
      <c r="J115" s="52"/>
      <c r="K115" s="60"/>
      <c r="L115" s="52"/>
      <c r="M115" s="52" t="s">
        <v>0</v>
      </c>
      <c r="N115" s="17" t="s">
        <v>25</v>
      </c>
      <c r="O115" s="51">
        <v>45806</v>
      </c>
      <c r="P115" s="47"/>
    </row>
    <row r="116" spans="1:16" x14ac:dyDescent="0.25">
      <c r="A116" s="46" t="s">
        <v>53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6" t="s">
        <v>54</v>
      </c>
      <c r="B117" s="51">
        <v>45792</v>
      </c>
      <c r="C117" s="16"/>
      <c r="D117" s="52">
        <v>2</v>
      </c>
      <c r="E117" s="52">
        <v>114</v>
      </c>
      <c r="F117" s="52">
        <v>114</v>
      </c>
      <c r="G117" s="52">
        <v>0</v>
      </c>
      <c r="H117" s="52">
        <v>0</v>
      </c>
      <c r="I117" s="60"/>
      <c r="J117" s="52"/>
      <c r="K117" s="60"/>
      <c r="L117" s="52"/>
      <c r="M117" s="52" t="s">
        <v>0</v>
      </c>
      <c r="N117" s="17" t="s">
        <v>20</v>
      </c>
      <c r="O117" s="51">
        <v>45792</v>
      </c>
      <c r="P117" s="47"/>
    </row>
    <row r="118" spans="1:16" x14ac:dyDescent="0.25">
      <c r="A118" s="46" t="s">
        <v>55</v>
      </c>
      <c r="B118" s="51">
        <v>45784</v>
      </c>
      <c r="C118" s="16"/>
      <c r="D118" s="52">
        <v>2</v>
      </c>
      <c r="E118" s="52">
        <v>69</v>
      </c>
      <c r="F118" s="52">
        <v>69</v>
      </c>
      <c r="G118" s="52">
        <v>0</v>
      </c>
      <c r="H118" s="52">
        <v>0</v>
      </c>
      <c r="I118" s="60"/>
      <c r="J118" s="52"/>
      <c r="K118" s="60"/>
      <c r="L118" s="52"/>
      <c r="M118" s="52" t="s">
        <v>0</v>
      </c>
      <c r="N118" s="17" t="s">
        <v>20</v>
      </c>
      <c r="O118" s="51">
        <v>45784</v>
      </c>
      <c r="P118" s="47">
        <v>91233</v>
      </c>
    </row>
    <row r="119" spans="1:16" x14ac:dyDescent="0.25">
      <c r="A119" s="46" t="s">
        <v>56</v>
      </c>
      <c r="B119" s="51">
        <v>45791</v>
      </c>
      <c r="C119" s="16"/>
      <c r="D119" s="52">
        <v>2</v>
      </c>
      <c r="E119" s="52">
        <v>150</v>
      </c>
      <c r="F119" s="52">
        <v>150</v>
      </c>
      <c r="G119" s="52">
        <v>0</v>
      </c>
      <c r="H119" s="52">
        <v>0</v>
      </c>
      <c r="I119" s="60"/>
      <c r="J119" s="52"/>
      <c r="K119" s="60"/>
      <c r="L119" s="52"/>
      <c r="M119" s="52" t="s">
        <v>0</v>
      </c>
      <c r="N119" s="17" t="s">
        <v>20</v>
      </c>
      <c r="O119" s="51">
        <v>45791</v>
      </c>
      <c r="P119" s="47"/>
    </row>
    <row r="120" spans="1:16" x14ac:dyDescent="0.25">
      <c r="A120" s="46" t="s">
        <v>57</v>
      </c>
      <c r="B120" s="51">
        <v>45839</v>
      </c>
      <c r="C120" s="16"/>
      <c r="D120" s="52">
        <v>2</v>
      </c>
      <c r="E120" s="52">
        <v>66</v>
      </c>
      <c r="F120" s="52">
        <v>66</v>
      </c>
      <c r="G120" s="52">
        <v>0</v>
      </c>
      <c r="H120" s="52">
        <v>0</v>
      </c>
      <c r="I120" s="60"/>
      <c r="J120" s="52"/>
      <c r="K120" s="60"/>
      <c r="L120" s="52"/>
      <c r="M120" s="52" t="s">
        <v>0</v>
      </c>
      <c r="N120" s="17" t="s">
        <v>20</v>
      </c>
      <c r="O120" s="51">
        <v>45839</v>
      </c>
      <c r="P120" s="47"/>
    </row>
    <row r="121" spans="1:16" x14ac:dyDescent="0.25">
      <c r="A121" s="46" t="s">
        <v>58</v>
      </c>
      <c r="B121" s="51">
        <v>45855</v>
      </c>
      <c r="C121" s="16"/>
      <c r="D121" s="52">
        <v>2</v>
      </c>
      <c r="E121" s="52">
        <v>190</v>
      </c>
      <c r="F121" s="52">
        <v>190</v>
      </c>
      <c r="G121" s="52">
        <v>0</v>
      </c>
      <c r="H121" s="52">
        <v>0</v>
      </c>
      <c r="I121" s="60"/>
      <c r="J121" s="52"/>
      <c r="K121" s="60"/>
      <c r="L121" s="52"/>
      <c r="M121" s="52" t="s">
        <v>0</v>
      </c>
      <c r="N121" s="17" t="s">
        <v>20</v>
      </c>
      <c r="O121" s="51">
        <v>45855</v>
      </c>
      <c r="P121" s="47"/>
    </row>
    <row r="122" spans="1:16" x14ac:dyDescent="0.25">
      <c r="A122" s="46" t="s">
        <v>59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6" t="s">
        <v>60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6" t="s">
        <v>61</v>
      </c>
      <c r="B124" s="51">
        <v>45875</v>
      </c>
      <c r="C124" s="16"/>
      <c r="D124" s="52">
        <v>2</v>
      </c>
      <c r="E124" s="52">
        <v>208</v>
      </c>
      <c r="F124" s="52">
        <v>208</v>
      </c>
      <c r="G124" s="52">
        <v>0</v>
      </c>
      <c r="H124" s="52">
        <v>0</v>
      </c>
      <c r="I124" s="60"/>
      <c r="J124" s="52"/>
      <c r="K124" s="60"/>
      <c r="L124" s="52"/>
      <c r="M124" s="52" t="s">
        <v>0</v>
      </c>
      <c r="N124" s="17" t="s">
        <v>20</v>
      </c>
      <c r="O124" s="51">
        <v>45875</v>
      </c>
      <c r="P124" s="47"/>
    </row>
    <row r="125" spans="1:16" x14ac:dyDescent="0.25">
      <c r="A125" s="46" t="s">
        <v>62</v>
      </c>
      <c r="B125" s="51">
        <v>45810</v>
      </c>
      <c r="C125" s="16"/>
      <c r="D125" s="52">
        <v>2</v>
      </c>
      <c r="E125" s="52">
        <v>150</v>
      </c>
      <c r="F125" s="52">
        <v>150</v>
      </c>
      <c r="G125" s="52">
        <v>0</v>
      </c>
      <c r="H125" s="52">
        <v>0</v>
      </c>
      <c r="I125" s="60"/>
      <c r="J125" s="52"/>
      <c r="K125" s="60"/>
      <c r="L125" s="52"/>
      <c r="M125" s="52" t="s">
        <v>0</v>
      </c>
      <c r="N125" s="17" t="s">
        <v>25</v>
      </c>
      <c r="O125" s="51">
        <v>45810</v>
      </c>
      <c r="P125" s="47"/>
    </row>
    <row r="126" spans="1:16" x14ac:dyDescent="0.25">
      <c r="A126" s="46" t="s">
        <v>63</v>
      </c>
      <c r="B126" s="51">
        <v>45790</v>
      </c>
      <c r="C126" s="16"/>
      <c r="D126" s="52">
        <v>2</v>
      </c>
      <c r="E126" s="52">
        <v>76</v>
      </c>
      <c r="F126" s="52">
        <v>76</v>
      </c>
      <c r="G126" s="52">
        <v>0</v>
      </c>
      <c r="H126" s="52">
        <v>0</v>
      </c>
      <c r="I126" s="60"/>
      <c r="J126" s="52"/>
      <c r="K126" s="60"/>
      <c r="L126" s="52"/>
      <c r="M126" s="52" t="s">
        <v>0</v>
      </c>
      <c r="N126" s="17" t="s">
        <v>25</v>
      </c>
      <c r="O126" s="51">
        <v>45790</v>
      </c>
      <c r="P126" s="47"/>
    </row>
    <row r="127" spans="1:16" x14ac:dyDescent="0.25">
      <c r="A127" s="46" t="s">
        <v>64</v>
      </c>
      <c r="B127" s="51">
        <v>45810</v>
      </c>
      <c r="C127" s="16"/>
      <c r="D127" s="52">
        <v>0</v>
      </c>
      <c r="E127" s="52">
        <v>44</v>
      </c>
      <c r="F127" s="52">
        <v>44</v>
      </c>
      <c r="G127" s="52">
        <v>0</v>
      </c>
      <c r="H127" s="52">
        <v>0</v>
      </c>
      <c r="I127" s="60"/>
      <c r="J127" s="52"/>
      <c r="K127" s="60"/>
      <c r="L127" s="52"/>
      <c r="M127" s="52" t="s">
        <v>0</v>
      </c>
      <c r="N127" s="17" t="s">
        <v>20</v>
      </c>
      <c r="O127" s="51">
        <v>45810</v>
      </c>
      <c r="P127" s="47"/>
    </row>
    <row r="128" spans="1:16" x14ac:dyDescent="0.25">
      <c r="A128" s="46" t="s">
        <v>65</v>
      </c>
      <c r="B128" s="51">
        <v>45810</v>
      </c>
      <c r="C128" s="16"/>
      <c r="D128" s="52">
        <v>0</v>
      </c>
      <c r="E128" s="52">
        <v>150</v>
      </c>
      <c r="F128" s="52">
        <v>150</v>
      </c>
      <c r="G128" s="52">
        <v>0</v>
      </c>
      <c r="H128" s="52">
        <v>0</v>
      </c>
      <c r="I128" s="60"/>
      <c r="J128" s="52"/>
      <c r="K128" s="60"/>
      <c r="L128" s="52"/>
      <c r="M128" s="52" t="s">
        <v>0</v>
      </c>
      <c r="N128" s="17" t="s">
        <v>20</v>
      </c>
      <c r="O128" s="51">
        <v>45810</v>
      </c>
      <c r="P128" s="47"/>
    </row>
    <row r="129" spans="1:16" x14ac:dyDescent="0.25">
      <c r="A129" s="46">
        <v>91255</v>
      </c>
      <c r="B129" s="51">
        <v>45770</v>
      </c>
      <c r="C129" s="16"/>
      <c r="D129" s="52">
        <v>2</v>
      </c>
      <c r="E129" s="52">
        <v>42</v>
      </c>
      <c r="F129" s="52">
        <v>42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20</v>
      </c>
      <c r="O129" s="51">
        <v>45770</v>
      </c>
      <c r="P129" s="47">
        <v>91255</v>
      </c>
    </row>
    <row r="130" spans="1:16" x14ac:dyDescent="0.25">
      <c r="A130" s="46" t="s">
        <v>66</v>
      </c>
      <c r="B130" s="51">
        <v>45812</v>
      </c>
      <c r="C130" s="16"/>
      <c r="D130" s="52">
        <v>2</v>
      </c>
      <c r="E130" s="52">
        <v>200</v>
      </c>
      <c r="F130" s="52">
        <v>200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27</v>
      </c>
      <c r="O130" s="51">
        <v>45812</v>
      </c>
      <c r="P130" s="47"/>
    </row>
    <row r="131" spans="1:16" x14ac:dyDescent="0.25">
      <c r="A131" s="46" t="s">
        <v>67</v>
      </c>
      <c r="B131" s="51">
        <v>45777</v>
      </c>
      <c r="C131" s="16"/>
      <c r="D131" s="52">
        <v>2</v>
      </c>
      <c r="E131" s="52">
        <v>44</v>
      </c>
      <c r="F131" s="52">
        <v>44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20</v>
      </c>
      <c r="O131" s="51">
        <v>45777</v>
      </c>
      <c r="P131" s="47"/>
    </row>
    <row r="132" spans="1:16" x14ac:dyDescent="0.25">
      <c r="A132" s="46" t="s">
        <v>68</v>
      </c>
      <c r="B132" s="51">
        <v>45805</v>
      </c>
      <c r="C132" s="16"/>
      <c r="D132" s="52">
        <v>2</v>
      </c>
      <c r="E132" s="52">
        <v>256</v>
      </c>
      <c r="F132" s="52">
        <v>256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25</v>
      </c>
      <c r="O132" s="51">
        <v>45805</v>
      </c>
      <c r="P132" s="47"/>
    </row>
    <row r="133" spans="1:16" x14ac:dyDescent="0.25">
      <c r="A133" s="46" t="s">
        <v>69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6" t="s">
        <v>70</v>
      </c>
      <c r="B134" s="67">
        <v>45932</v>
      </c>
      <c r="C134" s="16"/>
      <c r="D134" s="52">
        <v>2</v>
      </c>
      <c r="E134" s="52">
        <v>204</v>
      </c>
      <c r="F134" s="52">
        <v>204</v>
      </c>
      <c r="G134" s="52">
        <v>0</v>
      </c>
      <c r="H134" s="52">
        <v>0</v>
      </c>
      <c r="I134" s="60"/>
      <c r="J134" s="52"/>
      <c r="K134" s="60"/>
      <c r="L134" s="52"/>
      <c r="M134" s="52" t="s">
        <v>0</v>
      </c>
      <c r="N134" s="17" t="s">
        <v>25</v>
      </c>
      <c r="O134" s="51">
        <v>45932</v>
      </c>
      <c r="P134" s="47"/>
    </row>
    <row r="135" spans="1:16" x14ac:dyDescent="0.25">
      <c r="A135" s="46" t="s">
        <v>71</v>
      </c>
      <c r="B135" s="51">
        <v>45789</v>
      </c>
      <c r="C135" s="16"/>
      <c r="D135" s="52">
        <v>2</v>
      </c>
      <c r="E135" s="52">
        <v>79</v>
      </c>
      <c r="F135" s="52">
        <v>79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25</v>
      </c>
      <c r="O135" s="51">
        <v>45789</v>
      </c>
      <c r="P135" s="47">
        <v>91267</v>
      </c>
    </row>
    <row r="136" spans="1:16" x14ac:dyDescent="0.25">
      <c r="A136" s="46" t="s">
        <v>72</v>
      </c>
      <c r="B136" s="51">
        <v>45839</v>
      </c>
      <c r="C136" s="16"/>
      <c r="D136" s="52">
        <v>2</v>
      </c>
      <c r="E136" s="52">
        <v>133</v>
      </c>
      <c r="F136" s="52">
        <v>133</v>
      </c>
      <c r="G136" s="52">
        <v>0</v>
      </c>
      <c r="H136" s="52">
        <v>0</v>
      </c>
      <c r="I136" s="60"/>
      <c r="J136" s="52"/>
      <c r="K136" s="60"/>
      <c r="L136" s="52"/>
      <c r="M136" s="52" t="s">
        <v>0</v>
      </c>
      <c r="N136" s="17" t="s">
        <v>20</v>
      </c>
      <c r="O136" s="51">
        <v>45839</v>
      </c>
      <c r="P136" s="47"/>
    </row>
    <row r="137" spans="1:16" x14ac:dyDescent="0.25">
      <c r="A137" s="46" t="s">
        <v>73</v>
      </c>
      <c r="B137" s="51">
        <v>45813</v>
      </c>
      <c r="C137" s="16"/>
      <c r="D137" s="52">
        <v>2</v>
      </c>
      <c r="E137" s="52">
        <v>248</v>
      </c>
      <c r="F137" s="52">
        <v>248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25</v>
      </c>
      <c r="O137" s="51">
        <v>45813</v>
      </c>
      <c r="P137" s="47"/>
    </row>
    <row r="138" spans="1:16" x14ac:dyDescent="0.25">
      <c r="A138" s="46">
        <v>91273</v>
      </c>
      <c r="B138" s="51">
        <v>45812</v>
      </c>
      <c r="C138" s="16"/>
      <c r="D138" s="52">
        <v>2</v>
      </c>
      <c r="E138" s="52">
        <v>100</v>
      </c>
      <c r="F138" s="52">
        <v>100</v>
      </c>
      <c r="G138" s="52">
        <v>0</v>
      </c>
      <c r="H138" s="52">
        <v>0</v>
      </c>
      <c r="I138" s="60"/>
      <c r="J138" s="52"/>
      <c r="K138" s="60"/>
      <c r="L138" s="52"/>
      <c r="M138" s="52" t="s">
        <v>0</v>
      </c>
      <c r="N138" s="17" t="s">
        <v>20</v>
      </c>
      <c r="O138" s="51">
        <v>45812</v>
      </c>
      <c r="P138" s="47"/>
    </row>
    <row r="139" spans="1:16" x14ac:dyDescent="0.25">
      <c r="A139" s="46" t="s">
        <v>74</v>
      </c>
      <c r="B139" s="51">
        <v>45804</v>
      </c>
      <c r="C139" s="16"/>
      <c r="D139" s="52">
        <v>2</v>
      </c>
      <c r="E139" s="52">
        <v>188</v>
      </c>
      <c r="F139" s="52">
        <v>188</v>
      </c>
      <c r="G139" s="52">
        <v>0</v>
      </c>
      <c r="H139" s="52">
        <v>0</v>
      </c>
      <c r="I139" s="60"/>
      <c r="J139" s="52"/>
      <c r="K139" s="60"/>
      <c r="L139" s="52"/>
      <c r="M139" s="52" t="s">
        <v>0</v>
      </c>
      <c r="N139" s="17" t="s">
        <v>25</v>
      </c>
      <c r="O139" s="51">
        <v>45804</v>
      </c>
      <c r="P139" s="47">
        <v>91275</v>
      </c>
    </row>
    <row r="140" spans="1:16" x14ac:dyDescent="0.25">
      <c r="A140" s="46" t="s">
        <v>75</v>
      </c>
      <c r="B140" s="51">
        <v>45764</v>
      </c>
      <c r="C140" s="16"/>
      <c r="D140" s="52">
        <v>2</v>
      </c>
      <c r="E140" s="52">
        <v>88</v>
      </c>
      <c r="F140" s="52">
        <v>88</v>
      </c>
      <c r="G140" s="52">
        <v>0</v>
      </c>
      <c r="H140" s="52">
        <v>0</v>
      </c>
      <c r="I140" s="60"/>
      <c r="J140" s="52"/>
      <c r="K140" s="60"/>
      <c r="L140" s="52"/>
      <c r="M140" s="52" t="s">
        <v>0</v>
      </c>
      <c r="N140" s="17" t="s">
        <v>20</v>
      </c>
      <c r="O140" s="51">
        <v>45764</v>
      </c>
      <c r="P140" s="47">
        <v>91277</v>
      </c>
    </row>
    <row r="141" spans="1:16" x14ac:dyDescent="0.25">
      <c r="A141" s="46">
        <v>91279</v>
      </c>
      <c r="B141" s="51">
        <v>45809</v>
      </c>
      <c r="C141" s="16"/>
      <c r="D141" s="52">
        <v>2</v>
      </c>
      <c r="E141" s="52">
        <v>114</v>
      </c>
      <c r="F141" s="52">
        <v>114</v>
      </c>
      <c r="G141" s="52">
        <v>0</v>
      </c>
      <c r="H141" s="52">
        <v>0</v>
      </c>
      <c r="I141" s="60"/>
      <c r="J141" s="52"/>
      <c r="K141" s="60"/>
      <c r="L141" s="52"/>
      <c r="M141" s="52" t="s">
        <v>0</v>
      </c>
      <c r="N141" s="17" t="s">
        <v>20</v>
      </c>
      <c r="O141" s="51">
        <v>45809</v>
      </c>
      <c r="P141" s="47"/>
    </row>
    <row r="142" spans="1:16" x14ac:dyDescent="0.25">
      <c r="A142" s="46" t="s">
        <v>76</v>
      </c>
      <c r="B142" s="51">
        <v>45805</v>
      </c>
      <c r="C142" s="16"/>
      <c r="D142" s="52">
        <v>1</v>
      </c>
      <c r="E142" s="52">
        <v>21</v>
      </c>
      <c r="F142" s="52">
        <v>21</v>
      </c>
      <c r="G142" s="52">
        <v>0</v>
      </c>
      <c r="H142" s="52">
        <v>0</v>
      </c>
      <c r="I142" s="60"/>
      <c r="J142" s="52"/>
      <c r="K142" s="60"/>
      <c r="L142" s="52"/>
      <c r="M142" s="52" t="s">
        <v>0</v>
      </c>
      <c r="N142" s="17" t="s">
        <v>20</v>
      </c>
      <c r="O142" s="51">
        <v>45805</v>
      </c>
      <c r="P142" s="47"/>
    </row>
    <row r="143" spans="1:16" x14ac:dyDescent="0.25">
      <c r="A143" s="46" t="s">
        <v>77</v>
      </c>
      <c r="B143" s="51">
        <v>45802</v>
      </c>
      <c r="C143" s="16"/>
      <c r="D143" s="52">
        <v>2</v>
      </c>
      <c r="E143" s="52">
        <v>200</v>
      </c>
      <c r="F143" s="52">
        <v>200</v>
      </c>
      <c r="G143" s="52">
        <v>0</v>
      </c>
      <c r="H143" s="52">
        <v>0</v>
      </c>
      <c r="I143" s="60"/>
      <c r="J143" s="52"/>
      <c r="K143" s="60"/>
      <c r="L143" s="52"/>
      <c r="M143" s="52" t="s">
        <v>0</v>
      </c>
      <c r="N143" s="17" t="s">
        <v>20</v>
      </c>
      <c r="O143" s="51">
        <v>45802</v>
      </c>
      <c r="P143" s="47"/>
    </row>
    <row r="144" spans="1:16" x14ac:dyDescent="0.25">
      <c r="A144" s="46" t="s">
        <v>78</v>
      </c>
      <c r="B144" s="51">
        <v>45781</v>
      </c>
      <c r="C144" s="16"/>
      <c r="D144" s="52">
        <v>2</v>
      </c>
      <c r="E144" s="52">
        <v>42</v>
      </c>
      <c r="F144" s="52">
        <v>42</v>
      </c>
      <c r="G144" s="52">
        <v>0</v>
      </c>
      <c r="H144" s="52">
        <v>0</v>
      </c>
      <c r="I144" s="60"/>
      <c r="J144" s="52"/>
      <c r="K144" s="60"/>
      <c r="L144" s="52"/>
      <c r="M144" s="52" t="s">
        <v>0</v>
      </c>
      <c r="N144" s="17" t="s">
        <v>20</v>
      </c>
      <c r="O144" s="51">
        <v>45781</v>
      </c>
      <c r="P144" s="47">
        <v>91285</v>
      </c>
    </row>
    <row r="145" spans="1:16" x14ac:dyDescent="0.25">
      <c r="A145" s="46" t="s">
        <v>79</v>
      </c>
      <c r="B145" s="51">
        <v>45768</v>
      </c>
      <c r="C145" s="16"/>
      <c r="D145" s="52">
        <v>2</v>
      </c>
      <c r="E145" s="52">
        <v>52</v>
      </c>
      <c r="F145" s="52">
        <v>52</v>
      </c>
      <c r="G145" s="52">
        <v>0</v>
      </c>
      <c r="H145" s="52">
        <v>0</v>
      </c>
      <c r="I145" s="60"/>
      <c r="J145" s="52"/>
      <c r="K145" s="60"/>
      <c r="L145" s="52"/>
      <c r="M145" s="52" t="s">
        <v>0</v>
      </c>
      <c r="N145" s="17" t="s">
        <v>20</v>
      </c>
      <c r="O145" s="51">
        <v>45768</v>
      </c>
      <c r="P145" s="47">
        <v>91287</v>
      </c>
    </row>
    <row r="146" spans="1:16" x14ac:dyDescent="0.25">
      <c r="A146" s="46" t="s">
        <v>80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6" t="s">
        <v>81</v>
      </c>
      <c r="B147" s="51">
        <v>45848</v>
      </c>
      <c r="C147" s="16"/>
      <c r="D147" s="52">
        <v>2</v>
      </c>
      <c r="E147" s="52">
        <v>216</v>
      </c>
      <c r="F147" s="52">
        <v>216</v>
      </c>
      <c r="G147" s="52">
        <v>0</v>
      </c>
      <c r="H147" s="52">
        <v>0</v>
      </c>
      <c r="I147" s="60"/>
      <c r="J147" s="52"/>
      <c r="K147" s="60"/>
      <c r="L147" s="52"/>
      <c r="M147" s="52" t="s">
        <v>0</v>
      </c>
      <c r="N147" s="17" t="s">
        <v>20</v>
      </c>
      <c r="O147" s="51">
        <v>45848</v>
      </c>
      <c r="P147" s="47"/>
    </row>
    <row r="148" spans="1:16" x14ac:dyDescent="0.25">
      <c r="A148" s="46" t="s">
        <v>82</v>
      </c>
      <c r="B148" s="51">
        <v>45790</v>
      </c>
      <c r="C148" s="16"/>
      <c r="D148" s="52">
        <v>2</v>
      </c>
      <c r="E148" s="52">
        <v>110</v>
      </c>
      <c r="F148" s="52">
        <v>110</v>
      </c>
      <c r="G148" s="52">
        <v>0</v>
      </c>
      <c r="H148" s="52">
        <v>0</v>
      </c>
      <c r="I148" s="60"/>
      <c r="J148" s="52"/>
      <c r="K148" s="60"/>
      <c r="L148" s="52"/>
      <c r="M148" s="52" t="s">
        <v>0</v>
      </c>
      <c r="N148" s="17" t="s">
        <v>25</v>
      </c>
      <c r="O148" s="51">
        <v>45790</v>
      </c>
      <c r="P148" s="47"/>
    </row>
    <row r="149" spans="1:16" x14ac:dyDescent="0.25">
      <c r="A149" s="46" t="s">
        <v>83</v>
      </c>
      <c r="B149" s="51">
        <v>45780</v>
      </c>
      <c r="C149" s="16"/>
      <c r="D149" s="52">
        <v>2</v>
      </c>
      <c r="E149" s="52">
        <v>130</v>
      </c>
      <c r="F149" s="52">
        <v>130</v>
      </c>
      <c r="G149" s="52">
        <v>0</v>
      </c>
      <c r="H149" s="52">
        <v>0</v>
      </c>
      <c r="I149" s="60"/>
      <c r="J149" s="52"/>
      <c r="K149" s="60"/>
      <c r="L149" s="52"/>
      <c r="M149" s="52" t="s">
        <v>0</v>
      </c>
      <c r="N149" s="17" t="s">
        <v>20</v>
      </c>
      <c r="O149" s="51">
        <v>45780</v>
      </c>
      <c r="P149" s="47"/>
    </row>
    <row r="150" spans="1:16" x14ac:dyDescent="0.25">
      <c r="A150" s="46" t="s">
        <v>84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6" t="s">
        <v>85</v>
      </c>
      <c r="B151" s="51">
        <v>45820</v>
      </c>
      <c r="C151" s="16"/>
      <c r="D151" s="52">
        <v>2</v>
      </c>
      <c r="E151" s="52">
        <v>220</v>
      </c>
      <c r="F151" s="52">
        <v>220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25</v>
      </c>
      <c r="O151" s="51">
        <v>45820</v>
      </c>
      <c r="P151" s="47"/>
    </row>
    <row r="152" spans="1:16" x14ac:dyDescent="0.25">
      <c r="A152" s="46">
        <v>91301</v>
      </c>
      <c r="B152" s="51">
        <v>45859</v>
      </c>
      <c r="C152" s="16"/>
      <c r="D152" s="52">
        <v>2</v>
      </c>
      <c r="E152" s="52">
        <v>200</v>
      </c>
      <c r="F152" s="52">
        <v>200</v>
      </c>
      <c r="G152" s="52">
        <v>0</v>
      </c>
      <c r="H152" s="52">
        <v>0</v>
      </c>
      <c r="I152" s="60"/>
      <c r="J152" s="52"/>
      <c r="K152" s="60"/>
      <c r="L152" s="52"/>
      <c r="M152" s="52" t="s">
        <v>0</v>
      </c>
      <c r="N152" s="17" t="s">
        <v>20</v>
      </c>
      <c r="O152" s="51">
        <v>45859</v>
      </c>
      <c r="P152" s="47"/>
    </row>
    <row r="153" spans="1:16" x14ac:dyDescent="0.25">
      <c r="A153" s="46">
        <v>91303</v>
      </c>
      <c r="B153" s="51">
        <v>45763</v>
      </c>
      <c r="C153" s="16"/>
      <c r="D153" s="52">
        <v>2</v>
      </c>
      <c r="E153" s="52">
        <v>76</v>
      </c>
      <c r="F153" s="52">
        <v>76</v>
      </c>
      <c r="G153" s="52">
        <v>0</v>
      </c>
      <c r="H153" s="52">
        <v>0</v>
      </c>
      <c r="I153" s="60"/>
      <c r="J153" s="52"/>
      <c r="K153" s="60"/>
      <c r="L153" s="52"/>
      <c r="M153" s="52" t="s">
        <v>0</v>
      </c>
      <c r="N153" s="17" t="s">
        <v>20</v>
      </c>
      <c r="O153" s="51">
        <v>45763</v>
      </c>
      <c r="P153" s="47"/>
    </row>
    <row r="154" spans="1:16" x14ac:dyDescent="0.25">
      <c r="A154" s="46" t="s">
        <v>86</v>
      </c>
      <c r="B154" s="51">
        <v>45845</v>
      </c>
      <c r="C154" s="16"/>
      <c r="D154" s="52">
        <v>2</v>
      </c>
      <c r="E154" s="52">
        <v>112</v>
      </c>
      <c r="F154" s="52">
        <v>112</v>
      </c>
      <c r="G154" s="52">
        <v>0</v>
      </c>
      <c r="H154" s="52">
        <v>0</v>
      </c>
      <c r="I154" s="60"/>
      <c r="J154" s="52"/>
      <c r="K154" s="60"/>
      <c r="L154" s="52"/>
      <c r="M154" s="52" t="s">
        <v>0</v>
      </c>
      <c r="N154" s="17" t="s">
        <v>25</v>
      </c>
      <c r="O154" s="51">
        <v>45845</v>
      </c>
      <c r="P154" s="47"/>
    </row>
    <row r="155" spans="1:16" x14ac:dyDescent="0.25">
      <c r="A155" s="46" t="s">
        <v>87</v>
      </c>
      <c r="B155" s="51">
        <v>45805</v>
      </c>
      <c r="C155" s="16"/>
      <c r="D155" s="52">
        <v>1</v>
      </c>
      <c r="E155" s="52">
        <v>3</v>
      </c>
      <c r="F155" s="52">
        <v>3</v>
      </c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45805</v>
      </c>
      <c r="P155" s="47"/>
    </row>
    <row r="156" spans="1:16" x14ac:dyDescent="0.25">
      <c r="A156" s="46" t="s">
        <v>88</v>
      </c>
      <c r="B156" s="51">
        <v>45788</v>
      </c>
      <c r="C156" s="16"/>
      <c r="D156" s="52">
        <v>2</v>
      </c>
      <c r="E156" s="52">
        <v>82</v>
      </c>
      <c r="F156" s="52">
        <v>82</v>
      </c>
      <c r="G156" s="52">
        <v>0</v>
      </c>
      <c r="H156" s="52">
        <v>0</v>
      </c>
      <c r="I156" s="60"/>
      <c r="J156" s="52"/>
      <c r="K156" s="60"/>
      <c r="L156" s="52"/>
      <c r="M156" s="52" t="s">
        <v>0</v>
      </c>
      <c r="N156" s="17" t="s">
        <v>20</v>
      </c>
      <c r="O156" s="51">
        <v>45788</v>
      </c>
      <c r="P156" s="47">
        <v>91309</v>
      </c>
    </row>
    <row r="157" spans="1:16" x14ac:dyDescent="0.25">
      <c r="A157" s="46" t="s">
        <v>89</v>
      </c>
      <c r="B157" s="51">
        <v>45804</v>
      </c>
      <c r="C157" s="16"/>
      <c r="D157" s="52">
        <v>2</v>
      </c>
      <c r="E157" s="52">
        <v>202</v>
      </c>
      <c r="F157" s="52">
        <v>202</v>
      </c>
      <c r="G157" s="52">
        <v>0</v>
      </c>
      <c r="H157" s="52">
        <v>0</v>
      </c>
      <c r="I157" s="60"/>
      <c r="J157" s="52"/>
      <c r="K157" s="60"/>
      <c r="L157" s="52"/>
      <c r="M157" s="52" t="s">
        <v>0</v>
      </c>
      <c r="N157" s="17" t="s">
        <v>25</v>
      </c>
      <c r="O157" s="51">
        <v>45804</v>
      </c>
      <c r="P157" s="47"/>
    </row>
    <row r="158" spans="1:16" x14ac:dyDescent="0.25">
      <c r="A158" s="46" t="s">
        <v>90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6" t="s">
        <v>91</v>
      </c>
      <c r="B159" s="51">
        <v>45816</v>
      </c>
      <c r="C159" s="16"/>
      <c r="D159" s="52">
        <v>2</v>
      </c>
      <c r="E159" s="52">
        <v>220</v>
      </c>
      <c r="F159" s="52">
        <v>220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45816</v>
      </c>
      <c r="P159" s="47"/>
    </row>
    <row r="160" spans="1:16" x14ac:dyDescent="0.25">
      <c r="A160" s="46" t="s">
        <v>92</v>
      </c>
      <c r="B160" s="51">
        <v>45784</v>
      </c>
      <c r="C160" s="16"/>
      <c r="D160" s="52">
        <v>2</v>
      </c>
      <c r="E160" s="52">
        <v>77</v>
      </c>
      <c r="F160" s="52">
        <v>77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20</v>
      </c>
      <c r="O160" s="51">
        <v>45784</v>
      </c>
      <c r="P160" s="47">
        <v>91317</v>
      </c>
    </row>
    <row r="161" spans="1:16" x14ac:dyDescent="0.25">
      <c r="A161" s="46" t="s">
        <v>93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6" t="s">
        <v>94</v>
      </c>
      <c r="B162" s="51">
        <v>45812</v>
      </c>
      <c r="C162" s="16"/>
      <c r="D162" s="52">
        <v>2</v>
      </c>
      <c r="E162" s="52">
        <v>230</v>
      </c>
      <c r="F162" s="52">
        <v>230</v>
      </c>
      <c r="G162" s="52">
        <v>0</v>
      </c>
      <c r="H162" s="52">
        <v>0</v>
      </c>
      <c r="I162" s="60"/>
      <c r="J162" s="52"/>
      <c r="K162" s="60"/>
      <c r="L162" s="52"/>
      <c r="M162" s="52" t="s">
        <v>0</v>
      </c>
      <c r="N162" s="17" t="s">
        <v>20</v>
      </c>
      <c r="O162" s="51">
        <v>45812</v>
      </c>
      <c r="P162" s="47"/>
    </row>
    <row r="163" spans="1:16" x14ac:dyDescent="0.25">
      <c r="A163" s="46" t="s">
        <v>95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6" t="s">
        <v>96</v>
      </c>
      <c r="B164" s="51">
        <v>45799</v>
      </c>
      <c r="C164" s="16"/>
      <c r="D164" s="52">
        <v>2</v>
      </c>
      <c r="E164" s="52">
        <v>200</v>
      </c>
      <c r="F164" s="52">
        <v>200</v>
      </c>
      <c r="G164" s="52">
        <v>0</v>
      </c>
      <c r="H164" s="52">
        <v>0</v>
      </c>
      <c r="I164" s="60"/>
      <c r="J164" s="52"/>
      <c r="K164" s="60"/>
      <c r="L164" s="52"/>
      <c r="M164" s="52" t="s">
        <v>0</v>
      </c>
      <c r="N164" s="17" t="s">
        <v>20</v>
      </c>
      <c r="O164" s="51">
        <v>45799</v>
      </c>
      <c r="P164" s="47"/>
    </row>
    <row r="165" spans="1:16" x14ac:dyDescent="0.25">
      <c r="A165" s="46" t="s">
        <v>97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6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6" t="s">
        <v>98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6" t="s">
        <v>99</v>
      </c>
      <c r="B168" s="51">
        <v>45785</v>
      </c>
      <c r="C168" s="16"/>
      <c r="D168" s="52">
        <v>2</v>
      </c>
      <c r="E168" s="52">
        <v>80</v>
      </c>
      <c r="F168" s="52">
        <v>80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20</v>
      </c>
      <c r="O168" s="51">
        <v>45785</v>
      </c>
      <c r="P168" s="47">
        <v>91333</v>
      </c>
    </row>
    <row r="169" spans="1:16" x14ac:dyDescent="0.25">
      <c r="A169" s="46" t="s">
        <v>100</v>
      </c>
      <c r="B169" s="51">
        <v>45796</v>
      </c>
      <c r="C169" s="16"/>
      <c r="D169" s="52">
        <v>2</v>
      </c>
      <c r="E169" s="52">
        <v>136</v>
      </c>
      <c r="F169" s="52">
        <v>136</v>
      </c>
      <c r="G169" s="52">
        <v>0</v>
      </c>
      <c r="H169" s="52">
        <v>0</v>
      </c>
      <c r="I169" s="60"/>
      <c r="J169" s="52"/>
      <c r="K169" s="60"/>
      <c r="L169" s="52"/>
      <c r="M169" s="52" t="s">
        <v>0</v>
      </c>
      <c r="N169" s="17" t="s">
        <v>20</v>
      </c>
      <c r="O169" s="51">
        <v>45796</v>
      </c>
      <c r="P169" s="47">
        <v>91335</v>
      </c>
    </row>
    <row r="170" spans="1:16" x14ac:dyDescent="0.25">
      <c r="A170" s="50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6" t="s">
        <v>101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6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6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6">
        <v>91345</v>
      </c>
      <c r="B174" s="51">
        <v>45816</v>
      </c>
      <c r="C174" s="16"/>
      <c r="D174" s="52">
        <v>2</v>
      </c>
      <c r="E174" s="52">
        <v>64</v>
      </c>
      <c r="F174" s="52">
        <v>64</v>
      </c>
      <c r="G174" s="52">
        <v>0</v>
      </c>
      <c r="H174" s="52">
        <v>0</v>
      </c>
      <c r="I174" s="60"/>
      <c r="J174" s="52"/>
      <c r="K174" s="60"/>
      <c r="L174" s="52"/>
      <c r="M174" s="52" t="s">
        <v>0</v>
      </c>
      <c r="N174" s="17" t="s">
        <v>25</v>
      </c>
      <c r="O174" s="51">
        <v>45816</v>
      </c>
      <c r="P174" s="47"/>
    </row>
    <row r="175" spans="1:16" x14ac:dyDescent="0.25">
      <c r="A175" s="46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x14ac:dyDescent="0.25">
      <c r="A176" s="46">
        <v>91349</v>
      </c>
      <c r="B176" s="51">
        <v>45803</v>
      </c>
      <c r="C176" s="16"/>
      <c r="D176" s="52">
        <v>2</v>
      </c>
      <c r="E176" s="52">
        <v>98</v>
      </c>
      <c r="F176" s="52">
        <v>98</v>
      </c>
      <c r="G176" s="52">
        <v>0</v>
      </c>
      <c r="H176" s="52">
        <v>0</v>
      </c>
      <c r="I176" s="60"/>
      <c r="J176" s="52"/>
      <c r="K176" s="60"/>
      <c r="L176" s="52"/>
      <c r="M176" s="52" t="s">
        <v>0</v>
      </c>
      <c r="N176" s="17" t="s">
        <v>25</v>
      </c>
      <c r="O176" s="51">
        <v>45803</v>
      </c>
      <c r="P176" s="47"/>
    </row>
    <row r="177" spans="1:16" x14ac:dyDescent="0.25">
      <c r="A177" s="46">
        <v>93002</v>
      </c>
      <c r="B177" s="51">
        <v>45804</v>
      </c>
      <c r="C177" s="16"/>
      <c r="D177" s="52">
        <v>2</v>
      </c>
      <c r="E177" s="52">
        <v>196</v>
      </c>
      <c r="F177" s="52">
        <v>196</v>
      </c>
      <c r="G177" s="52">
        <v>0</v>
      </c>
      <c r="H177" s="52">
        <v>0</v>
      </c>
      <c r="I177" s="60"/>
      <c r="J177" s="52"/>
      <c r="K177" s="60"/>
      <c r="L177" s="52"/>
      <c r="M177" s="52" t="s">
        <v>0</v>
      </c>
      <c r="N177" s="17" t="s">
        <v>20</v>
      </c>
      <c r="O177" s="51">
        <v>45804</v>
      </c>
      <c r="P177" s="47"/>
    </row>
    <row r="178" spans="1:16" x14ac:dyDescent="0.25">
      <c r="A178" s="46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6">
        <v>93006</v>
      </c>
      <c r="B179" s="51">
        <v>45790</v>
      </c>
      <c r="C179" s="16"/>
      <c r="D179" s="52">
        <v>2</v>
      </c>
      <c r="E179" s="52">
        <v>56</v>
      </c>
      <c r="F179" s="52">
        <v>56</v>
      </c>
      <c r="G179" s="52">
        <v>0</v>
      </c>
      <c r="H179" s="52">
        <v>0</v>
      </c>
      <c r="I179" s="60"/>
      <c r="J179" s="52"/>
      <c r="K179" s="60"/>
      <c r="L179" s="52"/>
      <c r="M179" s="52" t="s">
        <v>0</v>
      </c>
      <c r="N179" s="17" t="s">
        <v>20</v>
      </c>
      <c r="O179" s="51">
        <v>45790</v>
      </c>
      <c r="P179" s="47"/>
    </row>
    <row r="180" spans="1:16" x14ac:dyDescent="0.25">
      <c r="A180" s="46">
        <v>93008</v>
      </c>
      <c r="B180" s="51">
        <v>45851</v>
      </c>
      <c r="C180" s="16"/>
      <c r="D180" s="52">
        <v>2</v>
      </c>
      <c r="E180" s="52">
        <v>270</v>
      </c>
      <c r="F180" s="52">
        <v>270</v>
      </c>
      <c r="G180" s="52">
        <v>0</v>
      </c>
      <c r="H180" s="52">
        <v>0</v>
      </c>
      <c r="I180" s="60"/>
      <c r="J180" s="52"/>
      <c r="K180" s="60"/>
      <c r="L180" s="52"/>
      <c r="M180" s="52" t="s">
        <v>0</v>
      </c>
      <c r="N180" s="17" t="s">
        <v>20</v>
      </c>
      <c r="O180" s="51">
        <v>45851</v>
      </c>
      <c r="P180" s="47"/>
    </row>
    <row r="181" spans="1:16" x14ac:dyDescent="0.25">
      <c r="A181" s="46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6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6">
        <v>93014</v>
      </c>
      <c r="B183" s="51">
        <v>45816</v>
      </c>
      <c r="C183" s="16"/>
      <c r="D183" s="52">
        <v>2</v>
      </c>
      <c r="E183" s="52">
        <v>350</v>
      </c>
      <c r="F183" s="52">
        <v>350</v>
      </c>
      <c r="G183" s="52">
        <v>0</v>
      </c>
      <c r="H183" s="52">
        <v>0</v>
      </c>
      <c r="I183" s="60"/>
      <c r="J183" s="52"/>
      <c r="K183" s="60"/>
      <c r="L183" s="52"/>
      <c r="M183" s="52" t="s">
        <v>0</v>
      </c>
      <c r="N183" s="17" t="s">
        <v>25</v>
      </c>
      <c r="O183" s="51">
        <v>45816</v>
      </c>
      <c r="P183" s="47"/>
    </row>
    <row r="184" spans="1:16" x14ac:dyDescent="0.25">
      <c r="A184" s="46">
        <v>93016</v>
      </c>
      <c r="B184" s="51">
        <v>45805</v>
      </c>
      <c r="C184" s="16"/>
      <c r="D184" s="52">
        <v>1</v>
      </c>
      <c r="E184" s="52">
        <v>7</v>
      </c>
      <c r="F184" s="52">
        <v>7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20</v>
      </c>
      <c r="O184" s="51">
        <v>45805</v>
      </c>
      <c r="P184" s="47"/>
    </row>
    <row r="185" spans="1:16" x14ac:dyDescent="0.25">
      <c r="A185" s="46">
        <v>93018</v>
      </c>
      <c r="B185" s="51">
        <v>45862</v>
      </c>
      <c r="C185" s="16"/>
      <c r="D185" s="52">
        <v>2</v>
      </c>
      <c r="E185" s="52">
        <v>340</v>
      </c>
      <c r="F185" s="52">
        <v>340</v>
      </c>
      <c r="G185" s="52">
        <v>0</v>
      </c>
      <c r="H185" s="52">
        <v>0</v>
      </c>
      <c r="I185" s="60"/>
      <c r="J185" s="52"/>
      <c r="K185" s="60"/>
      <c r="L185" s="52"/>
      <c r="M185" s="52" t="s">
        <v>0</v>
      </c>
      <c r="N185" s="17" t="s">
        <v>20</v>
      </c>
      <c r="O185" s="51">
        <v>45862</v>
      </c>
      <c r="P185" s="47"/>
    </row>
    <row r="186" spans="1:16" x14ac:dyDescent="0.25">
      <c r="A186" s="46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6">
        <v>93022</v>
      </c>
      <c r="B187" s="65">
        <v>45787</v>
      </c>
      <c r="C187" s="16"/>
      <c r="D187" s="52">
        <v>2</v>
      </c>
      <c r="E187" s="52">
        <v>84</v>
      </c>
      <c r="F187" s="52">
        <v>84</v>
      </c>
      <c r="G187" s="52">
        <v>0</v>
      </c>
      <c r="H187" s="52">
        <v>0</v>
      </c>
      <c r="I187" s="60"/>
      <c r="J187" s="52"/>
      <c r="K187" s="60"/>
      <c r="L187" s="52"/>
      <c r="M187" s="52" t="s">
        <v>0</v>
      </c>
      <c r="N187" s="17" t="s">
        <v>20</v>
      </c>
      <c r="O187" s="51">
        <v>45787</v>
      </c>
      <c r="P187" s="47"/>
    </row>
    <row r="188" spans="1:16" x14ac:dyDescent="0.25">
      <c r="A188" s="46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6">
        <v>93026</v>
      </c>
      <c r="B189" s="51">
        <v>45775</v>
      </c>
      <c r="C189" s="16"/>
      <c r="D189" s="52">
        <v>1</v>
      </c>
      <c r="E189" s="52">
        <v>1</v>
      </c>
      <c r="F189" s="52">
        <v>1</v>
      </c>
      <c r="G189" s="52">
        <v>0</v>
      </c>
      <c r="H189" s="52">
        <v>0</v>
      </c>
      <c r="I189" s="60"/>
      <c r="J189" s="52"/>
      <c r="K189" s="60"/>
      <c r="L189" s="52"/>
      <c r="M189" s="52" t="s">
        <v>0</v>
      </c>
      <c r="N189" s="17" t="s">
        <v>19</v>
      </c>
      <c r="O189" s="51">
        <v>45775</v>
      </c>
      <c r="P189" s="47"/>
    </row>
    <row r="190" spans="1:16" x14ac:dyDescent="0.25">
      <c r="A190" s="46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6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6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6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6">
        <v>93036</v>
      </c>
      <c r="B194" s="51">
        <v>45767</v>
      </c>
      <c r="C194" s="16"/>
      <c r="D194" s="52">
        <v>2</v>
      </c>
      <c r="E194" s="52">
        <v>44</v>
      </c>
      <c r="F194" s="52">
        <v>44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45767</v>
      </c>
      <c r="P194" s="47"/>
    </row>
    <row r="195" spans="1:16" x14ac:dyDescent="0.25">
      <c r="A195" s="46">
        <v>93038</v>
      </c>
      <c r="B195" s="51">
        <v>45832</v>
      </c>
      <c r="C195" s="16"/>
      <c r="D195" s="52">
        <v>2</v>
      </c>
      <c r="E195" s="52">
        <v>100</v>
      </c>
      <c r="F195" s="52">
        <v>100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20</v>
      </c>
      <c r="O195" s="51">
        <v>45832</v>
      </c>
      <c r="P195" s="47"/>
    </row>
    <row r="196" spans="1:16" x14ac:dyDescent="0.25">
      <c r="A196" s="46">
        <v>93040</v>
      </c>
      <c r="B196" s="51">
        <v>45845</v>
      </c>
      <c r="C196" s="16"/>
      <c r="D196" s="52">
        <v>2</v>
      </c>
      <c r="E196" s="52">
        <v>146</v>
      </c>
      <c r="F196" s="52">
        <v>146</v>
      </c>
      <c r="G196" s="52">
        <v>0</v>
      </c>
      <c r="H196" s="52">
        <v>0</v>
      </c>
      <c r="I196" s="60"/>
      <c r="J196" s="52"/>
      <c r="K196" s="60"/>
      <c r="L196" s="52"/>
      <c r="M196" s="52" t="s">
        <v>0</v>
      </c>
      <c r="N196" s="17" t="s">
        <v>20</v>
      </c>
      <c r="O196" s="51">
        <v>45845</v>
      </c>
      <c r="P196" s="47"/>
    </row>
    <row r="197" spans="1:16" x14ac:dyDescent="0.25">
      <c r="A197" s="46">
        <v>93042</v>
      </c>
      <c r="B197" s="51">
        <v>45837</v>
      </c>
      <c r="C197" s="16"/>
      <c r="D197" s="52">
        <v>1</v>
      </c>
      <c r="E197" s="52">
        <v>140</v>
      </c>
      <c r="F197" s="52">
        <v>140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20</v>
      </c>
      <c r="O197" s="51">
        <v>45837</v>
      </c>
      <c r="P197" s="47"/>
    </row>
    <row r="198" spans="1:16" x14ac:dyDescent="0.25">
      <c r="A198" s="46">
        <v>93044</v>
      </c>
      <c r="B198" s="51">
        <v>45883</v>
      </c>
      <c r="C198" s="16"/>
      <c r="D198" s="52">
        <v>2</v>
      </c>
      <c r="E198" s="52">
        <v>200</v>
      </c>
      <c r="F198" s="52">
        <v>200</v>
      </c>
      <c r="G198" s="52">
        <v>0</v>
      </c>
      <c r="H198" s="52">
        <v>0</v>
      </c>
      <c r="I198" s="60"/>
      <c r="J198" s="52"/>
      <c r="K198" s="60"/>
      <c r="L198" s="52"/>
      <c r="M198" s="52" t="s">
        <v>0</v>
      </c>
      <c r="N198" s="17" t="s">
        <v>20</v>
      </c>
      <c r="O198" s="51">
        <v>45883</v>
      </c>
      <c r="P198" s="47"/>
    </row>
    <row r="199" spans="1:16" x14ac:dyDescent="0.25">
      <c r="A199" s="46">
        <v>93046</v>
      </c>
      <c r="B199" s="51">
        <v>45838</v>
      </c>
      <c r="C199" s="16"/>
      <c r="D199" s="52">
        <v>2</v>
      </c>
      <c r="E199" s="52">
        <v>212</v>
      </c>
      <c r="F199" s="52">
        <v>212</v>
      </c>
      <c r="G199" s="52">
        <v>0</v>
      </c>
      <c r="H199" s="52">
        <v>0</v>
      </c>
      <c r="I199" s="60"/>
      <c r="J199" s="52"/>
      <c r="K199" s="60"/>
      <c r="L199" s="52"/>
      <c r="M199" s="52" t="s">
        <v>0</v>
      </c>
      <c r="N199" s="17" t="s">
        <v>20</v>
      </c>
      <c r="O199" s="51">
        <v>45838</v>
      </c>
      <c r="P199" s="47"/>
    </row>
    <row r="200" spans="1:16" x14ac:dyDescent="0.25">
      <c r="A200" s="46">
        <v>93048</v>
      </c>
      <c r="B200" s="51">
        <v>45760</v>
      </c>
      <c r="C200" s="16"/>
      <c r="D200" s="52">
        <v>2</v>
      </c>
      <c r="E200" s="52">
        <v>40</v>
      </c>
      <c r="F200" s="52">
        <v>40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20</v>
      </c>
      <c r="O200" s="51">
        <v>45760</v>
      </c>
      <c r="P200" s="47"/>
    </row>
    <row r="201" spans="1:16" x14ac:dyDescent="0.25">
      <c r="A201" s="46">
        <v>93050</v>
      </c>
      <c r="B201" s="51">
        <v>45792</v>
      </c>
      <c r="C201" s="16"/>
      <c r="D201" s="52">
        <v>2</v>
      </c>
      <c r="E201" s="52">
        <v>124</v>
      </c>
      <c r="F201" s="52">
        <v>124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20</v>
      </c>
      <c r="O201" s="51">
        <v>45792</v>
      </c>
      <c r="P201" s="47"/>
    </row>
    <row r="202" spans="1:16" x14ac:dyDescent="0.25">
      <c r="A202" s="46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6">
        <v>93054</v>
      </c>
      <c r="B203" s="51">
        <v>45775</v>
      </c>
      <c r="C203" s="16"/>
      <c r="D203" s="52">
        <v>1</v>
      </c>
      <c r="E203" s="52">
        <v>1</v>
      </c>
      <c r="F203" s="52">
        <v>1</v>
      </c>
      <c r="G203" s="52">
        <v>0</v>
      </c>
      <c r="H203" s="52">
        <v>0</v>
      </c>
      <c r="I203" s="60"/>
      <c r="J203" s="52"/>
      <c r="K203" s="60"/>
      <c r="L203" s="52"/>
      <c r="M203" s="52" t="s">
        <v>0</v>
      </c>
      <c r="N203" s="17" t="s">
        <v>19</v>
      </c>
      <c r="O203" s="51">
        <v>45775</v>
      </c>
      <c r="P203" s="47"/>
    </row>
    <row r="204" spans="1:16" x14ac:dyDescent="0.25">
      <c r="A204" s="46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6">
        <v>93058</v>
      </c>
      <c r="B205" s="51">
        <v>45788</v>
      </c>
      <c r="C205" s="16"/>
      <c r="D205" s="52">
        <v>2</v>
      </c>
      <c r="E205" s="52">
        <v>76</v>
      </c>
      <c r="F205" s="52">
        <v>76</v>
      </c>
      <c r="G205" s="52">
        <v>0</v>
      </c>
      <c r="H205" s="52">
        <v>0</v>
      </c>
      <c r="I205" s="60"/>
      <c r="J205" s="52"/>
      <c r="K205" s="60"/>
      <c r="L205" s="52"/>
      <c r="M205" s="52" t="s">
        <v>0</v>
      </c>
      <c r="N205" s="17" t="s">
        <v>20</v>
      </c>
      <c r="O205" s="51">
        <v>45788</v>
      </c>
      <c r="P205" s="47">
        <v>91058</v>
      </c>
    </row>
    <row r="206" spans="1:16" x14ac:dyDescent="0.25">
      <c r="A206" s="46">
        <v>93060</v>
      </c>
      <c r="B206" s="51">
        <v>45851</v>
      </c>
      <c r="C206" s="16"/>
      <c r="D206" s="52">
        <v>2</v>
      </c>
      <c r="E206" s="52">
        <v>270</v>
      </c>
      <c r="F206" s="52">
        <v>270</v>
      </c>
      <c r="G206" s="52">
        <v>0</v>
      </c>
      <c r="H206" s="52">
        <v>0</v>
      </c>
      <c r="I206" s="60"/>
      <c r="J206" s="52"/>
      <c r="K206" s="60"/>
      <c r="L206" s="52"/>
      <c r="M206" s="52" t="s">
        <v>0</v>
      </c>
      <c r="N206" s="17" t="s">
        <v>20</v>
      </c>
      <c r="O206" s="51">
        <v>45851</v>
      </c>
      <c r="P206" s="47"/>
    </row>
    <row r="207" spans="1:16" x14ac:dyDescent="0.25">
      <c r="A207" s="46">
        <v>93062</v>
      </c>
      <c r="B207" s="51">
        <v>45781</v>
      </c>
      <c r="C207" s="16"/>
      <c r="D207" s="52">
        <v>2</v>
      </c>
      <c r="E207" s="52">
        <v>28</v>
      </c>
      <c r="F207" s="52">
        <v>28</v>
      </c>
      <c r="G207" s="52">
        <v>0</v>
      </c>
      <c r="H207" s="52">
        <v>0</v>
      </c>
      <c r="I207" s="60"/>
      <c r="J207" s="52"/>
      <c r="K207" s="60"/>
      <c r="L207" s="52"/>
      <c r="M207" s="52" t="s">
        <v>0</v>
      </c>
      <c r="N207" s="17" t="s">
        <v>20</v>
      </c>
      <c r="O207" s="51">
        <v>45781</v>
      </c>
      <c r="P207" s="47"/>
    </row>
    <row r="208" spans="1:16" x14ac:dyDescent="0.25">
      <c r="A208" s="46">
        <v>93064</v>
      </c>
      <c r="B208" s="51">
        <v>45817</v>
      </c>
      <c r="C208" s="16"/>
      <c r="D208" s="52">
        <v>2</v>
      </c>
      <c r="E208" s="52">
        <v>232</v>
      </c>
      <c r="F208" s="52">
        <v>232</v>
      </c>
      <c r="G208" s="52">
        <v>0</v>
      </c>
      <c r="H208" s="52">
        <v>0</v>
      </c>
      <c r="I208" s="60"/>
      <c r="J208" s="52"/>
      <c r="K208" s="60"/>
      <c r="L208" s="52"/>
      <c r="M208" s="52" t="s">
        <v>0</v>
      </c>
      <c r="N208" s="17" t="s">
        <v>25</v>
      </c>
      <c r="O208" s="51">
        <v>45817</v>
      </c>
      <c r="P208" s="47"/>
    </row>
    <row r="209" spans="1:16" x14ac:dyDescent="0.25">
      <c r="A209" s="46">
        <v>93066</v>
      </c>
      <c r="B209" s="51">
        <v>45817</v>
      </c>
      <c r="C209" s="16"/>
      <c r="D209" s="52">
        <v>2</v>
      </c>
      <c r="E209" s="52">
        <v>208</v>
      </c>
      <c r="F209" s="52">
        <v>208</v>
      </c>
      <c r="G209" s="52">
        <v>0</v>
      </c>
      <c r="H209" s="52">
        <v>0</v>
      </c>
      <c r="I209" s="60"/>
      <c r="J209" s="52"/>
      <c r="K209" s="60"/>
      <c r="L209" s="52"/>
      <c r="M209" s="52" t="s">
        <v>0</v>
      </c>
      <c r="N209" s="17" t="s">
        <v>25</v>
      </c>
      <c r="O209" s="51">
        <v>45817</v>
      </c>
      <c r="P209" s="47"/>
    </row>
    <row r="210" spans="1:16" x14ac:dyDescent="0.25">
      <c r="A210" s="46">
        <v>93068</v>
      </c>
      <c r="B210" s="65">
        <v>45937</v>
      </c>
      <c r="C210" s="16"/>
      <c r="D210" s="52">
        <v>2</v>
      </c>
      <c r="E210" s="52">
        <v>206</v>
      </c>
      <c r="F210" s="52">
        <v>206</v>
      </c>
      <c r="G210" s="52">
        <v>0</v>
      </c>
      <c r="H210" s="52">
        <v>0</v>
      </c>
      <c r="I210" s="60"/>
      <c r="J210" s="52"/>
      <c r="K210" s="60"/>
      <c r="L210" s="52"/>
      <c r="M210" s="52" t="s">
        <v>0</v>
      </c>
      <c r="N210" s="17" t="s">
        <v>20</v>
      </c>
      <c r="O210" s="51">
        <v>45937</v>
      </c>
      <c r="P210" s="47"/>
    </row>
    <row r="211" spans="1:16" x14ac:dyDescent="0.25">
      <c r="A211" s="46">
        <v>93070</v>
      </c>
      <c r="B211" s="51">
        <v>45908</v>
      </c>
      <c r="C211" s="16"/>
      <c r="D211" s="52">
        <v>2</v>
      </c>
      <c r="E211" s="52">
        <v>184</v>
      </c>
      <c r="F211" s="52">
        <v>184</v>
      </c>
      <c r="G211" s="52">
        <v>0</v>
      </c>
      <c r="H211" s="52">
        <v>0</v>
      </c>
      <c r="I211" s="60"/>
      <c r="J211" s="52"/>
      <c r="K211" s="60"/>
      <c r="L211" s="52"/>
      <c r="M211" s="52" t="s">
        <v>0</v>
      </c>
      <c r="N211" s="17" t="s">
        <v>20</v>
      </c>
      <c r="O211" s="51">
        <v>45908</v>
      </c>
      <c r="P211" s="47"/>
    </row>
    <row r="212" spans="1:16" x14ac:dyDescent="0.25">
      <c r="A212" s="4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6">
        <v>93074</v>
      </c>
      <c r="B213" s="51">
        <v>45762</v>
      </c>
      <c r="C213" s="16"/>
      <c r="D213" s="52">
        <v>2</v>
      </c>
      <c r="E213" s="52">
        <v>38</v>
      </c>
      <c r="F213" s="52">
        <v>38</v>
      </c>
      <c r="G213" s="52">
        <v>0</v>
      </c>
      <c r="H213" s="52">
        <v>0</v>
      </c>
      <c r="I213" s="60"/>
      <c r="J213" s="52"/>
      <c r="K213" s="60"/>
      <c r="L213" s="52"/>
      <c r="M213" s="52" t="s">
        <v>0</v>
      </c>
      <c r="N213" s="17" t="s">
        <v>20</v>
      </c>
      <c r="O213" s="51">
        <v>45762</v>
      </c>
      <c r="P213" s="47">
        <v>93074</v>
      </c>
    </row>
    <row r="214" spans="1:16" x14ac:dyDescent="0.25">
      <c r="A214" s="46">
        <v>93076</v>
      </c>
      <c r="B214" s="51">
        <v>45774</v>
      </c>
      <c r="C214" s="16"/>
      <c r="D214" s="52">
        <v>2</v>
      </c>
      <c r="E214" s="52">
        <v>30</v>
      </c>
      <c r="F214" s="52">
        <v>30</v>
      </c>
      <c r="G214" s="52">
        <v>0</v>
      </c>
      <c r="H214" s="52">
        <v>0</v>
      </c>
      <c r="I214" s="60"/>
      <c r="J214" s="52"/>
      <c r="K214" s="60"/>
      <c r="L214" s="52"/>
      <c r="M214" s="52" t="s">
        <v>0</v>
      </c>
      <c r="N214" s="17" t="s">
        <v>20</v>
      </c>
      <c r="O214" s="51">
        <v>45774</v>
      </c>
      <c r="P214" s="47"/>
    </row>
    <row r="215" spans="1:16" x14ac:dyDescent="0.25">
      <c r="A215" s="46">
        <v>93078</v>
      </c>
      <c r="B215" s="51">
        <v>45805</v>
      </c>
      <c r="C215" s="16"/>
      <c r="D215" s="52">
        <v>2</v>
      </c>
      <c r="E215" s="52">
        <v>210</v>
      </c>
      <c r="F215" s="52">
        <v>210</v>
      </c>
      <c r="G215" s="52">
        <v>0</v>
      </c>
      <c r="H215" s="52">
        <v>0</v>
      </c>
      <c r="I215" s="60"/>
      <c r="J215" s="52"/>
      <c r="K215" s="60"/>
      <c r="L215" s="52"/>
      <c r="M215" s="52" t="s">
        <v>0</v>
      </c>
      <c r="N215" s="17" t="s">
        <v>20</v>
      </c>
      <c r="O215" s="51">
        <v>45805</v>
      </c>
      <c r="P215" s="47"/>
    </row>
    <row r="216" spans="1:16" x14ac:dyDescent="0.25">
      <c r="A216" s="46">
        <v>93080</v>
      </c>
      <c r="B216" s="51">
        <v>45805</v>
      </c>
      <c r="C216" s="16"/>
      <c r="D216" s="52">
        <v>2</v>
      </c>
      <c r="E216" s="52">
        <v>150</v>
      </c>
      <c r="F216" s="52">
        <v>150</v>
      </c>
      <c r="G216" s="52">
        <v>0</v>
      </c>
      <c r="H216" s="52">
        <v>0</v>
      </c>
      <c r="I216" s="60"/>
      <c r="J216" s="52"/>
      <c r="K216" s="60"/>
      <c r="L216" s="52"/>
      <c r="M216" s="52" t="s">
        <v>0</v>
      </c>
      <c r="N216" s="17" t="s">
        <v>25</v>
      </c>
      <c r="O216" s="51">
        <v>45805</v>
      </c>
      <c r="P216" s="47"/>
    </row>
    <row r="217" spans="1:16" x14ac:dyDescent="0.25">
      <c r="A217" s="46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6">
        <v>93084</v>
      </c>
      <c r="B218" s="51">
        <v>45776</v>
      </c>
      <c r="C218" s="16"/>
      <c r="D218" s="52">
        <v>2</v>
      </c>
      <c r="E218" s="52">
        <v>22</v>
      </c>
      <c r="F218" s="52">
        <v>22</v>
      </c>
      <c r="G218" s="52">
        <v>0</v>
      </c>
      <c r="H218" s="52">
        <v>0</v>
      </c>
      <c r="I218" s="60"/>
      <c r="J218" s="52"/>
      <c r="K218" s="60"/>
      <c r="L218" s="52"/>
      <c r="M218" s="52" t="s">
        <v>0</v>
      </c>
      <c r="N218" s="17" t="s">
        <v>20</v>
      </c>
      <c r="O218" s="51">
        <v>45776</v>
      </c>
      <c r="P218" s="47"/>
    </row>
    <row r="219" spans="1:16" x14ac:dyDescent="0.25">
      <c r="A219" s="46">
        <v>93086</v>
      </c>
      <c r="B219" s="51">
        <v>45788</v>
      </c>
      <c r="C219" s="16"/>
      <c r="D219" s="52">
        <v>2</v>
      </c>
      <c r="E219" s="52">
        <v>69</v>
      </c>
      <c r="F219" s="52">
        <v>69</v>
      </c>
      <c r="G219" s="52">
        <v>0</v>
      </c>
      <c r="H219" s="52">
        <v>0</v>
      </c>
      <c r="I219" s="60"/>
      <c r="J219" s="52"/>
      <c r="K219" s="60"/>
      <c r="L219" s="52"/>
      <c r="M219" s="52" t="s">
        <v>0</v>
      </c>
      <c r="N219" s="17" t="s">
        <v>20</v>
      </c>
      <c r="O219" s="51">
        <v>45788</v>
      </c>
      <c r="P219" s="47"/>
    </row>
    <row r="220" spans="1:16" x14ac:dyDescent="0.25">
      <c r="A220" s="46">
        <v>93088</v>
      </c>
      <c r="B220" s="51">
        <v>45776</v>
      </c>
      <c r="C220" s="16"/>
      <c r="D220" s="52">
        <v>2</v>
      </c>
      <c r="E220" s="52">
        <v>66</v>
      </c>
      <c r="F220" s="52">
        <v>66</v>
      </c>
      <c r="G220" s="52">
        <v>0</v>
      </c>
      <c r="H220" s="52">
        <v>0</v>
      </c>
      <c r="I220" s="60"/>
      <c r="J220" s="52"/>
      <c r="K220" s="60"/>
      <c r="L220" s="52"/>
      <c r="M220" s="52" t="s">
        <v>0</v>
      </c>
      <c r="N220" s="17" t="s">
        <v>20</v>
      </c>
      <c r="O220" s="51">
        <v>45776</v>
      </c>
      <c r="P220" s="47"/>
    </row>
    <row r="221" spans="1:16" x14ac:dyDescent="0.25">
      <c r="A221" s="46">
        <v>93090</v>
      </c>
      <c r="B221" s="51">
        <v>45825</v>
      </c>
      <c r="C221" s="16"/>
      <c r="D221" s="52">
        <v>2</v>
      </c>
      <c r="E221" s="52">
        <v>106</v>
      </c>
      <c r="F221" s="52">
        <v>106</v>
      </c>
      <c r="G221" s="52">
        <v>0</v>
      </c>
      <c r="H221" s="52">
        <v>0</v>
      </c>
      <c r="I221" s="60"/>
      <c r="J221" s="52"/>
      <c r="K221" s="60"/>
      <c r="L221" s="52"/>
      <c r="M221" s="52" t="s">
        <v>0</v>
      </c>
      <c r="N221" s="17" t="s">
        <v>27</v>
      </c>
      <c r="O221" s="51">
        <v>45825</v>
      </c>
      <c r="P221" s="47"/>
    </row>
    <row r="222" spans="1:16" x14ac:dyDescent="0.25">
      <c r="A222" s="46">
        <v>93092</v>
      </c>
      <c r="B222" s="51">
        <v>45813</v>
      </c>
      <c r="C222" s="16"/>
      <c r="D222" s="52">
        <v>2</v>
      </c>
      <c r="E222" s="52">
        <v>256</v>
      </c>
      <c r="F222" s="52">
        <v>256</v>
      </c>
      <c r="G222" s="52">
        <v>0</v>
      </c>
      <c r="H222" s="52">
        <v>0</v>
      </c>
      <c r="I222" s="60"/>
      <c r="J222" s="52"/>
      <c r="K222" s="60"/>
      <c r="L222" s="52"/>
      <c r="M222" s="52" t="s">
        <v>0</v>
      </c>
      <c r="N222" s="17" t="s">
        <v>20</v>
      </c>
      <c r="O222" s="51">
        <v>45813</v>
      </c>
      <c r="P222" s="47"/>
    </row>
    <row r="223" spans="1:16" x14ac:dyDescent="0.25">
      <c r="A223" s="46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6">
        <v>93096</v>
      </c>
      <c r="B224" s="51">
        <v>45806</v>
      </c>
      <c r="C224" s="16"/>
      <c r="D224" s="52">
        <v>2</v>
      </c>
      <c r="E224" s="52">
        <v>4</v>
      </c>
      <c r="F224" s="52">
        <v>4</v>
      </c>
      <c r="G224" s="52">
        <v>0</v>
      </c>
      <c r="H224" s="52">
        <v>0</v>
      </c>
      <c r="I224" s="60"/>
      <c r="J224" s="52"/>
      <c r="K224" s="60"/>
      <c r="L224" s="52"/>
      <c r="M224" s="52" t="s">
        <v>0</v>
      </c>
      <c r="N224" s="17" t="s">
        <v>20</v>
      </c>
      <c r="O224" s="51">
        <v>45806</v>
      </c>
      <c r="P224" s="47"/>
    </row>
    <row r="225" spans="1:16" x14ac:dyDescent="0.25">
      <c r="A225" s="46">
        <v>93098</v>
      </c>
      <c r="B225" s="51">
        <v>45853</v>
      </c>
      <c r="C225" s="16"/>
      <c r="D225" s="52">
        <v>2</v>
      </c>
      <c r="E225" s="52">
        <v>130</v>
      </c>
      <c r="F225" s="52">
        <v>130</v>
      </c>
      <c r="G225" s="52">
        <v>0</v>
      </c>
      <c r="H225" s="52">
        <v>0</v>
      </c>
      <c r="I225" s="60"/>
      <c r="J225" s="52"/>
      <c r="K225" s="60"/>
      <c r="L225" s="52"/>
      <c r="M225" s="52" t="s">
        <v>0</v>
      </c>
      <c r="N225" s="17" t="s">
        <v>25</v>
      </c>
      <c r="O225" s="51">
        <v>45853</v>
      </c>
      <c r="P225" s="47"/>
    </row>
    <row r="226" spans="1:16" x14ac:dyDescent="0.25">
      <c r="A226" s="5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6">
        <v>93102</v>
      </c>
      <c r="B227" s="51">
        <v>45817</v>
      </c>
      <c r="C227" s="16"/>
      <c r="D227" s="52">
        <v>2</v>
      </c>
      <c r="E227" s="52">
        <v>200</v>
      </c>
      <c r="F227" s="52">
        <v>200</v>
      </c>
      <c r="G227" s="52">
        <v>0</v>
      </c>
      <c r="H227" s="52">
        <v>0</v>
      </c>
      <c r="I227" s="60"/>
      <c r="J227" s="52"/>
      <c r="K227" s="60"/>
      <c r="L227" s="52"/>
      <c r="M227" s="52" t="s">
        <v>0</v>
      </c>
      <c r="N227" s="17" t="s">
        <v>25</v>
      </c>
      <c r="O227" s="51">
        <v>45817</v>
      </c>
      <c r="P227" s="47"/>
    </row>
    <row r="228" spans="1:16" x14ac:dyDescent="0.25">
      <c r="A228" s="46">
        <v>93104</v>
      </c>
      <c r="B228" s="51">
        <v>45831</v>
      </c>
      <c r="C228" s="16"/>
      <c r="D228" s="52">
        <v>1</v>
      </c>
      <c r="E228" s="52">
        <v>70</v>
      </c>
      <c r="F228" s="52">
        <v>70</v>
      </c>
      <c r="G228" s="52">
        <v>0</v>
      </c>
      <c r="H228" s="52">
        <v>0</v>
      </c>
      <c r="I228" s="60">
        <v>45837</v>
      </c>
      <c r="J228" s="52">
        <v>60</v>
      </c>
      <c r="K228" s="60"/>
      <c r="L228" s="52"/>
      <c r="M228" s="52" t="s">
        <v>0</v>
      </c>
      <c r="N228" s="17" t="s">
        <v>27</v>
      </c>
      <c r="O228" s="51">
        <v>45831</v>
      </c>
      <c r="P228" s="47"/>
    </row>
    <row r="229" spans="1:16" x14ac:dyDescent="0.25">
      <c r="A229" s="46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6">
        <v>93108</v>
      </c>
      <c r="B230" s="51">
        <v>45761</v>
      </c>
      <c r="C230" s="16"/>
      <c r="D230" s="52">
        <v>2</v>
      </c>
      <c r="E230" s="52">
        <v>34</v>
      </c>
      <c r="F230" s="52">
        <v>34</v>
      </c>
      <c r="G230" s="52">
        <v>0</v>
      </c>
      <c r="H230" s="52">
        <v>0</v>
      </c>
      <c r="I230" s="60"/>
      <c r="J230" s="52"/>
      <c r="K230" s="60"/>
      <c r="L230" s="52"/>
      <c r="M230" s="52" t="s">
        <v>0</v>
      </c>
      <c r="N230" s="17" t="s">
        <v>20</v>
      </c>
      <c r="O230" s="51">
        <v>45761</v>
      </c>
      <c r="P230" s="47"/>
    </row>
    <row r="231" spans="1:16" x14ac:dyDescent="0.25">
      <c r="A231" s="46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6">
        <v>93112</v>
      </c>
      <c r="B232" s="51">
        <v>45775</v>
      </c>
      <c r="C232" s="16"/>
      <c r="D232" s="52">
        <v>2</v>
      </c>
      <c r="E232" s="52">
        <v>32</v>
      </c>
      <c r="F232" s="52">
        <v>32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45775</v>
      </c>
      <c r="P232" s="47"/>
    </row>
    <row r="233" spans="1:16" x14ac:dyDescent="0.25">
      <c r="A233" s="46">
        <v>93114</v>
      </c>
      <c r="B233" s="51">
        <v>45798</v>
      </c>
      <c r="C233" s="16"/>
      <c r="D233" s="52">
        <v>2</v>
      </c>
      <c r="E233" s="52">
        <v>202</v>
      </c>
      <c r="F233" s="52">
        <v>205</v>
      </c>
      <c r="G233" s="52">
        <v>0</v>
      </c>
      <c r="H233" s="52">
        <v>0</v>
      </c>
      <c r="I233" s="60"/>
      <c r="J233" s="52"/>
      <c r="K233" s="60"/>
      <c r="L233" s="52"/>
      <c r="M233" s="52" t="s">
        <v>0</v>
      </c>
      <c r="N233" s="17" t="s">
        <v>42</v>
      </c>
      <c r="O233" s="51">
        <v>45798</v>
      </c>
      <c r="P233" s="47"/>
    </row>
    <row r="234" spans="1:16" x14ac:dyDescent="0.25">
      <c r="A234" s="46">
        <v>93116</v>
      </c>
      <c r="B234" s="51">
        <v>45798</v>
      </c>
      <c r="C234" s="16"/>
      <c r="D234" s="52">
        <v>2</v>
      </c>
      <c r="E234" s="52">
        <v>212</v>
      </c>
      <c r="F234" s="52">
        <v>212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20</v>
      </c>
      <c r="O234" s="51">
        <v>45798</v>
      </c>
      <c r="P234" s="47"/>
    </row>
    <row r="235" spans="1:16" x14ac:dyDescent="0.25">
      <c r="A235" s="46">
        <v>93118</v>
      </c>
      <c r="B235" s="51">
        <v>45809</v>
      </c>
      <c r="C235" s="16"/>
      <c r="D235" s="52">
        <v>2</v>
      </c>
      <c r="E235" s="52">
        <v>108</v>
      </c>
      <c r="F235" s="52">
        <v>108</v>
      </c>
      <c r="G235" s="52">
        <v>0</v>
      </c>
      <c r="H235" s="52">
        <v>0</v>
      </c>
      <c r="I235" s="60"/>
      <c r="J235" s="52"/>
      <c r="K235" s="60"/>
      <c r="L235" s="52"/>
      <c r="M235" s="52" t="s">
        <v>0</v>
      </c>
      <c r="N235" s="17" t="s">
        <v>20</v>
      </c>
      <c r="O235" s="51">
        <v>45809</v>
      </c>
      <c r="P235" s="47"/>
    </row>
    <row r="236" spans="1:16" x14ac:dyDescent="0.25">
      <c r="A236" s="46">
        <v>93120</v>
      </c>
      <c r="B236" s="51">
        <v>45834</v>
      </c>
      <c r="C236" s="16"/>
      <c r="D236" s="52">
        <v>2</v>
      </c>
      <c r="E236" s="52">
        <v>200</v>
      </c>
      <c r="F236" s="52">
        <v>200</v>
      </c>
      <c r="G236" s="52">
        <v>0</v>
      </c>
      <c r="H236" s="52">
        <v>0</v>
      </c>
      <c r="I236" s="60"/>
      <c r="J236" s="52"/>
      <c r="K236" s="60"/>
      <c r="L236" s="52"/>
      <c r="M236" s="52" t="s">
        <v>0</v>
      </c>
      <c r="N236" s="17" t="s">
        <v>25</v>
      </c>
      <c r="O236" s="51">
        <v>45834</v>
      </c>
      <c r="P236" s="47"/>
    </row>
    <row r="237" spans="1:16" x14ac:dyDescent="0.25">
      <c r="A237" s="46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6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6">
        <v>93126</v>
      </c>
      <c r="B239" s="51">
        <v>45859</v>
      </c>
      <c r="C239" s="16"/>
      <c r="D239" s="52">
        <v>2</v>
      </c>
      <c r="E239" s="52">
        <v>210</v>
      </c>
      <c r="F239" s="52">
        <v>210</v>
      </c>
      <c r="G239" s="52">
        <v>0</v>
      </c>
      <c r="H239" s="52">
        <v>0</v>
      </c>
      <c r="I239" s="60"/>
      <c r="J239" s="52"/>
      <c r="K239" s="60"/>
      <c r="L239" s="52"/>
      <c r="M239" s="52" t="s">
        <v>0</v>
      </c>
      <c r="N239" s="17" t="s">
        <v>25</v>
      </c>
      <c r="O239" s="51">
        <v>45859</v>
      </c>
      <c r="P239" s="47"/>
    </row>
    <row r="240" spans="1:16" x14ac:dyDescent="0.25">
      <c r="A240" s="46">
        <v>93128</v>
      </c>
      <c r="B240" s="51">
        <v>45771</v>
      </c>
      <c r="C240" s="16"/>
      <c r="D240" s="52">
        <v>2</v>
      </c>
      <c r="E240" s="52">
        <v>48</v>
      </c>
      <c r="F240" s="52">
        <v>48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45771</v>
      </c>
      <c r="P240" s="47">
        <v>92128</v>
      </c>
    </row>
    <row r="241" spans="1:16" x14ac:dyDescent="0.25">
      <c r="A241" s="46">
        <v>93130</v>
      </c>
      <c r="B241" s="51">
        <v>45826</v>
      </c>
      <c r="C241" s="16"/>
      <c r="D241" s="52">
        <v>2</v>
      </c>
      <c r="E241" s="52">
        <v>270</v>
      </c>
      <c r="F241" s="52">
        <v>270</v>
      </c>
      <c r="G241" s="52">
        <v>0</v>
      </c>
      <c r="H241" s="52">
        <v>0</v>
      </c>
      <c r="I241" s="60"/>
      <c r="J241" s="52"/>
      <c r="K241" s="60"/>
      <c r="L241" s="52"/>
      <c r="M241" s="52" t="s">
        <v>0</v>
      </c>
      <c r="N241" s="17" t="s">
        <v>27</v>
      </c>
      <c r="O241" s="51">
        <v>45826</v>
      </c>
      <c r="P241" s="47"/>
    </row>
    <row r="242" spans="1:16" x14ac:dyDescent="0.25">
      <c r="A242" s="46">
        <v>93132</v>
      </c>
      <c r="B242" s="51">
        <v>45774</v>
      </c>
      <c r="C242" s="16"/>
      <c r="D242" s="52">
        <v>2</v>
      </c>
      <c r="E242" s="52">
        <v>36</v>
      </c>
      <c r="F242" s="52">
        <v>36</v>
      </c>
      <c r="G242" s="52">
        <v>0</v>
      </c>
      <c r="H242" s="52">
        <v>0</v>
      </c>
      <c r="I242" s="60"/>
      <c r="J242" s="52"/>
      <c r="K242" s="60"/>
      <c r="L242" s="52"/>
      <c r="M242" s="52" t="s">
        <v>0</v>
      </c>
      <c r="N242" s="17" t="s">
        <v>20</v>
      </c>
      <c r="O242" s="51">
        <v>45774</v>
      </c>
      <c r="P242" s="47"/>
    </row>
    <row r="243" spans="1:16" x14ac:dyDescent="0.25">
      <c r="A243" s="46">
        <v>93134</v>
      </c>
      <c r="B243" s="51">
        <v>45831</v>
      </c>
      <c r="C243" s="16"/>
      <c r="D243" s="52">
        <v>2</v>
      </c>
      <c r="E243" s="52">
        <v>100</v>
      </c>
      <c r="F243" s="52">
        <v>100</v>
      </c>
      <c r="G243" s="52">
        <v>0</v>
      </c>
      <c r="H243" s="52">
        <v>0</v>
      </c>
      <c r="I243" s="60"/>
      <c r="J243" s="52"/>
      <c r="K243" s="60"/>
      <c r="L243" s="52"/>
      <c r="M243" s="52" t="s">
        <v>0</v>
      </c>
      <c r="N243" s="17" t="s">
        <v>27</v>
      </c>
      <c r="O243" s="51">
        <v>45831</v>
      </c>
      <c r="P243" s="47"/>
    </row>
    <row r="244" spans="1:16" x14ac:dyDescent="0.25">
      <c r="A244" s="46">
        <v>93136</v>
      </c>
      <c r="B244" s="51">
        <v>45915</v>
      </c>
      <c r="C244" s="16"/>
      <c r="D244" s="52">
        <v>2</v>
      </c>
      <c r="E244" s="52">
        <v>157</v>
      </c>
      <c r="F244" s="52">
        <v>157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20</v>
      </c>
      <c r="O244" s="51">
        <v>45915</v>
      </c>
      <c r="P244" s="47"/>
    </row>
    <row r="245" spans="1:16" x14ac:dyDescent="0.25">
      <c r="A245" s="46">
        <v>93138</v>
      </c>
      <c r="B245" s="51">
        <v>45833</v>
      </c>
      <c r="C245" s="16"/>
      <c r="D245" s="52">
        <v>2</v>
      </c>
      <c r="E245" s="52">
        <v>110</v>
      </c>
      <c r="F245" s="52">
        <v>110</v>
      </c>
      <c r="G245" s="52">
        <v>0</v>
      </c>
      <c r="H245" s="52">
        <v>0</v>
      </c>
      <c r="I245" s="60"/>
      <c r="J245" s="52"/>
      <c r="K245" s="60"/>
      <c r="L245" s="52"/>
      <c r="M245" s="52" t="s">
        <v>0</v>
      </c>
      <c r="N245" s="17" t="s">
        <v>20</v>
      </c>
      <c r="O245" s="51">
        <v>45833</v>
      </c>
      <c r="P245" s="47"/>
    </row>
    <row r="246" spans="1:16" x14ac:dyDescent="0.25">
      <c r="A246" s="46">
        <v>93140</v>
      </c>
      <c r="B246" s="51">
        <v>45795</v>
      </c>
      <c r="C246" s="16"/>
      <c r="D246" s="52">
        <v>2</v>
      </c>
      <c r="E246" s="52">
        <v>103</v>
      </c>
      <c r="F246" s="52">
        <v>103</v>
      </c>
      <c r="G246" s="52">
        <v>0</v>
      </c>
      <c r="H246" s="52">
        <v>0</v>
      </c>
      <c r="I246" s="60"/>
      <c r="J246" s="52"/>
      <c r="K246" s="60"/>
      <c r="L246" s="52"/>
      <c r="M246" s="52" t="s">
        <v>0</v>
      </c>
      <c r="N246" s="17" t="s">
        <v>25</v>
      </c>
      <c r="O246" s="51">
        <v>45795</v>
      </c>
      <c r="P246" s="47"/>
    </row>
    <row r="247" spans="1:16" x14ac:dyDescent="0.25">
      <c r="A247" s="4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6">
        <v>93144</v>
      </c>
      <c r="B248" s="51">
        <v>45846</v>
      </c>
      <c r="C248" s="16"/>
      <c r="D248" s="52">
        <v>2</v>
      </c>
      <c r="E248" s="52">
        <v>248</v>
      </c>
      <c r="F248" s="52">
        <v>248</v>
      </c>
      <c r="G248" s="52">
        <v>0</v>
      </c>
      <c r="H248" s="52">
        <v>0</v>
      </c>
      <c r="I248" s="60"/>
      <c r="J248" s="52"/>
      <c r="K248" s="60"/>
      <c r="L248" s="52"/>
      <c r="M248" s="52" t="s">
        <v>0</v>
      </c>
      <c r="N248" s="17" t="s">
        <v>20</v>
      </c>
      <c r="O248" s="51">
        <v>45846</v>
      </c>
      <c r="P248" s="47"/>
    </row>
    <row r="249" spans="1:16" x14ac:dyDescent="0.25">
      <c r="A249" s="46">
        <v>93146</v>
      </c>
      <c r="B249" s="51">
        <v>45789</v>
      </c>
      <c r="C249" s="16"/>
      <c r="D249" s="52">
        <v>2</v>
      </c>
      <c r="E249" s="52">
        <v>68</v>
      </c>
      <c r="F249" s="52">
        <v>68</v>
      </c>
      <c r="G249" s="52">
        <v>0</v>
      </c>
      <c r="H249" s="52">
        <v>0</v>
      </c>
      <c r="I249" s="60"/>
      <c r="J249" s="52"/>
      <c r="K249" s="60"/>
      <c r="L249" s="52"/>
      <c r="M249" s="52" t="s">
        <v>0</v>
      </c>
      <c r="N249" s="17" t="s">
        <v>20</v>
      </c>
      <c r="O249" s="51">
        <v>45789</v>
      </c>
      <c r="P249" s="47"/>
    </row>
    <row r="250" spans="1:16" x14ac:dyDescent="0.25">
      <c r="A250" s="46">
        <v>93148</v>
      </c>
      <c r="B250" s="51">
        <v>45873</v>
      </c>
      <c r="C250" s="16"/>
      <c r="D250" s="52">
        <v>2</v>
      </c>
      <c r="E250" s="52">
        <v>98</v>
      </c>
      <c r="F250" s="52">
        <v>98</v>
      </c>
      <c r="G250" s="52">
        <v>0</v>
      </c>
      <c r="H250" s="52">
        <v>0</v>
      </c>
      <c r="I250" s="60"/>
      <c r="J250" s="52"/>
      <c r="K250" s="60"/>
      <c r="L250" s="52"/>
      <c r="M250" s="52" t="s">
        <v>0</v>
      </c>
      <c r="N250" s="17" t="s">
        <v>20</v>
      </c>
      <c r="O250" s="51">
        <v>45873</v>
      </c>
      <c r="P250" s="47"/>
    </row>
    <row r="251" spans="1:16" x14ac:dyDescent="0.25">
      <c r="A251" s="46">
        <v>93150</v>
      </c>
      <c r="B251" s="51">
        <v>45825</v>
      </c>
      <c r="C251" s="16"/>
      <c r="D251" s="52">
        <v>2</v>
      </c>
      <c r="E251" s="52">
        <v>130</v>
      </c>
      <c r="F251" s="52">
        <v>130</v>
      </c>
      <c r="G251" s="52">
        <v>0</v>
      </c>
      <c r="H251" s="52">
        <v>0</v>
      </c>
      <c r="I251" s="60"/>
      <c r="J251" s="52"/>
      <c r="K251" s="60"/>
      <c r="L251" s="52"/>
      <c r="M251" s="52" t="s">
        <v>0</v>
      </c>
      <c r="N251" s="17" t="s">
        <v>27</v>
      </c>
      <c r="O251" s="51">
        <v>45825</v>
      </c>
      <c r="P251" s="47"/>
    </row>
    <row r="252" spans="1:16" x14ac:dyDescent="0.25">
      <c r="A252" s="46">
        <v>93152</v>
      </c>
      <c r="B252" s="51">
        <v>45812</v>
      </c>
      <c r="C252" s="16"/>
      <c r="D252" s="52">
        <v>2</v>
      </c>
      <c r="E252" s="52">
        <v>250</v>
      </c>
      <c r="F252" s="52">
        <v>250</v>
      </c>
      <c r="G252" s="52">
        <v>0</v>
      </c>
      <c r="H252" s="52">
        <v>0</v>
      </c>
      <c r="I252" s="60"/>
      <c r="J252" s="52"/>
      <c r="K252" s="60"/>
      <c r="L252" s="52"/>
      <c r="M252" s="52" t="s">
        <v>0</v>
      </c>
      <c r="N252" s="17" t="s">
        <v>27</v>
      </c>
      <c r="O252" s="51">
        <v>45812</v>
      </c>
      <c r="P252" s="47"/>
    </row>
    <row r="253" spans="1:16" x14ac:dyDescent="0.25">
      <c r="A253" s="46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6">
        <v>93156</v>
      </c>
      <c r="B254" s="51">
        <v>45806</v>
      </c>
      <c r="C254" s="16"/>
      <c r="D254" s="52">
        <v>2</v>
      </c>
      <c r="E254" s="52">
        <v>12</v>
      </c>
      <c r="F254" s="52">
        <v>12</v>
      </c>
      <c r="G254" s="52">
        <v>0</v>
      </c>
      <c r="H254" s="52">
        <v>0</v>
      </c>
      <c r="I254" s="60"/>
      <c r="J254" s="52"/>
      <c r="K254" s="60"/>
      <c r="L254" s="52"/>
      <c r="M254" s="52" t="s">
        <v>0</v>
      </c>
      <c r="N254" s="17" t="s">
        <v>25</v>
      </c>
      <c r="O254" s="51">
        <v>45806</v>
      </c>
      <c r="P254" s="47"/>
    </row>
    <row r="255" spans="1:16" x14ac:dyDescent="0.25">
      <c r="A255" s="46">
        <v>93158</v>
      </c>
      <c r="B255" s="51">
        <v>45872</v>
      </c>
      <c r="C255" s="16"/>
      <c r="D255" s="52">
        <v>2</v>
      </c>
      <c r="E255" s="52">
        <v>110</v>
      </c>
      <c r="F255" s="52">
        <v>110</v>
      </c>
      <c r="G255" s="52">
        <v>0</v>
      </c>
      <c r="H255" s="52">
        <v>0</v>
      </c>
      <c r="I255" s="60"/>
      <c r="J255" s="52"/>
      <c r="K255" s="60"/>
      <c r="L255" s="52"/>
      <c r="M255" s="52" t="s">
        <v>0</v>
      </c>
      <c r="N255" s="17" t="s">
        <v>20</v>
      </c>
      <c r="O255" s="51">
        <v>45872</v>
      </c>
      <c r="P255" s="47"/>
    </row>
    <row r="256" spans="1:16" x14ac:dyDescent="0.25">
      <c r="A256" s="46">
        <v>93160</v>
      </c>
      <c r="B256" s="51">
        <v>45796</v>
      </c>
      <c r="C256" s="16"/>
      <c r="D256" s="52">
        <v>2</v>
      </c>
      <c r="E256" s="52">
        <v>102</v>
      </c>
      <c r="F256" s="52">
        <v>102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20</v>
      </c>
      <c r="O256" s="51">
        <v>45796</v>
      </c>
      <c r="P256" s="47">
        <v>92160</v>
      </c>
    </row>
    <row r="257" spans="1:16" x14ac:dyDescent="0.25">
      <c r="A257" s="46">
        <v>93162</v>
      </c>
      <c r="B257" s="51">
        <v>45867</v>
      </c>
      <c r="C257" s="16"/>
      <c r="D257" s="52">
        <v>2</v>
      </c>
      <c r="E257" s="52">
        <v>148</v>
      </c>
      <c r="F257" s="52">
        <v>148</v>
      </c>
      <c r="G257" s="52">
        <v>0</v>
      </c>
      <c r="H257" s="52">
        <v>0</v>
      </c>
      <c r="I257" s="60"/>
      <c r="J257" s="52"/>
      <c r="K257" s="60"/>
      <c r="L257" s="52"/>
      <c r="M257" s="52" t="s">
        <v>0</v>
      </c>
      <c r="N257" s="17" t="s">
        <v>20</v>
      </c>
      <c r="O257" s="51">
        <v>45867</v>
      </c>
      <c r="P257" s="47"/>
    </row>
    <row r="258" spans="1:16" x14ac:dyDescent="0.25">
      <c r="A258" s="46">
        <v>93164</v>
      </c>
      <c r="B258" s="51">
        <v>45775</v>
      </c>
      <c r="C258" s="16"/>
      <c r="D258" s="52">
        <v>2</v>
      </c>
      <c r="E258" s="52">
        <v>30</v>
      </c>
      <c r="F258" s="52">
        <v>30</v>
      </c>
      <c r="G258" s="52">
        <v>0</v>
      </c>
      <c r="H258" s="52">
        <v>0</v>
      </c>
      <c r="I258" s="60"/>
      <c r="J258" s="52"/>
      <c r="K258" s="60"/>
      <c r="L258" s="52"/>
      <c r="M258" s="52" t="s">
        <v>0</v>
      </c>
      <c r="N258" s="17" t="s">
        <v>20</v>
      </c>
      <c r="O258" s="51">
        <v>45775</v>
      </c>
      <c r="P258" s="47">
        <v>92164</v>
      </c>
    </row>
    <row r="259" spans="1:16" x14ac:dyDescent="0.25">
      <c r="A259" s="46">
        <v>93166</v>
      </c>
      <c r="B259" s="65">
        <v>45939</v>
      </c>
      <c r="C259" s="16"/>
      <c r="D259" s="52">
        <v>2</v>
      </c>
      <c r="E259" s="52">
        <v>187</v>
      </c>
      <c r="F259" s="52">
        <v>187</v>
      </c>
      <c r="G259" s="52">
        <v>0</v>
      </c>
      <c r="H259" s="52">
        <v>0</v>
      </c>
      <c r="I259" s="60"/>
      <c r="J259" s="52"/>
      <c r="K259" s="60"/>
      <c r="L259" s="52"/>
      <c r="M259" s="52" t="s">
        <v>0</v>
      </c>
      <c r="N259" s="17" t="s">
        <v>20</v>
      </c>
      <c r="O259" s="51">
        <v>45939</v>
      </c>
      <c r="P259" s="47"/>
    </row>
    <row r="260" spans="1:16" x14ac:dyDescent="0.25">
      <c r="A260" s="46">
        <v>93168</v>
      </c>
      <c r="B260" s="51">
        <v>45862</v>
      </c>
      <c r="C260" s="16"/>
      <c r="D260" s="52">
        <v>2</v>
      </c>
      <c r="E260" s="52">
        <v>280</v>
      </c>
      <c r="F260" s="52">
        <v>280</v>
      </c>
      <c r="G260" s="52">
        <v>0</v>
      </c>
      <c r="H260" s="52">
        <v>0</v>
      </c>
      <c r="I260" s="60"/>
      <c r="J260" s="52"/>
      <c r="K260" s="60"/>
      <c r="L260" s="52"/>
      <c r="M260" s="52" t="s">
        <v>0</v>
      </c>
      <c r="N260" s="17" t="s">
        <v>20</v>
      </c>
      <c r="O260" s="51">
        <v>45862</v>
      </c>
      <c r="P260" s="47"/>
    </row>
    <row r="261" spans="1:16" x14ac:dyDescent="0.25">
      <c r="A261" s="46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6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6">
        <v>93174</v>
      </c>
      <c r="B263" s="51">
        <v>45796</v>
      </c>
      <c r="C263" s="16"/>
      <c r="D263" s="52">
        <v>2</v>
      </c>
      <c r="E263" s="52">
        <v>121</v>
      </c>
      <c r="F263" s="52">
        <v>121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45796</v>
      </c>
      <c r="P263" s="47"/>
    </row>
    <row r="264" spans="1:16" x14ac:dyDescent="0.25">
      <c r="A264" s="46">
        <v>93176</v>
      </c>
      <c r="B264" s="51">
        <v>45775</v>
      </c>
      <c r="C264" s="16"/>
      <c r="D264" s="52">
        <v>1</v>
      </c>
      <c r="E264" s="52">
        <v>1</v>
      </c>
      <c r="F264" s="52">
        <v>1</v>
      </c>
      <c r="G264" s="52">
        <v>0</v>
      </c>
      <c r="H264" s="52">
        <v>0</v>
      </c>
      <c r="I264" s="60"/>
      <c r="J264" s="52"/>
      <c r="K264" s="60"/>
      <c r="L264" s="52"/>
      <c r="M264" s="52" t="s">
        <v>0</v>
      </c>
      <c r="N264" s="17" t="s">
        <v>19</v>
      </c>
      <c r="O264" s="51">
        <v>45775</v>
      </c>
      <c r="P264" s="47"/>
    </row>
    <row r="265" spans="1:16" x14ac:dyDescent="0.25">
      <c r="A265" s="46">
        <v>93178</v>
      </c>
      <c r="B265" s="51">
        <v>45806</v>
      </c>
      <c r="C265" s="16"/>
      <c r="D265" s="52">
        <v>2</v>
      </c>
      <c r="E265" s="52">
        <v>12</v>
      </c>
      <c r="F265" s="52">
        <v>12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25</v>
      </c>
      <c r="O265" s="51">
        <v>45806</v>
      </c>
      <c r="P265" s="47"/>
    </row>
    <row r="266" spans="1:16" x14ac:dyDescent="0.25">
      <c r="A266" s="46">
        <v>93180</v>
      </c>
      <c r="B266" s="51">
        <v>45806</v>
      </c>
      <c r="C266" s="16"/>
      <c r="D266" s="52">
        <v>2</v>
      </c>
      <c r="E266" s="52">
        <v>146</v>
      </c>
      <c r="F266" s="52">
        <v>146</v>
      </c>
      <c r="G266" s="52">
        <v>0</v>
      </c>
      <c r="H266" s="52">
        <v>0</v>
      </c>
      <c r="I266" s="60"/>
      <c r="J266" s="52"/>
      <c r="K266" s="60"/>
      <c r="L266" s="52"/>
      <c r="M266" s="52" t="s">
        <v>0</v>
      </c>
      <c r="N266" s="17" t="s">
        <v>25</v>
      </c>
      <c r="O266" s="51">
        <v>45806</v>
      </c>
      <c r="P266" s="47"/>
    </row>
    <row r="267" spans="1:16" x14ac:dyDescent="0.25">
      <c r="A267" s="46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6">
        <v>93184</v>
      </c>
      <c r="B268" s="51">
        <v>45810</v>
      </c>
      <c r="C268" s="16"/>
      <c r="D268" s="52">
        <v>2</v>
      </c>
      <c r="E268" s="52">
        <v>150</v>
      </c>
      <c r="F268" s="52">
        <v>150</v>
      </c>
      <c r="G268" s="52">
        <v>0</v>
      </c>
      <c r="H268" s="52">
        <v>0</v>
      </c>
      <c r="I268" s="60"/>
      <c r="J268" s="52"/>
      <c r="K268" s="60"/>
      <c r="L268" s="52"/>
      <c r="M268" s="52" t="s">
        <v>0</v>
      </c>
      <c r="N268" s="17" t="s">
        <v>20</v>
      </c>
      <c r="O268" s="51">
        <v>45810</v>
      </c>
      <c r="P268" s="47"/>
    </row>
    <row r="269" spans="1:16" x14ac:dyDescent="0.25">
      <c r="A269" s="46">
        <v>93186</v>
      </c>
      <c r="B269" s="51">
        <v>45813</v>
      </c>
      <c r="C269" s="16"/>
      <c r="D269" s="52">
        <v>2</v>
      </c>
      <c r="E269" s="52">
        <v>252</v>
      </c>
      <c r="F269" s="52">
        <v>252</v>
      </c>
      <c r="G269" s="52">
        <v>0</v>
      </c>
      <c r="H269" s="52">
        <v>0</v>
      </c>
      <c r="I269" s="60"/>
      <c r="J269" s="52"/>
      <c r="K269" s="60"/>
      <c r="L269" s="52"/>
      <c r="M269" s="52" t="s">
        <v>0</v>
      </c>
      <c r="N269" s="17" t="s">
        <v>25</v>
      </c>
      <c r="O269" s="51">
        <v>45813</v>
      </c>
      <c r="P269" s="47"/>
    </row>
    <row r="270" spans="1:16" x14ac:dyDescent="0.25">
      <c r="A270" s="46">
        <v>93188</v>
      </c>
      <c r="B270" s="51">
        <v>45879</v>
      </c>
      <c r="C270" s="16"/>
      <c r="D270" s="52">
        <v>2</v>
      </c>
      <c r="E270" s="52">
        <v>140</v>
      </c>
      <c r="F270" s="52">
        <v>140</v>
      </c>
      <c r="G270" s="52">
        <v>0</v>
      </c>
      <c r="H270" s="52">
        <v>0</v>
      </c>
      <c r="I270" s="60"/>
      <c r="J270" s="52"/>
      <c r="K270" s="60"/>
      <c r="L270" s="52"/>
      <c r="M270" s="52" t="s">
        <v>0</v>
      </c>
      <c r="N270" s="17" t="s">
        <v>20</v>
      </c>
      <c r="O270" s="51">
        <v>45879</v>
      </c>
      <c r="P270" s="47"/>
    </row>
    <row r="271" spans="1:16" x14ac:dyDescent="0.25">
      <c r="A271" s="46">
        <v>93190</v>
      </c>
      <c r="B271" s="51">
        <v>45767</v>
      </c>
      <c r="C271" s="16"/>
      <c r="D271" s="52">
        <v>2</v>
      </c>
      <c r="E271" s="52">
        <v>33</v>
      </c>
      <c r="F271" s="52">
        <v>33</v>
      </c>
      <c r="G271" s="52">
        <v>0</v>
      </c>
      <c r="H271" s="52">
        <v>0</v>
      </c>
      <c r="I271" s="60"/>
      <c r="J271" s="52"/>
      <c r="K271" s="60"/>
      <c r="L271" s="52"/>
      <c r="M271" s="52" t="s">
        <v>0</v>
      </c>
      <c r="N271" s="17" t="s">
        <v>20</v>
      </c>
      <c r="O271" s="51">
        <v>45767</v>
      </c>
      <c r="P271" s="47"/>
    </row>
    <row r="272" spans="1:16" x14ac:dyDescent="0.25">
      <c r="A272" s="46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6">
        <v>93194</v>
      </c>
      <c r="B273" s="51">
        <v>45788</v>
      </c>
      <c r="C273" s="16"/>
      <c r="D273" s="52">
        <v>2</v>
      </c>
      <c r="E273" s="52">
        <v>88</v>
      </c>
      <c r="F273" s="52">
        <v>88</v>
      </c>
      <c r="G273" s="52">
        <v>0</v>
      </c>
      <c r="H273" s="52">
        <v>0</v>
      </c>
      <c r="I273" s="60"/>
      <c r="J273" s="52"/>
      <c r="K273" s="60"/>
      <c r="L273" s="52"/>
      <c r="M273" s="52" t="s">
        <v>0</v>
      </c>
      <c r="N273" s="17" t="s">
        <v>20</v>
      </c>
      <c r="O273" s="51">
        <v>45788</v>
      </c>
      <c r="P273" s="47"/>
    </row>
    <row r="274" spans="1:16" x14ac:dyDescent="0.25">
      <c r="A274" s="46">
        <v>93196</v>
      </c>
      <c r="B274" s="51">
        <v>45785</v>
      </c>
      <c r="C274" s="16"/>
      <c r="D274" s="52">
        <v>2</v>
      </c>
      <c r="E274" s="52">
        <v>76</v>
      </c>
      <c r="F274" s="52">
        <v>76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45785</v>
      </c>
      <c r="P274" s="47"/>
    </row>
    <row r="275" spans="1:16" x14ac:dyDescent="0.25">
      <c r="A275" s="46">
        <v>93198</v>
      </c>
      <c r="B275" s="51">
        <v>45778</v>
      </c>
      <c r="C275" s="16"/>
      <c r="D275" s="52">
        <v>2</v>
      </c>
      <c r="E275" s="52">
        <v>48</v>
      </c>
      <c r="F275" s="52">
        <v>48</v>
      </c>
      <c r="G275" s="52">
        <v>0</v>
      </c>
      <c r="H275" s="52">
        <v>0</v>
      </c>
      <c r="I275" s="60"/>
      <c r="J275" s="52"/>
      <c r="K275" s="60"/>
      <c r="L275" s="52"/>
      <c r="M275" s="52" t="s">
        <v>0</v>
      </c>
      <c r="N275" s="17" t="s">
        <v>20</v>
      </c>
      <c r="O275" s="51">
        <v>45778</v>
      </c>
      <c r="P275" s="47"/>
    </row>
    <row r="276" spans="1:16" x14ac:dyDescent="0.25">
      <c r="A276" s="46">
        <v>93200</v>
      </c>
      <c r="B276" s="51">
        <v>45841</v>
      </c>
      <c r="C276" s="16"/>
      <c r="D276" s="52">
        <v>2</v>
      </c>
      <c r="E276" s="52">
        <v>99</v>
      </c>
      <c r="F276" s="52">
        <v>99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20</v>
      </c>
      <c r="O276" s="51">
        <v>45841</v>
      </c>
      <c r="P276" s="47"/>
    </row>
    <row r="277" spans="1:16" x14ac:dyDescent="0.25">
      <c r="A277" s="46">
        <v>93202</v>
      </c>
      <c r="B277" s="51">
        <v>45868</v>
      </c>
      <c r="C277" s="16"/>
      <c r="D277" s="52">
        <v>2</v>
      </c>
      <c r="E277" s="52">
        <v>169</v>
      </c>
      <c r="F277" s="52">
        <v>169</v>
      </c>
      <c r="G277" s="52">
        <v>0</v>
      </c>
      <c r="H277" s="52">
        <v>0</v>
      </c>
      <c r="I277" s="60"/>
      <c r="J277" s="52"/>
      <c r="K277" s="60"/>
      <c r="L277" s="52"/>
      <c r="M277" s="52" t="s">
        <v>0</v>
      </c>
      <c r="N277" s="17" t="s">
        <v>25</v>
      </c>
      <c r="O277" s="51">
        <v>45868</v>
      </c>
      <c r="P277" s="47"/>
    </row>
    <row r="278" spans="1:16" x14ac:dyDescent="0.25">
      <c r="A278" s="46">
        <v>93204</v>
      </c>
      <c r="B278" s="51">
        <v>45813</v>
      </c>
      <c r="C278" s="16"/>
      <c r="D278" s="52">
        <v>2</v>
      </c>
      <c r="E278" s="52">
        <v>252</v>
      </c>
      <c r="F278" s="52">
        <v>252</v>
      </c>
      <c r="G278" s="52">
        <v>0</v>
      </c>
      <c r="H278" s="52">
        <v>0</v>
      </c>
      <c r="I278" s="60"/>
      <c r="J278" s="52"/>
      <c r="K278" s="60"/>
      <c r="L278" s="52"/>
      <c r="M278" s="52" t="s">
        <v>0</v>
      </c>
      <c r="N278" s="17" t="s">
        <v>20</v>
      </c>
      <c r="O278" s="51">
        <v>45813</v>
      </c>
      <c r="P278" s="47"/>
    </row>
    <row r="279" spans="1:16" x14ac:dyDescent="0.25">
      <c r="A279" s="46">
        <v>93206</v>
      </c>
      <c r="B279" s="51">
        <v>45775</v>
      </c>
      <c r="C279" s="16"/>
      <c r="D279" s="52">
        <v>1</v>
      </c>
      <c r="E279" s="52">
        <v>1</v>
      </c>
      <c r="F279" s="52">
        <v>1</v>
      </c>
      <c r="G279" s="52">
        <v>0</v>
      </c>
      <c r="H279" s="52">
        <v>0</v>
      </c>
      <c r="I279" s="60"/>
      <c r="J279" s="52"/>
      <c r="K279" s="60"/>
      <c r="L279" s="52"/>
      <c r="M279" s="52" t="s">
        <v>0</v>
      </c>
      <c r="N279" s="17" t="s">
        <v>19</v>
      </c>
      <c r="O279" s="51">
        <v>45775</v>
      </c>
      <c r="P279" s="47"/>
    </row>
    <row r="280" spans="1:16" x14ac:dyDescent="0.25">
      <c r="A280" s="46">
        <v>93208</v>
      </c>
      <c r="B280" s="51">
        <v>45894</v>
      </c>
      <c r="C280" s="16"/>
      <c r="D280" s="52">
        <v>2</v>
      </c>
      <c r="E280" s="52">
        <v>162</v>
      </c>
      <c r="F280" s="52">
        <v>162</v>
      </c>
      <c r="G280" s="52">
        <v>0</v>
      </c>
      <c r="H280" s="52">
        <v>0</v>
      </c>
      <c r="I280" s="60"/>
      <c r="J280" s="52"/>
      <c r="K280" s="60"/>
      <c r="L280" s="52"/>
      <c r="M280" s="52" t="s">
        <v>0</v>
      </c>
      <c r="N280" s="17" t="s">
        <v>25</v>
      </c>
      <c r="O280" s="51">
        <v>45894</v>
      </c>
      <c r="P280" s="47"/>
    </row>
    <row r="281" spans="1:16" x14ac:dyDescent="0.25">
      <c r="A281" s="46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4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6">
        <v>93214</v>
      </c>
      <c r="B283" s="51">
        <v>45770</v>
      </c>
      <c r="C283" s="16"/>
      <c r="D283" s="52">
        <v>2</v>
      </c>
      <c r="E283" s="52">
        <v>34</v>
      </c>
      <c r="F283" s="52">
        <v>34</v>
      </c>
      <c r="G283" s="52">
        <v>0</v>
      </c>
      <c r="H283" s="52">
        <v>0</v>
      </c>
      <c r="I283" s="60"/>
      <c r="J283" s="52"/>
      <c r="K283" s="60"/>
      <c r="L283" s="52"/>
      <c r="M283" s="52" t="s">
        <v>0</v>
      </c>
      <c r="N283" s="17" t="s">
        <v>20</v>
      </c>
      <c r="O283" s="51">
        <v>45770</v>
      </c>
      <c r="P283" s="47">
        <v>93214</v>
      </c>
    </row>
    <row r="284" spans="1:16" x14ac:dyDescent="0.25">
      <c r="A284" s="46">
        <v>93216</v>
      </c>
      <c r="B284" s="51">
        <v>45853</v>
      </c>
      <c r="C284" s="16"/>
      <c r="D284" s="52">
        <v>2</v>
      </c>
      <c r="E284" s="52">
        <v>150</v>
      </c>
      <c r="F284" s="52">
        <v>150</v>
      </c>
      <c r="G284" s="52">
        <v>0</v>
      </c>
      <c r="H284" s="52">
        <v>0</v>
      </c>
      <c r="I284" s="60"/>
      <c r="J284" s="52"/>
      <c r="K284" s="60"/>
      <c r="L284" s="52"/>
      <c r="M284" s="52" t="s">
        <v>0</v>
      </c>
      <c r="N284" s="17" t="s">
        <v>20</v>
      </c>
      <c r="O284" s="51">
        <v>45853</v>
      </c>
      <c r="P284" s="47"/>
    </row>
    <row r="285" spans="1:16" x14ac:dyDescent="0.25">
      <c r="A285" s="46">
        <v>93218</v>
      </c>
      <c r="B285" s="51">
        <v>45811</v>
      </c>
      <c r="C285" s="16"/>
      <c r="D285" s="52">
        <v>2</v>
      </c>
      <c r="E285" s="52">
        <v>130</v>
      </c>
      <c r="F285" s="52">
        <v>130</v>
      </c>
      <c r="G285" s="52">
        <v>0</v>
      </c>
      <c r="H285" s="52">
        <v>0</v>
      </c>
      <c r="I285" s="60"/>
      <c r="J285" s="52"/>
      <c r="K285" s="60"/>
      <c r="L285" s="52"/>
      <c r="M285" s="52" t="s">
        <v>0</v>
      </c>
      <c r="N285" s="17" t="s">
        <v>20</v>
      </c>
      <c r="O285" s="51">
        <v>45811</v>
      </c>
      <c r="P285" s="47"/>
    </row>
    <row r="286" spans="1:16" x14ac:dyDescent="0.25">
      <c r="A286" s="46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6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6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6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6">
        <v>93228</v>
      </c>
      <c r="B290" s="51">
        <v>45820</v>
      </c>
      <c r="C290" s="16"/>
      <c r="D290" s="52">
        <v>2</v>
      </c>
      <c r="E290" s="52">
        <v>204</v>
      </c>
      <c r="F290" s="52">
        <v>204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20</v>
      </c>
      <c r="O290" s="51">
        <v>45820</v>
      </c>
      <c r="P290" s="47"/>
    </row>
    <row r="291" spans="1:16" x14ac:dyDescent="0.25">
      <c r="A291" s="46">
        <v>93230</v>
      </c>
      <c r="B291" s="51">
        <v>45777</v>
      </c>
      <c r="C291" s="16"/>
      <c r="D291" s="52">
        <v>2</v>
      </c>
      <c r="E291" s="52">
        <v>40</v>
      </c>
      <c r="F291" s="52">
        <v>40</v>
      </c>
      <c r="G291" s="52">
        <v>0</v>
      </c>
      <c r="H291" s="52">
        <v>0</v>
      </c>
      <c r="I291" s="60"/>
      <c r="J291" s="52"/>
      <c r="K291" s="60"/>
      <c r="L291" s="52"/>
      <c r="M291" s="52" t="s">
        <v>0</v>
      </c>
      <c r="N291" s="17" t="s">
        <v>20</v>
      </c>
      <c r="O291" s="51">
        <v>45777</v>
      </c>
      <c r="P291" s="47">
        <v>92230</v>
      </c>
    </row>
    <row r="292" spans="1:16" x14ac:dyDescent="0.25">
      <c r="A292" s="46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6">
        <v>93234</v>
      </c>
      <c r="B293" s="51">
        <v>45918</v>
      </c>
      <c r="C293" s="16"/>
      <c r="D293" s="52">
        <v>2</v>
      </c>
      <c r="E293" s="52">
        <v>212</v>
      </c>
      <c r="F293" s="52">
        <v>212</v>
      </c>
      <c r="G293" s="52">
        <v>0</v>
      </c>
      <c r="H293" s="52">
        <v>0</v>
      </c>
      <c r="I293" s="60"/>
      <c r="J293" s="52"/>
      <c r="K293" s="60"/>
      <c r="L293" s="52"/>
      <c r="M293" s="52" t="s">
        <v>0</v>
      </c>
      <c r="N293" s="17" t="s">
        <v>20</v>
      </c>
      <c r="O293" s="51">
        <v>45918</v>
      </c>
      <c r="P293" s="47"/>
    </row>
    <row r="294" spans="1:16" x14ac:dyDescent="0.25">
      <c r="A294" s="46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6">
        <v>93238</v>
      </c>
      <c r="B295" s="51">
        <v>45803</v>
      </c>
      <c r="C295" s="16"/>
      <c r="D295" s="52">
        <v>2</v>
      </c>
      <c r="E295" s="52">
        <v>188</v>
      </c>
      <c r="F295" s="52">
        <v>188</v>
      </c>
      <c r="G295" s="52">
        <v>0</v>
      </c>
      <c r="H295" s="52">
        <v>0</v>
      </c>
      <c r="I295" s="60"/>
      <c r="J295" s="52"/>
      <c r="K295" s="60"/>
      <c r="L295" s="52"/>
      <c r="M295" s="52" t="s">
        <v>0</v>
      </c>
      <c r="N295" s="17" t="s">
        <v>25</v>
      </c>
      <c r="O295" s="51">
        <v>45803</v>
      </c>
      <c r="P295" s="47"/>
    </row>
    <row r="296" spans="1:16" x14ac:dyDescent="0.25">
      <c r="A296" s="46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6">
        <v>93242</v>
      </c>
      <c r="B297" s="51">
        <v>45890</v>
      </c>
      <c r="C297" s="16"/>
      <c r="D297" s="52">
        <v>2</v>
      </c>
      <c r="E297" s="52">
        <v>156</v>
      </c>
      <c r="F297" s="52">
        <v>156</v>
      </c>
      <c r="G297" s="52">
        <v>0</v>
      </c>
      <c r="H297" s="52">
        <v>0</v>
      </c>
      <c r="I297" s="60"/>
      <c r="J297" s="52"/>
      <c r="K297" s="60"/>
      <c r="L297" s="52"/>
      <c r="M297" s="52" t="s">
        <v>0</v>
      </c>
      <c r="N297" s="17" t="s">
        <v>25</v>
      </c>
      <c r="O297" s="51">
        <v>45890</v>
      </c>
      <c r="P297" s="47"/>
    </row>
    <row r="298" spans="1:16" x14ac:dyDescent="0.25">
      <c r="A298" s="46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6">
        <v>93246</v>
      </c>
      <c r="B299" s="51">
        <v>45783</v>
      </c>
      <c r="C299" s="16"/>
      <c r="D299" s="52">
        <v>2</v>
      </c>
      <c r="E299" s="52">
        <v>40</v>
      </c>
      <c r="F299" s="52">
        <v>40</v>
      </c>
      <c r="G299" s="52">
        <v>0</v>
      </c>
      <c r="H299" s="52">
        <v>0</v>
      </c>
      <c r="I299" s="60"/>
      <c r="J299" s="52"/>
      <c r="K299" s="60"/>
      <c r="L299" s="52"/>
      <c r="M299" s="52" t="s">
        <v>0</v>
      </c>
      <c r="N299" s="17" t="s">
        <v>20</v>
      </c>
      <c r="O299" s="51">
        <v>45783</v>
      </c>
      <c r="P299" s="47"/>
    </row>
    <row r="300" spans="1:16" x14ac:dyDescent="0.25">
      <c r="A300" s="46">
        <v>93248</v>
      </c>
      <c r="B300" s="51">
        <v>45900</v>
      </c>
      <c r="C300" s="16"/>
      <c r="D300" s="52">
        <v>2</v>
      </c>
      <c r="E300" s="52">
        <v>146</v>
      </c>
      <c r="F300" s="52">
        <v>146</v>
      </c>
      <c r="G300" s="52">
        <v>0</v>
      </c>
      <c r="H300" s="52">
        <v>0</v>
      </c>
      <c r="I300" s="60"/>
      <c r="J300" s="52"/>
      <c r="K300" s="60"/>
      <c r="L300" s="52"/>
      <c r="M300" s="52" t="s">
        <v>0</v>
      </c>
      <c r="N300" s="17" t="s">
        <v>20</v>
      </c>
      <c r="O300" s="51">
        <v>45900</v>
      </c>
      <c r="P300" s="47"/>
    </row>
    <row r="301" spans="1:16" x14ac:dyDescent="0.25">
      <c r="A301" s="46">
        <v>93250</v>
      </c>
      <c r="B301" s="51">
        <v>45823</v>
      </c>
      <c r="C301" s="16"/>
      <c r="D301" s="52">
        <v>2</v>
      </c>
      <c r="E301" s="52">
        <v>112</v>
      </c>
      <c r="F301" s="52">
        <v>112</v>
      </c>
      <c r="G301" s="52">
        <v>0</v>
      </c>
      <c r="H301" s="52">
        <v>0</v>
      </c>
      <c r="I301" s="60"/>
      <c r="J301" s="52"/>
      <c r="K301" s="60"/>
      <c r="L301" s="52"/>
      <c r="M301" s="52" t="s">
        <v>0</v>
      </c>
      <c r="N301" s="17" t="s">
        <v>20</v>
      </c>
      <c r="O301" s="51">
        <v>45823</v>
      </c>
      <c r="P301" s="47"/>
    </row>
    <row r="302" spans="1:16" x14ac:dyDescent="0.25">
      <c r="A302" s="46">
        <v>93252</v>
      </c>
      <c r="B302" s="51">
        <v>45840</v>
      </c>
      <c r="C302" s="16"/>
      <c r="D302" s="52">
        <v>2</v>
      </c>
      <c r="E302" s="52">
        <v>88</v>
      </c>
      <c r="F302" s="52">
        <v>88</v>
      </c>
      <c r="G302" s="52">
        <v>0</v>
      </c>
      <c r="H302" s="52">
        <v>0</v>
      </c>
      <c r="I302" s="60"/>
      <c r="J302" s="52"/>
      <c r="K302" s="60"/>
      <c r="L302" s="52"/>
      <c r="M302" s="52" t="s">
        <v>0</v>
      </c>
      <c r="N302" s="17" t="s">
        <v>20</v>
      </c>
      <c r="O302" s="51">
        <v>45840</v>
      </c>
      <c r="P302" s="47"/>
    </row>
    <row r="303" spans="1:16" x14ac:dyDescent="0.25">
      <c r="A303" s="46">
        <v>93254</v>
      </c>
      <c r="B303" s="51">
        <v>45887</v>
      </c>
      <c r="C303" s="16"/>
      <c r="D303" s="52">
        <v>2</v>
      </c>
      <c r="E303" s="52">
        <v>160</v>
      </c>
      <c r="F303" s="52">
        <v>160</v>
      </c>
      <c r="G303" s="52">
        <v>0</v>
      </c>
      <c r="H303" s="52">
        <v>0</v>
      </c>
      <c r="I303" s="60"/>
      <c r="J303" s="52"/>
      <c r="K303" s="60"/>
      <c r="L303" s="52"/>
      <c r="M303" s="52"/>
      <c r="N303" s="17" t="s">
        <v>20</v>
      </c>
      <c r="O303" s="51">
        <v>45887</v>
      </c>
      <c r="P303" s="47"/>
    </row>
    <row r="304" spans="1:16" x14ac:dyDescent="0.25">
      <c r="A304" s="46">
        <v>93256</v>
      </c>
      <c r="B304" s="51">
        <v>45784</v>
      </c>
      <c r="C304" s="16"/>
      <c r="D304" s="52">
        <v>2</v>
      </c>
      <c r="E304" s="52">
        <v>82</v>
      </c>
      <c r="F304" s="52">
        <v>82</v>
      </c>
      <c r="G304" s="52">
        <v>0</v>
      </c>
      <c r="H304" s="52">
        <v>0</v>
      </c>
      <c r="I304" s="60"/>
      <c r="J304" s="52"/>
      <c r="K304" s="60"/>
      <c r="L304" s="52"/>
      <c r="M304" s="52" t="s">
        <v>0</v>
      </c>
      <c r="N304" s="17" t="s">
        <v>20</v>
      </c>
      <c r="O304" s="51">
        <v>45784</v>
      </c>
      <c r="P304" s="47">
        <v>92256</v>
      </c>
    </row>
    <row r="305" spans="1:16" x14ac:dyDescent="0.25">
      <c r="A305" s="46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6">
        <v>93260</v>
      </c>
      <c r="B306" s="51">
        <v>45824</v>
      </c>
      <c r="C306" s="16"/>
      <c r="D306" s="52">
        <v>2</v>
      </c>
      <c r="E306" s="52">
        <v>220</v>
      </c>
      <c r="F306" s="52">
        <v>220</v>
      </c>
      <c r="G306" s="52">
        <v>0</v>
      </c>
      <c r="H306" s="52">
        <v>0</v>
      </c>
      <c r="I306" s="60"/>
      <c r="J306" s="52"/>
      <c r="K306" s="60"/>
      <c r="L306" s="52"/>
      <c r="M306" s="52" t="s">
        <v>0</v>
      </c>
      <c r="N306" s="17" t="s">
        <v>20</v>
      </c>
      <c r="O306" s="51">
        <v>45824</v>
      </c>
      <c r="P306" s="47"/>
    </row>
    <row r="307" spans="1:16" x14ac:dyDescent="0.25">
      <c r="A307" s="46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6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6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6">
        <v>93402</v>
      </c>
      <c r="B310" s="51">
        <v>45810</v>
      </c>
      <c r="C310" s="16"/>
      <c r="D310" s="52">
        <v>2</v>
      </c>
      <c r="E310" s="52">
        <v>150</v>
      </c>
      <c r="F310" s="52">
        <v>150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20</v>
      </c>
      <c r="O310" s="51">
        <v>45810</v>
      </c>
      <c r="P310" s="47"/>
    </row>
    <row r="311" spans="1:16" x14ac:dyDescent="0.25">
      <c r="A311" s="46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6">
        <v>93406</v>
      </c>
      <c r="B312" s="51">
        <v>45799</v>
      </c>
      <c r="C312" s="16"/>
      <c r="D312" s="52">
        <v>2</v>
      </c>
      <c r="E312" s="52">
        <v>150</v>
      </c>
      <c r="F312" s="52">
        <v>150</v>
      </c>
      <c r="G312" s="52">
        <v>0</v>
      </c>
      <c r="H312" s="52">
        <v>0</v>
      </c>
      <c r="I312" s="60"/>
      <c r="J312" s="52"/>
      <c r="K312" s="60"/>
      <c r="L312" s="52"/>
      <c r="M312" s="52" t="s">
        <v>0</v>
      </c>
      <c r="N312" s="17" t="s">
        <v>20</v>
      </c>
      <c r="O312" s="51">
        <v>45799</v>
      </c>
      <c r="P312" s="47"/>
    </row>
    <row r="313" spans="1:16" x14ac:dyDescent="0.25">
      <c r="A313" s="46">
        <v>93408</v>
      </c>
      <c r="B313" s="51">
        <v>45761</v>
      </c>
      <c r="C313" s="16"/>
      <c r="D313" s="52">
        <v>2</v>
      </c>
      <c r="E313" s="52">
        <v>24</v>
      </c>
      <c r="F313" s="52">
        <v>24</v>
      </c>
      <c r="G313" s="52">
        <v>0</v>
      </c>
      <c r="H313" s="52">
        <v>0</v>
      </c>
      <c r="I313" s="60"/>
      <c r="J313" s="52"/>
      <c r="K313" s="60"/>
      <c r="L313" s="52"/>
      <c r="M313" s="52" t="s">
        <v>0</v>
      </c>
      <c r="N313" s="17" t="s">
        <v>20</v>
      </c>
      <c r="O313" s="51">
        <v>45761</v>
      </c>
      <c r="P313" s="47"/>
    </row>
    <row r="314" spans="1:16" x14ac:dyDescent="0.25">
      <c r="A314" s="46">
        <v>93410</v>
      </c>
      <c r="B314" s="51">
        <v>45788</v>
      </c>
      <c r="C314" s="16"/>
      <c r="D314" s="52">
        <v>2</v>
      </c>
      <c r="E314" s="52">
        <v>98</v>
      </c>
      <c r="F314" s="52">
        <v>98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20</v>
      </c>
      <c r="O314" s="51">
        <v>45788</v>
      </c>
      <c r="P314" s="47">
        <v>93410</v>
      </c>
    </row>
    <row r="315" spans="1:16" x14ac:dyDescent="0.25">
      <c r="A315" s="46">
        <v>93412</v>
      </c>
      <c r="B315" s="51">
        <v>45855</v>
      </c>
      <c r="C315" s="16"/>
      <c r="D315" s="52">
        <v>2</v>
      </c>
      <c r="E315" s="52">
        <v>180</v>
      </c>
      <c r="F315" s="52">
        <v>180</v>
      </c>
      <c r="G315" s="52">
        <v>0</v>
      </c>
      <c r="H315" s="52">
        <v>0</v>
      </c>
      <c r="I315" s="60"/>
      <c r="J315" s="52"/>
      <c r="K315" s="60"/>
      <c r="L315" s="52"/>
      <c r="M315" s="52" t="s">
        <v>0</v>
      </c>
      <c r="N315" s="17" t="s">
        <v>20</v>
      </c>
      <c r="O315" s="51">
        <v>45855</v>
      </c>
      <c r="P315" s="47"/>
    </row>
    <row r="316" spans="1:16" x14ac:dyDescent="0.25">
      <c r="A316" s="46">
        <v>93414</v>
      </c>
      <c r="B316" s="51">
        <v>45795</v>
      </c>
      <c r="C316" s="16"/>
      <c r="D316" s="52">
        <v>2</v>
      </c>
      <c r="E316" s="52">
        <v>94</v>
      </c>
      <c r="F316" s="52">
        <v>94</v>
      </c>
      <c r="G316" s="52">
        <v>0</v>
      </c>
      <c r="H316" s="52">
        <v>0</v>
      </c>
      <c r="I316" s="60"/>
      <c r="J316" s="52"/>
      <c r="K316" s="60"/>
      <c r="L316" s="52"/>
      <c r="M316" s="52" t="s">
        <v>0</v>
      </c>
      <c r="N316" s="17" t="s">
        <v>20</v>
      </c>
      <c r="O316" s="51">
        <v>45795</v>
      </c>
      <c r="P316" s="47"/>
    </row>
    <row r="317" spans="1:16" x14ac:dyDescent="0.25">
      <c r="A317" s="46">
        <v>93416</v>
      </c>
      <c r="B317" s="51">
        <v>45837</v>
      </c>
      <c r="C317" s="16"/>
      <c r="D317" s="52">
        <v>1</v>
      </c>
      <c r="E317" s="52">
        <v>120</v>
      </c>
      <c r="F317" s="52">
        <v>120</v>
      </c>
      <c r="G317" s="52">
        <v>0</v>
      </c>
      <c r="H317" s="52">
        <v>0</v>
      </c>
      <c r="I317" s="60"/>
      <c r="J317" s="52"/>
      <c r="K317" s="60"/>
      <c r="L317" s="52"/>
      <c r="M317" s="52" t="s">
        <v>0</v>
      </c>
      <c r="N317" s="17" t="s">
        <v>20</v>
      </c>
      <c r="O317" s="51">
        <v>45837</v>
      </c>
      <c r="P317" s="47"/>
    </row>
    <row r="318" spans="1:16" x14ac:dyDescent="0.25">
      <c r="A318" s="46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46">
        <v>93420</v>
      </c>
      <c r="B319" s="51">
        <v>45805</v>
      </c>
      <c r="C319" s="16"/>
      <c r="D319" s="52">
        <v>2</v>
      </c>
      <c r="E319" s="52">
        <v>24</v>
      </c>
      <c r="F319" s="52">
        <v>24</v>
      </c>
      <c r="G319" s="52">
        <v>0</v>
      </c>
      <c r="H319" s="52">
        <v>0</v>
      </c>
      <c r="I319" s="60"/>
      <c r="J319" s="52"/>
      <c r="K319" s="60"/>
      <c r="L319" s="52"/>
      <c r="M319" s="52" t="s">
        <v>0</v>
      </c>
      <c r="N319" s="17" t="s">
        <v>20</v>
      </c>
      <c r="O319" s="51">
        <v>45805</v>
      </c>
      <c r="P319" s="47"/>
    </row>
    <row r="320" spans="1:16" x14ac:dyDescent="0.25">
      <c r="A320" s="46">
        <v>93422</v>
      </c>
      <c r="B320" s="51">
        <v>45769</v>
      </c>
      <c r="C320" s="16"/>
      <c r="D320" s="52">
        <v>2</v>
      </c>
      <c r="E320" s="52">
        <v>38</v>
      </c>
      <c r="F320" s="52">
        <v>38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20</v>
      </c>
      <c r="O320" s="51">
        <v>45769</v>
      </c>
      <c r="P320" s="47">
        <v>92422</v>
      </c>
    </row>
    <row r="321" spans="1:16" x14ac:dyDescent="0.25">
      <c r="A321" s="46">
        <v>93424</v>
      </c>
      <c r="B321" s="51">
        <v>45809</v>
      </c>
      <c r="C321" s="16"/>
      <c r="D321" s="52">
        <v>2</v>
      </c>
      <c r="E321" s="52">
        <v>90</v>
      </c>
      <c r="F321" s="52">
        <v>90</v>
      </c>
      <c r="G321" s="52">
        <v>0</v>
      </c>
      <c r="H321" s="52">
        <v>0</v>
      </c>
      <c r="I321" s="60"/>
      <c r="J321" s="52"/>
      <c r="K321" s="60"/>
      <c r="L321" s="52"/>
      <c r="M321" s="52" t="s">
        <v>0</v>
      </c>
      <c r="N321" s="17" t="s">
        <v>102</v>
      </c>
      <c r="O321" s="51">
        <v>45809</v>
      </c>
      <c r="P321" s="47"/>
    </row>
    <row r="322" spans="1:16" x14ac:dyDescent="0.25">
      <c r="A322" s="46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46">
        <v>93428</v>
      </c>
      <c r="B323" s="51">
        <v>45782</v>
      </c>
      <c r="C323" s="16"/>
      <c r="D323" s="52">
        <v>2</v>
      </c>
      <c r="E323" s="52">
        <v>33</v>
      </c>
      <c r="F323" s="52">
        <v>33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25</v>
      </c>
      <c r="O323" s="51">
        <v>45782</v>
      </c>
      <c r="P323" s="47"/>
    </row>
    <row r="324" spans="1:16" x14ac:dyDescent="0.25">
      <c r="A324" s="46">
        <v>93430</v>
      </c>
      <c r="B324" s="51">
        <v>45799</v>
      </c>
      <c r="C324" s="16"/>
      <c r="D324" s="52">
        <v>2</v>
      </c>
      <c r="E324" s="52">
        <v>206</v>
      </c>
      <c r="F324" s="52">
        <v>206</v>
      </c>
      <c r="G324" s="52">
        <v>0</v>
      </c>
      <c r="H324" s="52">
        <v>0</v>
      </c>
      <c r="I324" s="60"/>
      <c r="J324" s="52"/>
      <c r="K324" s="60"/>
      <c r="L324" s="52"/>
      <c r="M324" s="52" t="s">
        <v>0</v>
      </c>
      <c r="N324" s="17" t="s">
        <v>103</v>
      </c>
      <c r="O324" s="51">
        <v>45799</v>
      </c>
      <c r="P324" s="47"/>
    </row>
    <row r="325" spans="1:16" x14ac:dyDescent="0.25">
      <c r="A325" s="46">
        <v>93432</v>
      </c>
      <c r="B325" s="51">
        <v>45779</v>
      </c>
      <c r="C325" s="16"/>
      <c r="D325" s="52">
        <v>2</v>
      </c>
      <c r="E325" s="52">
        <v>84</v>
      </c>
      <c r="F325" s="52">
        <v>84</v>
      </c>
      <c r="G325" s="52">
        <v>0</v>
      </c>
      <c r="H325" s="52">
        <v>0</v>
      </c>
      <c r="I325" s="60"/>
      <c r="J325" s="52"/>
      <c r="K325" s="60"/>
      <c r="L325" s="52"/>
      <c r="M325" s="52" t="s">
        <v>0</v>
      </c>
      <c r="N325" s="17" t="s">
        <v>20</v>
      </c>
      <c r="O325" s="51">
        <v>45779</v>
      </c>
      <c r="P325" s="47"/>
    </row>
    <row r="326" spans="1:16" x14ac:dyDescent="0.25">
      <c r="A326" s="46">
        <v>93434</v>
      </c>
      <c r="B326" s="51">
        <v>45775</v>
      </c>
      <c r="C326" s="16"/>
      <c r="D326" s="52">
        <v>2</v>
      </c>
      <c r="E326" s="52">
        <v>2</v>
      </c>
      <c r="F326" s="52">
        <v>2</v>
      </c>
      <c r="G326" s="52">
        <v>0</v>
      </c>
      <c r="H326" s="52">
        <v>0</v>
      </c>
      <c r="I326" s="60"/>
      <c r="J326" s="52"/>
      <c r="K326" s="60"/>
      <c r="L326" s="52"/>
      <c r="M326" s="52" t="s">
        <v>0</v>
      </c>
      <c r="N326" s="17" t="s">
        <v>20</v>
      </c>
      <c r="O326" s="51">
        <v>45775</v>
      </c>
      <c r="P326" s="47"/>
    </row>
    <row r="327" spans="1:16" x14ac:dyDescent="0.25">
      <c r="A327" s="46">
        <v>93436</v>
      </c>
      <c r="B327" s="51">
        <v>45802</v>
      </c>
      <c r="C327" s="16"/>
      <c r="D327" s="52">
        <v>2</v>
      </c>
      <c r="E327" s="52">
        <v>15</v>
      </c>
      <c r="F327" s="52">
        <v>15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20</v>
      </c>
      <c r="O327" s="51">
        <v>45802</v>
      </c>
      <c r="P327" s="47"/>
    </row>
    <row r="328" spans="1:16" x14ac:dyDescent="0.25">
      <c r="A328" s="46">
        <v>93438</v>
      </c>
      <c r="B328" s="51">
        <v>45768</v>
      </c>
      <c r="C328" s="16"/>
      <c r="D328" s="52">
        <v>2</v>
      </c>
      <c r="E328" s="52">
        <v>25</v>
      </c>
      <c r="F328" s="52">
        <v>25</v>
      </c>
      <c r="G328" s="52">
        <v>0</v>
      </c>
      <c r="H328" s="52">
        <v>0</v>
      </c>
      <c r="I328" s="60"/>
      <c r="J328" s="52"/>
      <c r="K328" s="60"/>
      <c r="L328" s="52"/>
      <c r="M328" s="52" t="s">
        <v>0</v>
      </c>
      <c r="N328" s="17" t="s">
        <v>20</v>
      </c>
      <c r="O328" s="51">
        <v>45768</v>
      </c>
      <c r="P328" s="47">
        <v>92438</v>
      </c>
    </row>
    <row r="329" spans="1:16" x14ac:dyDescent="0.25">
      <c r="A329" s="46">
        <v>93440</v>
      </c>
      <c r="B329" s="51">
        <v>45809</v>
      </c>
      <c r="C329" s="16"/>
      <c r="D329" s="52">
        <v>2</v>
      </c>
      <c r="E329" s="52">
        <v>110</v>
      </c>
      <c r="F329" s="52">
        <v>110</v>
      </c>
      <c r="G329" s="52">
        <v>0</v>
      </c>
      <c r="H329" s="52">
        <v>0</v>
      </c>
      <c r="I329" s="60"/>
      <c r="J329" s="52"/>
      <c r="K329" s="60"/>
      <c r="L329" s="52"/>
      <c r="M329" s="52" t="s">
        <v>0</v>
      </c>
      <c r="N329" s="17" t="s">
        <v>20</v>
      </c>
      <c r="O329" s="51">
        <v>45809</v>
      </c>
      <c r="P329" s="47"/>
    </row>
    <row r="330" spans="1:16" x14ac:dyDescent="0.25">
      <c r="A330" s="46">
        <v>93442</v>
      </c>
      <c r="B330" s="51">
        <v>45818</v>
      </c>
      <c r="C330" s="16"/>
      <c r="D330" s="52">
        <v>2</v>
      </c>
      <c r="E330" s="52">
        <v>430</v>
      </c>
      <c r="F330" s="52">
        <v>430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20</v>
      </c>
      <c r="O330" s="51">
        <v>45818</v>
      </c>
      <c r="P330" s="47"/>
    </row>
    <row r="331" spans="1:16" x14ac:dyDescent="0.25">
      <c r="A331" s="46">
        <v>93444</v>
      </c>
      <c r="B331" s="51">
        <v>45810</v>
      </c>
      <c r="C331" s="16"/>
      <c r="D331" s="52">
        <v>2</v>
      </c>
      <c r="E331" s="52">
        <v>156</v>
      </c>
      <c r="F331" s="52">
        <v>156</v>
      </c>
      <c r="G331" s="52">
        <v>0</v>
      </c>
      <c r="H331" s="52">
        <v>0</v>
      </c>
      <c r="I331" s="60"/>
      <c r="J331" s="52"/>
      <c r="K331" s="60"/>
      <c r="L331" s="52"/>
      <c r="M331" s="52" t="s">
        <v>0</v>
      </c>
      <c r="N331" s="17" t="s">
        <v>102</v>
      </c>
      <c r="O331" s="51">
        <v>45810</v>
      </c>
      <c r="P331" s="47"/>
    </row>
    <row r="332" spans="1:16" x14ac:dyDescent="0.25">
      <c r="A332" s="46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46">
        <v>93448</v>
      </c>
      <c r="B333" s="51">
        <v>45844</v>
      </c>
      <c r="C333" s="16"/>
      <c r="D333" s="52">
        <v>2</v>
      </c>
      <c r="E333" s="52">
        <v>228</v>
      </c>
      <c r="F333" s="52">
        <v>228</v>
      </c>
      <c r="G333" s="52">
        <v>0</v>
      </c>
      <c r="H333" s="52">
        <v>0</v>
      </c>
      <c r="I333" s="60"/>
      <c r="J333" s="52"/>
      <c r="K333" s="60"/>
      <c r="L333" s="52"/>
      <c r="M333" s="52" t="s">
        <v>0</v>
      </c>
      <c r="N333" s="17" t="s">
        <v>25</v>
      </c>
      <c r="O333" s="51">
        <v>45844</v>
      </c>
      <c r="P333" s="47"/>
    </row>
    <row r="334" spans="1:16" x14ac:dyDescent="0.25">
      <c r="A334" s="46">
        <v>93450</v>
      </c>
      <c r="B334" s="51">
        <v>45810</v>
      </c>
      <c r="C334" s="16"/>
      <c r="D334" s="52">
        <v>2</v>
      </c>
      <c r="E334" s="52">
        <v>160</v>
      </c>
      <c r="F334" s="52">
        <v>160</v>
      </c>
      <c r="G334" s="52">
        <v>0</v>
      </c>
      <c r="H334" s="52">
        <v>0</v>
      </c>
      <c r="I334" s="60"/>
      <c r="J334" s="52"/>
      <c r="K334" s="60"/>
      <c r="L334" s="52"/>
      <c r="M334" s="52" t="s">
        <v>0</v>
      </c>
      <c r="N334" s="17" t="s">
        <v>102</v>
      </c>
      <c r="O334" s="51">
        <v>45810</v>
      </c>
      <c r="P334" s="47"/>
    </row>
    <row r="335" spans="1:16" x14ac:dyDescent="0.25">
      <c r="A335" s="46">
        <v>93452</v>
      </c>
      <c r="B335" s="51">
        <v>45775</v>
      </c>
      <c r="C335" s="16"/>
      <c r="D335" s="52">
        <v>2</v>
      </c>
      <c r="E335" s="52">
        <v>33</v>
      </c>
      <c r="F335" s="52">
        <v>33</v>
      </c>
      <c r="G335" s="52">
        <v>0</v>
      </c>
      <c r="H335" s="52">
        <v>0</v>
      </c>
      <c r="I335" s="60"/>
      <c r="J335" s="52"/>
      <c r="K335" s="60"/>
      <c r="L335" s="52"/>
      <c r="M335" s="52" t="s">
        <v>0</v>
      </c>
      <c r="N335" s="17" t="s">
        <v>20</v>
      </c>
      <c r="O335" s="51">
        <v>45775</v>
      </c>
      <c r="P335" s="47"/>
    </row>
    <row r="336" spans="1:16" x14ac:dyDescent="0.25">
      <c r="A336" s="46">
        <v>93454</v>
      </c>
      <c r="B336" s="65">
        <v>45922</v>
      </c>
      <c r="C336" s="16"/>
      <c r="D336" s="52">
        <v>2</v>
      </c>
      <c r="E336" s="52">
        <v>202</v>
      </c>
      <c r="F336" s="52">
        <v>202</v>
      </c>
      <c r="G336" s="52">
        <v>0</v>
      </c>
      <c r="H336" s="52">
        <v>0</v>
      </c>
      <c r="I336" s="60"/>
      <c r="J336" s="52"/>
      <c r="K336" s="60"/>
      <c r="L336" s="52"/>
      <c r="M336" s="52" t="s">
        <v>0</v>
      </c>
      <c r="N336" s="17" t="s">
        <v>102</v>
      </c>
      <c r="O336" s="51">
        <v>45922</v>
      </c>
      <c r="P336" s="47"/>
    </row>
    <row r="337" spans="1:16" x14ac:dyDescent="0.25">
      <c r="A337" s="46">
        <v>93456</v>
      </c>
      <c r="B337" s="65">
        <v>45943</v>
      </c>
      <c r="C337" s="16"/>
      <c r="D337" s="52">
        <v>2</v>
      </c>
      <c r="E337" s="52">
        <v>194</v>
      </c>
      <c r="F337" s="52">
        <v>194</v>
      </c>
      <c r="G337" s="52">
        <v>0</v>
      </c>
      <c r="H337" s="52">
        <v>0</v>
      </c>
      <c r="I337" s="60"/>
      <c r="J337" s="52"/>
      <c r="K337" s="60"/>
      <c r="L337" s="52"/>
      <c r="M337" s="52" t="s">
        <v>26</v>
      </c>
      <c r="N337" s="17" t="s">
        <v>102</v>
      </c>
      <c r="O337" s="51">
        <v>45943</v>
      </c>
      <c r="P337" s="47"/>
    </row>
    <row r="338" spans="1:16" x14ac:dyDescent="0.25">
      <c r="A338" s="46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46">
        <v>93460</v>
      </c>
      <c r="B339" s="51">
        <v>45777</v>
      </c>
      <c r="C339" s="16"/>
      <c r="D339" s="52">
        <v>2</v>
      </c>
      <c r="E339" s="52">
        <v>30</v>
      </c>
      <c r="F339" s="52">
        <v>30</v>
      </c>
      <c r="G339" s="52">
        <v>0</v>
      </c>
      <c r="H339" s="52">
        <v>0</v>
      </c>
      <c r="I339" s="60"/>
      <c r="J339" s="52"/>
      <c r="K339" s="60"/>
      <c r="L339" s="52"/>
      <c r="M339" s="52" t="s">
        <v>0</v>
      </c>
      <c r="N339" s="17" t="s">
        <v>20</v>
      </c>
      <c r="O339" s="51">
        <v>45777</v>
      </c>
      <c r="P339" s="47"/>
    </row>
    <row r="340" spans="1:16" x14ac:dyDescent="0.25">
      <c r="A340" s="46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46">
        <v>93464</v>
      </c>
      <c r="B341" s="51">
        <v>45848</v>
      </c>
      <c r="C341" s="16"/>
      <c r="D341" s="52">
        <v>2</v>
      </c>
      <c r="E341" s="52">
        <v>140</v>
      </c>
      <c r="F341" s="52">
        <v>140</v>
      </c>
      <c r="G341" s="52">
        <v>0</v>
      </c>
      <c r="H341" s="52">
        <v>0</v>
      </c>
      <c r="I341" s="60"/>
      <c r="J341" s="52"/>
      <c r="K341" s="60"/>
      <c r="L341" s="52"/>
      <c r="M341" s="52" t="s">
        <v>0</v>
      </c>
      <c r="N341" s="17" t="s">
        <v>20</v>
      </c>
      <c r="O341" s="51">
        <v>45848</v>
      </c>
      <c r="P341" s="47"/>
    </row>
  </sheetData>
  <sheetProtection autoFilter="0"/>
  <mergeCells count="1">
    <mergeCell ref="R2:U2"/>
  </mergeCells>
  <conditionalFormatting sqref="A2:A71">
    <cfRule type="expression" dxfId="142" priority="10" stopIfTrue="1">
      <formula>#REF!=1</formula>
    </cfRule>
    <cfRule type="expression" dxfId="141" priority="11" stopIfTrue="1">
      <formula>#REF!=2</formula>
    </cfRule>
  </conditionalFormatting>
  <conditionalFormatting sqref="A2:A169">
    <cfRule type="expression" dxfId="140" priority="7" stopIfTrue="1">
      <formula>#REF!="w"</formula>
    </cfRule>
  </conditionalFormatting>
  <conditionalFormatting sqref="A72:A169">
    <cfRule type="expression" dxfId="139" priority="8" stopIfTrue="1">
      <formula>#REF!=1</formula>
    </cfRule>
    <cfRule type="expression" dxfId="138" priority="9" stopIfTrue="1">
      <formula>#REF!=2</formula>
    </cfRule>
  </conditionalFormatting>
  <conditionalFormatting sqref="A171:A225">
    <cfRule type="expression" dxfId="137" priority="4" stopIfTrue="1">
      <formula>#REF!="w"</formula>
    </cfRule>
    <cfRule type="expression" dxfId="136" priority="5" stopIfTrue="1">
      <formula>#REF!=1</formula>
    </cfRule>
    <cfRule type="expression" dxfId="135" priority="6" stopIfTrue="1">
      <formula>#REF!=2</formula>
    </cfRule>
  </conditionalFormatting>
  <conditionalFormatting sqref="A227:A341">
    <cfRule type="expression" dxfId="134" priority="1" stopIfTrue="1">
      <formula>#REF!="w"</formula>
    </cfRule>
    <cfRule type="expression" dxfId="133" priority="2" stopIfTrue="1">
      <formula>#REF!=1</formula>
    </cfRule>
    <cfRule type="expression" dxfId="132" priority="3" stopIfTrue="1">
      <formula>#REF!=2</formula>
    </cfRule>
  </conditionalFormatting>
  <dataValidations count="2">
    <dataValidation type="whole" operator="greaterThanOrEqual" allowBlank="1" showInputMessage="1" showErrorMessage="1" sqref="A2:A341 D2:H341 J2:J341 L2:L341" xr:uid="{1C07E931-D881-48E2-A481-4D5AD9739263}">
      <formula1>0</formula1>
    </dataValidation>
    <dataValidation type="date" operator="greaterThanOrEqual" allowBlank="1" showInputMessage="1" showErrorMessage="1" sqref="B2:B341 I2:I341 K2:K341 O2:O341" xr:uid="{37E579BB-A0F3-4B19-B22A-271A7453C377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A29BA28-E5F0-4404-B5A8-B8E719F6E17C}">
          <x14:formula1>
            <xm:f>Inspected!$F$1</xm:f>
          </x14:formula1>
          <xm:sqref>C2:C341</xm:sqref>
        </x14:dataValidation>
        <x14:dataValidation type="list" allowBlank="1" showInputMessage="1" showErrorMessage="1" xr:uid="{C2EFE67B-9C83-4F57-931A-C9C993B5AA96}">
          <x14:formula1>
            <xm:f>Inspected!$A$1:$A$2</xm:f>
          </x14:formula1>
          <xm:sqref>M2:M185 M187:M341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04AB-5A1D-48F3-B820-C539F85EC88C}">
  <dimension ref="A1:U341"/>
  <sheetViews>
    <sheetView workbookViewId="0">
      <selection activeCell="P14" sqref="P14"/>
    </sheetView>
  </sheetViews>
  <sheetFormatPr defaultColWidth="16.42578125" defaultRowHeight="15" x14ac:dyDescent="0.25"/>
  <cols>
    <col min="1" max="1" width="9.7109375" style="1" customWidth="1"/>
    <col min="2" max="2" width="12.28515625" style="1" customWidth="1"/>
    <col min="3" max="3" width="12.7109375" style="1" customWidth="1"/>
    <col min="4" max="4" width="23.7109375" style="1" customWidth="1"/>
    <col min="5" max="5" width="12.5703125" style="1" customWidth="1"/>
    <col min="6" max="6" width="12.28515625" style="1" customWidth="1"/>
    <col min="7" max="7" width="14" style="1" customWidth="1"/>
    <col min="8" max="8" width="19" style="1" customWidth="1"/>
    <col min="9" max="9" width="16.42578125" style="61"/>
    <col min="10" max="10" width="11.28515625" style="1" customWidth="1"/>
    <col min="11" max="11" width="16.42578125" style="61"/>
    <col min="12" max="12" width="12" style="1" customWidth="1"/>
    <col min="13" max="14" width="16.42578125" style="1"/>
    <col min="15" max="15" width="28.5703125" style="1" customWidth="1"/>
    <col min="16" max="16" width="22.5703125" style="1" customWidth="1"/>
    <col min="17" max="16384" width="16.42578125" style="1"/>
  </cols>
  <sheetData>
    <row r="1" spans="1:21" ht="60.75" thickBot="1" x14ac:dyDescent="0.3">
      <c r="A1" s="54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5" t="s">
        <v>18</v>
      </c>
    </row>
    <row r="2" spans="1:21" ht="15" customHeight="1" x14ac:dyDescent="0.25">
      <c r="A2" s="55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55">
        <v>91003</v>
      </c>
      <c r="B3" s="51">
        <v>45866</v>
      </c>
      <c r="C3" s="16"/>
      <c r="D3" s="52">
        <v>2</v>
      </c>
      <c r="E3" s="52">
        <v>110</v>
      </c>
      <c r="F3" s="52">
        <v>110</v>
      </c>
      <c r="G3" s="52">
        <v>0</v>
      </c>
      <c r="H3" s="52">
        <v>0</v>
      </c>
      <c r="I3" s="60"/>
      <c r="J3" s="52"/>
      <c r="K3" s="60"/>
      <c r="L3" s="52"/>
      <c r="M3" s="52" t="s">
        <v>0</v>
      </c>
      <c r="N3" s="17" t="s">
        <v>20</v>
      </c>
      <c r="O3" s="51">
        <v>45866</v>
      </c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55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140</v>
      </c>
      <c r="U4" s="53">
        <f>T4/S4*100</f>
        <v>41.17647058823529</v>
      </c>
    </row>
    <row r="5" spans="1:21" ht="15" customHeight="1" x14ac:dyDescent="0.25">
      <c r="A5" s="55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55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55">
        <v>91011</v>
      </c>
      <c r="B7" s="65">
        <v>45923</v>
      </c>
      <c r="C7" s="16"/>
      <c r="D7" s="52">
        <v>2</v>
      </c>
      <c r="E7" s="52">
        <v>104</v>
      </c>
      <c r="F7" s="52">
        <v>104</v>
      </c>
      <c r="G7" s="52">
        <v>0</v>
      </c>
      <c r="H7" s="52">
        <v>0</v>
      </c>
      <c r="I7" s="60"/>
      <c r="J7" s="52"/>
      <c r="K7" s="60"/>
      <c r="L7" s="52"/>
      <c r="M7" s="52" t="s">
        <v>0</v>
      </c>
      <c r="N7" s="17" t="s">
        <v>104</v>
      </c>
      <c r="O7" s="51">
        <v>45923</v>
      </c>
      <c r="P7" s="47"/>
    </row>
    <row r="8" spans="1:21" ht="15" customHeight="1" x14ac:dyDescent="0.25">
      <c r="A8" s="55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55">
        <v>91015</v>
      </c>
      <c r="B9" s="51">
        <v>45809</v>
      </c>
      <c r="C9" s="16"/>
      <c r="D9" s="52">
        <v>2</v>
      </c>
      <c r="E9" s="52">
        <v>62</v>
      </c>
      <c r="F9" s="52">
        <v>62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25</v>
      </c>
      <c r="O9" s="51">
        <v>45809</v>
      </c>
      <c r="P9" s="47"/>
    </row>
    <row r="10" spans="1:21" ht="15" customHeight="1" x14ac:dyDescent="0.25">
      <c r="A10" s="55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55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55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55">
        <v>91023</v>
      </c>
      <c r="B13" s="51">
        <v>45784</v>
      </c>
      <c r="C13" s="16"/>
      <c r="D13" s="52">
        <v>2</v>
      </c>
      <c r="E13" s="52">
        <v>24</v>
      </c>
      <c r="F13" s="52">
        <v>24</v>
      </c>
      <c r="G13" s="52">
        <v>0</v>
      </c>
      <c r="H13" s="52">
        <v>0</v>
      </c>
      <c r="I13" s="60"/>
      <c r="J13" s="52"/>
      <c r="K13" s="60"/>
      <c r="L13" s="52"/>
      <c r="M13" s="52" t="s">
        <v>0</v>
      </c>
      <c r="N13" s="17" t="s">
        <v>20</v>
      </c>
      <c r="O13" s="51">
        <v>45784</v>
      </c>
      <c r="P13" s="47">
        <v>91023</v>
      </c>
    </row>
    <row r="14" spans="1:21" ht="15" customHeight="1" x14ac:dyDescent="0.25">
      <c r="A14" s="55">
        <v>91025</v>
      </c>
      <c r="B14" s="66">
        <v>45925</v>
      </c>
      <c r="C14" s="16"/>
      <c r="D14" s="52">
        <v>2</v>
      </c>
      <c r="E14" s="52">
        <v>150</v>
      </c>
      <c r="F14" s="52">
        <v>150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20</v>
      </c>
      <c r="O14" s="51">
        <v>45925</v>
      </c>
      <c r="P14" s="47"/>
    </row>
    <row r="15" spans="1:21" ht="15" customHeight="1" x14ac:dyDescent="0.25">
      <c r="A15" s="55">
        <v>91027</v>
      </c>
      <c r="B15" s="65">
        <v>45946</v>
      </c>
      <c r="C15" s="16"/>
      <c r="D15" s="52">
        <v>2</v>
      </c>
      <c r="E15" s="52">
        <v>154</v>
      </c>
      <c r="F15" s="52">
        <v>154</v>
      </c>
      <c r="G15" s="52">
        <v>0</v>
      </c>
      <c r="H15" s="52">
        <v>0</v>
      </c>
      <c r="I15" s="60"/>
      <c r="J15" s="52"/>
      <c r="K15" s="60"/>
      <c r="L15" s="52"/>
      <c r="M15" s="52" t="s">
        <v>0</v>
      </c>
      <c r="N15" s="17" t="s">
        <v>25</v>
      </c>
      <c r="O15" s="51">
        <v>45946</v>
      </c>
      <c r="P15" s="47"/>
    </row>
    <row r="16" spans="1:21" ht="15" customHeight="1" x14ac:dyDescent="0.25">
      <c r="A16" s="55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55">
        <v>91031</v>
      </c>
      <c r="B17" s="65">
        <v>45939</v>
      </c>
      <c r="C17" s="16"/>
      <c r="D17" s="52">
        <v>2</v>
      </c>
      <c r="E17" s="52">
        <v>112</v>
      </c>
      <c r="F17" s="52">
        <v>112</v>
      </c>
      <c r="G17" s="52">
        <v>0</v>
      </c>
      <c r="H17" s="52">
        <v>0</v>
      </c>
      <c r="I17" s="60"/>
      <c r="J17" s="52"/>
      <c r="K17" s="60"/>
      <c r="L17" s="52"/>
      <c r="M17" s="52" t="s">
        <v>0</v>
      </c>
      <c r="N17" s="17" t="s">
        <v>104</v>
      </c>
      <c r="O17" s="51">
        <v>45939</v>
      </c>
      <c r="P17" s="47"/>
    </row>
    <row r="18" spans="1:16" ht="15" customHeight="1" x14ac:dyDescent="0.25">
      <c r="A18" s="55">
        <v>91033</v>
      </c>
      <c r="B18" s="51">
        <v>45895</v>
      </c>
      <c r="C18" s="16"/>
      <c r="D18" s="52">
        <v>2</v>
      </c>
      <c r="E18" s="52">
        <v>52</v>
      </c>
      <c r="F18" s="52">
        <v>52</v>
      </c>
      <c r="G18" s="52">
        <v>0</v>
      </c>
      <c r="H18" s="52">
        <v>0</v>
      </c>
      <c r="I18" s="60"/>
      <c r="J18" s="52"/>
      <c r="K18" s="60"/>
      <c r="L18" s="52"/>
      <c r="M18" s="52" t="s">
        <v>0</v>
      </c>
      <c r="N18" s="17" t="s">
        <v>20</v>
      </c>
      <c r="O18" s="51">
        <v>45895</v>
      </c>
      <c r="P18" s="47"/>
    </row>
    <row r="19" spans="1:16" ht="15" customHeight="1" x14ac:dyDescent="0.25">
      <c r="A19" s="55">
        <v>91035</v>
      </c>
      <c r="B19" s="51">
        <v>45896</v>
      </c>
      <c r="C19" s="16"/>
      <c r="D19" s="52">
        <v>2</v>
      </c>
      <c r="E19" s="52">
        <v>100</v>
      </c>
      <c r="F19" s="52">
        <v>100</v>
      </c>
      <c r="G19" s="52">
        <v>0</v>
      </c>
      <c r="H19" s="52">
        <v>0</v>
      </c>
      <c r="I19" s="60"/>
      <c r="J19" s="52"/>
      <c r="K19" s="60"/>
      <c r="L19" s="52"/>
      <c r="M19" s="52" t="s">
        <v>0</v>
      </c>
      <c r="N19" s="17" t="s">
        <v>20</v>
      </c>
      <c r="O19" s="51">
        <v>45896</v>
      </c>
      <c r="P19" s="47"/>
    </row>
    <row r="20" spans="1:16" ht="15" customHeight="1" x14ac:dyDescent="0.25">
      <c r="A20" s="55">
        <v>91037</v>
      </c>
      <c r="B20" s="51">
        <v>45802</v>
      </c>
      <c r="C20" s="16"/>
      <c r="D20" s="52">
        <v>2</v>
      </c>
      <c r="E20" s="52">
        <v>220</v>
      </c>
      <c r="F20" s="52">
        <v>220</v>
      </c>
      <c r="G20" s="52">
        <v>0</v>
      </c>
      <c r="H20" s="52">
        <v>0</v>
      </c>
      <c r="I20" s="60"/>
      <c r="J20" s="52"/>
      <c r="K20" s="60"/>
      <c r="L20" s="52"/>
      <c r="M20" s="52" t="s">
        <v>0</v>
      </c>
      <c r="N20" s="17" t="s">
        <v>20</v>
      </c>
      <c r="O20" s="51">
        <v>45802</v>
      </c>
      <c r="P20" s="47"/>
    </row>
    <row r="21" spans="1:16" ht="15" customHeight="1" x14ac:dyDescent="0.25">
      <c r="A21" s="55">
        <v>91039</v>
      </c>
      <c r="B21" s="51">
        <v>45783</v>
      </c>
      <c r="C21" s="16"/>
      <c r="D21" s="52">
        <v>2</v>
      </c>
      <c r="E21" s="52">
        <v>22</v>
      </c>
      <c r="F21" s="52">
        <v>22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20</v>
      </c>
      <c r="O21" s="51">
        <v>45783</v>
      </c>
      <c r="P21" s="47"/>
    </row>
    <row r="22" spans="1:16" ht="15" customHeight="1" x14ac:dyDescent="0.25">
      <c r="A22" s="55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55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55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55">
        <v>91047</v>
      </c>
      <c r="B25" s="51">
        <v>45923</v>
      </c>
      <c r="C25" s="16"/>
      <c r="D25" s="52">
        <v>2</v>
      </c>
      <c r="E25" s="52">
        <v>110</v>
      </c>
      <c r="F25" s="52">
        <v>110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20</v>
      </c>
      <c r="O25" s="51">
        <v>45923</v>
      </c>
      <c r="P25" s="47"/>
    </row>
    <row r="26" spans="1:16" ht="15" customHeight="1" x14ac:dyDescent="0.25">
      <c r="A26" s="55">
        <v>91049</v>
      </c>
      <c r="B26" s="51">
        <v>45886</v>
      </c>
      <c r="C26" s="16"/>
      <c r="D26" s="52">
        <v>2</v>
      </c>
      <c r="E26" s="52">
        <v>160</v>
      </c>
      <c r="F26" s="52">
        <v>160</v>
      </c>
      <c r="G26" s="52">
        <v>0</v>
      </c>
      <c r="H26" s="52">
        <v>0</v>
      </c>
      <c r="I26" s="60"/>
      <c r="J26" s="52"/>
      <c r="K26" s="60"/>
      <c r="L26" s="52"/>
      <c r="M26" s="52" t="s">
        <v>0</v>
      </c>
      <c r="N26" s="17" t="s">
        <v>20</v>
      </c>
      <c r="O26" s="51">
        <v>45886</v>
      </c>
      <c r="P26" s="47"/>
    </row>
    <row r="27" spans="1:16" ht="15" customHeight="1" x14ac:dyDescent="0.25">
      <c r="A27" s="55">
        <v>91051</v>
      </c>
      <c r="B27" s="51">
        <v>45805</v>
      </c>
      <c r="C27" s="16"/>
      <c r="D27" s="52">
        <v>2</v>
      </c>
      <c r="E27" s="52">
        <v>40</v>
      </c>
      <c r="F27" s="52">
        <v>40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45805</v>
      </c>
      <c r="P27" s="47"/>
    </row>
    <row r="28" spans="1:16" ht="15" customHeight="1" x14ac:dyDescent="0.25">
      <c r="A28" s="55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55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55">
        <v>91057</v>
      </c>
      <c r="B30" s="65">
        <v>45938</v>
      </c>
      <c r="C30" s="16"/>
      <c r="D30" s="52">
        <v>2</v>
      </c>
      <c r="E30" s="52">
        <v>132</v>
      </c>
      <c r="F30" s="52">
        <v>132</v>
      </c>
      <c r="G30" s="52">
        <v>0</v>
      </c>
      <c r="H30" s="52">
        <v>0</v>
      </c>
      <c r="I30" s="60"/>
      <c r="J30" s="52"/>
      <c r="K30" s="60"/>
      <c r="L30" s="52"/>
      <c r="M30" s="52" t="s">
        <v>0</v>
      </c>
      <c r="N30" s="17" t="s">
        <v>104</v>
      </c>
      <c r="O30" s="51">
        <v>45938</v>
      </c>
      <c r="P30" s="47"/>
    </row>
    <row r="31" spans="1:16" ht="15" customHeight="1" x14ac:dyDescent="0.25">
      <c r="A31" s="55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55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55">
        <v>91063</v>
      </c>
      <c r="B33" s="51">
        <v>45832</v>
      </c>
      <c r="C33" s="16"/>
      <c r="D33" s="52">
        <v>2</v>
      </c>
      <c r="E33" s="52">
        <v>20</v>
      </c>
      <c r="F33" s="52">
        <v>20</v>
      </c>
      <c r="G33" s="52">
        <v>0</v>
      </c>
      <c r="H33" s="52">
        <v>0</v>
      </c>
      <c r="I33" s="60"/>
      <c r="J33" s="52"/>
      <c r="K33" s="60"/>
      <c r="L33" s="52"/>
      <c r="M33" s="52" t="s">
        <v>0</v>
      </c>
      <c r="N33" s="17" t="s">
        <v>20</v>
      </c>
      <c r="O33" s="51">
        <v>45832</v>
      </c>
      <c r="P33" s="47"/>
    </row>
    <row r="34" spans="1:16" ht="15" customHeight="1" x14ac:dyDescent="0.25">
      <c r="A34" s="55">
        <v>91065</v>
      </c>
      <c r="B34" s="51">
        <v>45845</v>
      </c>
      <c r="C34" s="16"/>
      <c r="D34" s="52">
        <v>2</v>
      </c>
      <c r="E34" s="52">
        <v>104</v>
      </c>
      <c r="F34" s="52">
        <v>104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25</v>
      </c>
      <c r="O34" s="51">
        <v>45845</v>
      </c>
      <c r="P34" s="47"/>
    </row>
    <row r="35" spans="1:16" ht="15" customHeight="1" x14ac:dyDescent="0.25">
      <c r="A35" s="55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x14ac:dyDescent="0.25">
      <c r="A36" s="55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55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55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55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55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55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55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55">
        <v>91083</v>
      </c>
      <c r="B43" s="51">
        <v>45846</v>
      </c>
      <c r="C43" s="16"/>
      <c r="D43" s="52">
        <v>2</v>
      </c>
      <c r="E43" s="52">
        <v>202</v>
      </c>
      <c r="F43" s="52">
        <v>202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25</v>
      </c>
      <c r="O43" s="51">
        <v>45846</v>
      </c>
      <c r="P43" s="47"/>
    </row>
    <row r="44" spans="1:16" ht="15" customHeight="1" x14ac:dyDescent="0.25">
      <c r="A44" s="55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55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55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55">
        <v>91091</v>
      </c>
      <c r="B47" s="51">
        <v>45873</v>
      </c>
      <c r="C47" s="16"/>
      <c r="D47" s="52">
        <v>2</v>
      </c>
      <c r="E47" s="52">
        <v>42</v>
      </c>
      <c r="F47" s="52">
        <v>42</v>
      </c>
      <c r="G47" s="52">
        <v>0</v>
      </c>
      <c r="H47" s="52">
        <v>0</v>
      </c>
      <c r="I47" s="60"/>
      <c r="J47" s="52"/>
      <c r="K47" s="60"/>
      <c r="L47" s="52"/>
      <c r="M47" s="52" t="s">
        <v>0</v>
      </c>
      <c r="N47" s="17" t="s">
        <v>20</v>
      </c>
      <c r="O47" s="51">
        <v>45873</v>
      </c>
      <c r="P47" s="47"/>
    </row>
    <row r="48" spans="1:16" ht="15" customHeight="1" x14ac:dyDescent="0.25">
      <c r="A48" s="55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55">
        <v>91095</v>
      </c>
      <c r="B49" s="51">
        <v>45854</v>
      </c>
      <c r="C49" s="16"/>
      <c r="D49" s="52">
        <v>2</v>
      </c>
      <c r="E49" s="52">
        <v>175</v>
      </c>
      <c r="F49" s="52">
        <v>175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45854</v>
      </c>
      <c r="P49" s="47"/>
    </row>
    <row r="50" spans="1:16" ht="15" customHeight="1" x14ac:dyDescent="0.25">
      <c r="A50" s="55">
        <v>91097</v>
      </c>
      <c r="B50" s="51">
        <v>45831</v>
      </c>
      <c r="C50" s="16"/>
      <c r="D50" s="52">
        <v>2</v>
      </c>
      <c r="E50" s="52">
        <v>50</v>
      </c>
      <c r="F50" s="52">
        <v>50</v>
      </c>
      <c r="G50" s="52">
        <v>0</v>
      </c>
      <c r="H50" s="52">
        <v>0</v>
      </c>
      <c r="I50" s="60"/>
      <c r="J50" s="52"/>
      <c r="K50" s="60"/>
      <c r="L50" s="52"/>
      <c r="M50" s="52" t="s">
        <v>0</v>
      </c>
      <c r="N50" s="17" t="s">
        <v>27</v>
      </c>
      <c r="O50" s="51">
        <v>45831</v>
      </c>
      <c r="P50" s="47"/>
    </row>
    <row r="51" spans="1:16" ht="15" customHeight="1" x14ac:dyDescent="0.25">
      <c r="A51" s="55">
        <v>91099</v>
      </c>
      <c r="B51" s="51">
        <v>45861</v>
      </c>
      <c r="C51" s="16"/>
      <c r="D51" s="52">
        <v>2</v>
      </c>
      <c r="E51" s="52">
        <v>169</v>
      </c>
      <c r="F51" s="52">
        <v>169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20</v>
      </c>
      <c r="O51" s="51">
        <v>45861</v>
      </c>
      <c r="P51" s="47"/>
    </row>
    <row r="52" spans="1:16" ht="15" customHeight="1" x14ac:dyDescent="0.25">
      <c r="A52" s="55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55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55">
        <v>91105</v>
      </c>
      <c r="B54" s="65">
        <v>45936</v>
      </c>
      <c r="C54" s="16"/>
      <c r="D54" s="52">
        <v>2</v>
      </c>
      <c r="E54" s="52">
        <v>140</v>
      </c>
      <c r="F54" s="52">
        <v>140</v>
      </c>
      <c r="G54" s="52">
        <v>0</v>
      </c>
      <c r="H54" s="52">
        <v>0</v>
      </c>
      <c r="I54" s="60"/>
      <c r="J54" s="52"/>
      <c r="K54" s="60"/>
      <c r="L54" s="52"/>
      <c r="M54" s="52" t="s">
        <v>0</v>
      </c>
      <c r="N54" s="17" t="s">
        <v>20</v>
      </c>
      <c r="O54" s="51">
        <v>45936</v>
      </c>
      <c r="P54" s="47"/>
    </row>
    <row r="55" spans="1:16" ht="15" customHeight="1" x14ac:dyDescent="0.25">
      <c r="A55" s="55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55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55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55">
        <v>91113</v>
      </c>
      <c r="B58" s="51">
        <v>45811</v>
      </c>
      <c r="C58" s="16"/>
      <c r="D58" s="52">
        <v>2</v>
      </c>
      <c r="E58" s="52">
        <v>25</v>
      </c>
      <c r="F58" s="52">
        <v>25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27</v>
      </c>
      <c r="O58" s="51">
        <v>45811</v>
      </c>
      <c r="P58" s="47"/>
    </row>
    <row r="59" spans="1:16" ht="15" customHeight="1" x14ac:dyDescent="0.25">
      <c r="A59" s="55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55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55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55">
        <v>91121</v>
      </c>
      <c r="B62" s="51">
        <v>45852</v>
      </c>
      <c r="C62" s="16"/>
      <c r="D62" s="52">
        <v>2</v>
      </c>
      <c r="E62" s="52">
        <v>170</v>
      </c>
      <c r="F62" s="52">
        <v>170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25</v>
      </c>
      <c r="O62" s="51">
        <v>45852</v>
      </c>
      <c r="P62" s="47"/>
    </row>
    <row r="63" spans="1:16" ht="15" customHeight="1" x14ac:dyDescent="0.25">
      <c r="A63" s="55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55">
        <v>91125</v>
      </c>
      <c r="B64" s="51">
        <v>45830</v>
      </c>
      <c r="C64" s="16"/>
      <c r="D64" s="52">
        <v>2</v>
      </c>
      <c r="E64" s="52">
        <v>130</v>
      </c>
      <c r="F64" s="52">
        <v>130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104</v>
      </c>
      <c r="O64" s="51">
        <v>45830</v>
      </c>
      <c r="P64" s="47"/>
    </row>
    <row r="65" spans="1:16" ht="15" customHeight="1" x14ac:dyDescent="0.25">
      <c r="A65" s="55">
        <v>91127</v>
      </c>
      <c r="B65" s="51">
        <v>45886</v>
      </c>
      <c r="C65" s="16"/>
      <c r="D65" s="52">
        <v>2</v>
      </c>
      <c r="E65" s="52">
        <v>64</v>
      </c>
      <c r="F65" s="52">
        <v>64</v>
      </c>
      <c r="G65" s="52">
        <v>0</v>
      </c>
      <c r="H65" s="52">
        <v>0</v>
      </c>
      <c r="I65" s="60"/>
      <c r="J65" s="52"/>
      <c r="K65" s="60"/>
      <c r="L65" s="52"/>
      <c r="M65" s="52" t="s">
        <v>0</v>
      </c>
      <c r="N65" s="17" t="s">
        <v>20</v>
      </c>
      <c r="O65" s="51">
        <v>45886</v>
      </c>
      <c r="P65" s="47"/>
    </row>
    <row r="66" spans="1:16" ht="15" customHeight="1" x14ac:dyDescent="0.25">
      <c r="A66" s="55">
        <v>91129</v>
      </c>
      <c r="B66" s="51">
        <v>45830</v>
      </c>
      <c r="C66" s="16"/>
      <c r="D66" s="52">
        <v>2</v>
      </c>
      <c r="E66" s="52">
        <v>130</v>
      </c>
      <c r="F66" s="52">
        <v>130</v>
      </c>
      <c r="G66" s="52">
        <v>0</v>
      </c>
      <c r="H66" s="52">
        <v>0</v>
      </c>
      <c r="I66" s="60"/>
      <c r="J66" s="52"/>
      <c r="K66" s="60"/>
      <c r="L66" s="52"/>
      <c r="M66" s="52" t="s">
        <v>0</v>
      </c>
      <c r="N66" s="17" t="s">
        <v>104</v>
      </c>
      <c r="O66" s="51">
        <v>45830</v>
      </c>
      <c r="P66" s="47"/>
    </row>
    <row r="67" spans="1:16" ht="15" customHeight="1" x14ac:dyDescent="0.25">
      <c r="A67" s="55">
        <v>91131</v>
      </c>
      <c r="B67" s="51">
        <v>45811</v>
      </c>
      <c r="C67" s="16"/>
      <c r="D67" s="52">
        <v>2</v>
      </c>
      <c r="E67" s="52">
        <v>100</v>
      </c>
      <c r="F67" s="52">
        <v>100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27</v>
      </c>
      <c r="O67" s="51">
        <v>45811</v>
      </c>
      <c r="P67" s="47"/>
    </row>
    <row r="68" spans="1:16" x14ac:dyDescent="0.25">
      <c r="A68" s="55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55">
        <v>91135</v>
      </c>
      <c r="B69" s="65">
        <v>45930</v>
      </c>
      <c r="C69" s="16"/>
      <c r="D69" s="52">
        <v>2</v>
      </c>
      <c r="E69" s="52">
        <v>214</v>
      </c>
      <c r="F69" s="52">
        <v>214</v>
      </c>
      <c r="G69" s="52">
        <v>0</v>
      </c>
      <c r="H69" s="52">
        <v>0</v>
      </c>
      <c r="I69" s="60"/>
      <c r="J69" s="52"/>
      <c r="K69" s="60"/>
      <c r="L69" s="52"/>
      <c r="M69" s="52" t="s">
        <v>0</v>
      </c>
      <c r="N69" s="17" t="s">
        <v>104</v>
      </c>
      <c r="O69" s="51">
        <v>45930</v>
      </c>
      <c r="P69" s="47"/>
    </row>
    <row r="70" spans="1:16" x14ac:dyDescent="0.25">
      <c r="A70" s="55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25</v>
      </c>
      <c r="O70" s="51">
        <v>45910</v>
      </c>
      <c r="P70" s="47"/>
    </row>
    <row r="71" spans="1:16" x14ac:dyDescent="0.25">
      <c r="A71" s="55">
        <v>91139</v>
      </c>
      <c r="B71" s="51">
        <v>45844</v>
      </c>
      <c r="C71" s="16"/>
      <c r="D71" s="52">
        <v>2</v>
      </c>
      <c r="E71" s="52">
        <v>180</v>
      </c>
      <c r="F71" s="52">
        <v>180</v>
      </c>
      <c r="G71" s="52">
        <v>0</v>
      </c>
      <c r="H71" s="52">
        <v>0</v>
      </c>
      <c r="I71" s="60"/>
      <c r="J71" s="52"/>
      <c r="K71" s="60"/>
      <c r="L71" s="52"/>
      <c r="M71" s="52" t="s">
        <v>0</v>
      </c>
      <c r="N71" s="17" t="s">
        <v>25</v>
      </c>
      <c r="O71" s="51">
        <v>45844</v>
      </c>
      <c r="P71" s="47"/>
    </row>
    <row r="72" spans="1:16" x14ac:dyDescent="0.25">
      <c r="A72" s="55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55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55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55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55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55">
        <v>91151</v>
      </c>
      <c r="B77" s="65">
        <v>45929</v>
      </c>
      <c r="C77" s="16"/>
      <c r="D77" s="52">
        <v>1</v>
      </c>
      <c r="E77" s="52">
        <v>38</v>
      </c>
      <c r="F77" s="52">
        <v>38</v>
      </c>
      <c r="G77" s="52">
        <v>0</v>
      </c>
      <c r="H77" s="52">
        <v>0</v>
      </c>
      <c r="I77" s="60"/>
      <c r="J77" s="52"/>
      <c r="K77" s="60"/>
      <c r="L77" s="52"/>
      <c r="M77" s="52" t="s">
        <v>0</v>
      </c>
      <c r="N77" s="17" t="s">
        <v>20</v>
      </c>
      <c r="O77" s="51">
        <v>45929</v>
      </c>
      <c r="P77" s="47"/>
    </row>
    <row r="78" spans="1:16" x14ac:dyDescent="0.25">
      <c r="A78" s="55">
        <v>91153</v>
      </c>
      <c r="B78" s="51">
        <v>45889</v>
      </c>
      <c r="C78" s="16"/>
      <c r="D78" s="52">
        <v>2</v>
      </c>
      <c r="E78" s="52">
        <v>150</v>
      </c>
      <c r="F78" s="52">
        <v>150</v>
      </c>
      <c r="G78" s="52">
        <v>0</v>
      </c>
      <c r="H78" s="52">
        <v>0</v>
      </c>
      <c r="I78" s="60"/>
      <c r="J78" s="52"/>
      <c r="K78" s="60"/>
      <c r="L78" s="52"/>
      <c r="M78" s="52" t="s">
        <v>0</v>
      </c>
      <c r="N78" s="17" t="s">
        <v>25</v>
      </c>
      <c r="O78" s="51">
        <v>45889</v>
      </c>
      <c r="P78" s="47"/>
    </row>
    <row r="79" spans="1:16" x14ac:dyDescent="0.25">
      <c r="A79" s="55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55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55">
        <v>91159</v>
      </c>
      <c r="B81" s="51">
        <v>45887</v>
      </c>
      <c r="C81" s="16"/>
      <c r="D81" s="52">
        <v>2</v>
      </c>
      <c r="E81" s="52">
        <v>150</v>
      </c>
      <c r="F81" s="52">
        <v>150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20</v>
      </c>
      <c r="O81" s="51">
        <v>45887</v>
      </c>
      <c r="P81" s="47"/>
    </row>
    <row r="82" spans="1:16" x14ac:dyDescent="0.25">
      <c r="A82" s="55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55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55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55">
        <v>91167</v>
      </c>
      <c r="B85" s="51">
        <v>45873</v>
      </c>
      <c r="C85" s="16"/>
      <c r="D85" s="52">
        <v>2</v>
      </c>
      <c r="E85" s="52">
        <v>53</v>
      </c>
      <c r="F85" s="52">
        <v>53</v>
      </c>
      <c r="G85" s="52">
        <v>0</v>
      </c>
      <c r="H85" s="52">
        <v>0</v>
      </c>
      <c r="I85" s="60"/>
      <c r="J85" s="52"/>
      <c r="K85" s="60"/>
      <c r="L85" s="52"/>
      <c r="M85" s="52" t="s">
        <v>0</v>
      </c>
      <c r="N85" s="17" t="s">
        <v>20</v>
      </c>
      <c r="O85" s="51">
        <v>45873</v>
      </c>
      <c r="P85" s="47"/>
    </row>
    <row r="86" spans="1:16" x14ac:dyDescent="0.25">
      <c r="A86" s="55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55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55">
        <v>91173</v>
      </c>
      <c r="B88" s="51">
        <v>45799</v>
      </c>
      <c r="C88" s="16"/>
      <c r="D88" s="52">
        <v>2</v>
      </c>
      <c r="E88" s="52">
        <v>200</v>
      </c>
      <c r="F88" s="52">
        <v>200</v>
      </c>
      <c r="G88" s="52">
        <v>0</v>
      </c>
      <c r="H88" s="52">
        <v>0</v>
      </c>
      <c r="I88" s="60"/>
      <c r="J88" s="52"/>
      <c r="K88" s="60"/>
      <c r="L88" s="52"/>
      <c r="M88" s="52" t="s">
        <v>0</v>
      </c>
      <c r="N88" s="17" t="s">
        <v>103</v>
      </c>
      <c r="O88" s="51">
        <v>45799</v>
      </c>
      <c r="P88" s="47"/>
    </row>
    <row r="89" spans="1:16" x14ac:dyDescent="0.25">
      <c r="A89" s="55">
        <v>91175</v>
      </c>
      <c r="B89" s="51">
        <v>45792</v>
      </c>
      <c r="C89" s="16"/>
      <c r="D89" s="52">
        <v>2</v>
      </c>
      <c r="E89" s="52">
        <v>120</v>
      </c>
      <c r="F89" s="52">
        <v>120</v>
      </c>
      <c r="G89" s="52">
        <v>0</v>
      </c>
      <c r="H89" s="52">
        <v>0</v>
      </c>
      <c r="I89" s="60"/>
      <c r="J89" s="52"/>
      <c r="K89" s="60"/>
      <c r="L89" s="52"/>
      <c r="M89" s="52" t="s">
        <v>0</v>
      </c>
      <c r="N89" s="17" t="s">
        <v>105</v>
      </c>
      <c r="O89" s="51">
        <v>45792</v>
      </c>
      <c r="P89" s="47"/>
    </row>
    <row r="90" spans="1:16" x14ac:dyDescent="0.25">
      <c r="A90" s="55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55">
        <v>91179</v>
      </c>
      <c r="B91" s="51">
        <v>45819</v>
      </c>
      <c r="C91" s="16"/>
      <c r="D91" s="52">
        <v>2</v>
      </c>
      <c r="E91" s="52">
        <v>206</v>
      </c>
      <c r="F91" s="52">
        <v>206</v>
      </c>
      <c r="G91" s="52">
        <v>0</v>
      </c>
      <c r="H91" s="52">
        <v>0</v>
      </c>
      <c r="I91" s="60"/>
      <c r="J91" s="52"/>
      <c r="K91" s="60"/>
      <c r="L91" s="52"/>
      <c r="M91" s="52" t="s">
        <v>0</v>
      </c>
      <c r="N91" s="17" t="s">
        <v>104</v>
      </c>
      <c r="O91" s="51">
        <v>45819</v>
      </c>
      <c r="P91" s="47"/>
    </row>
    <row r="92" spans="1:16" x14ac:dyDescent="0.25">
      <c r="A92" s="55">
        <v>91181</v>
      </c>
      <c r="B92" s="51">
        <v>45894</v>
      </c>
      <c r="C92" s="16"/>
      <c r="D92" s="52">
        <v>2</v>
      </c>
      <c r="E92" s="52">
        <v>144</v>
      </c>
      <c r="F92" s="52">
        <v>144</v>
      </c>
      <c r="G92" s="52">
        <v>0</v>
      </c>
      <c r="H92" s="52">
        <v>0</v>
      </c>
      <c r="I92" s="60"/>
      <c r="J92" s="52"/>
      <c r="K92" s="60"/>
      <c r="L92" s="52"/>
      <c r="M92" s="52" t="s">
        <v>0</v>
      </c>
      <c r="N92" s="17" t="s">
        <v>25</v>
      </c>
      <c r="O92" s="51">
        <v>45894</v>
      </c>
      <c r="P92" s="47"/>
    </row>
    <row r="93" spans="1:16" x14ac:dyDescent="0.25">
      <c r="A93" s="55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55">
        <v>91185</v>
      </c>
      <c r="B94" s="51">
        <v>45842</v>
      </c>
      <c r="C94" s="16"/>
      <c r="D94" s="52">
        <v>2</v>
      </c>
      <c r="E94" s="52">
        <v>168</v>
      </c>
      <c r="F94" s="52">
        <v>168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45842</v>
      </c>
      <c r="P94" s="47"/>
    </row>
    <row r="95" spans="1:16" x14ac:dyDescent="0.25">
      <c r="A95" s="55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55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55">
        <v>91191</v>
      </c>
      <c r="B97" s="68">
        <v>45950</v>
      </c>
      <c r="C97" s="16"/>
      <c r="D97" s="52">
        <v>2</v>
      </c>
      <c r="E97" s="52">
        <v>131</v>
      </c>
      <c r="F97" s="52">
        <v>131</v>
      </c>
      <c r="G97" s="52">
        <v>0</v>
      </c>
      <c r="H97" s="52">
        <v>0</v>
      </c>
      <c r="I97" s="60"/>
      <c r="J97" s="52"/>
      <c r="K97" s="60"/>
      <c r="L97" s="52"/>
      <c r="M97" s="52" t="s">
        <v>0</v>
      </c>
      <c r="N97" s="17" t="s">
        <v>25</v>
      </c>
      <c r="O97" s="51">
        <v>45950</v>
      </c>
      <c r="P97" s="47"/>
    </row>
    <row r="98" spans="1:16" x14ac:dyDescent="0.25">
      <c r="A98" s="46">
        <v>91193</v>
      </c>
      <c r="B98" s="65">
        <v>45922</v>
      </c>
      <c r="C98" s="16"/>
      <c r="D98" s="52">
        <v>2</v>
      </c>
      <c r="E98" s="52">
        <v>193</v>
      </c>
      <c r="F98" s="52">
        <v>193</v>
      </c>
      <c r="G98" s="52">
        <v>0</v>
      </c>
      <c r="H98" s="52">
        <v>0</v>
      </c>
      <c r="I98" s="60"/>
      <c r="J98" s="52"/>
      <c r="K98" s="60"/>
      <c r="L98" s="52"/>
      <c r="M98" s="52" t="s">
        <v>0</v>
      </c>
      <c r="N98" s="17" t="s">
        <v>25</v>
      </c>
      <c r="O98" s="51">
        <v>45922</v>
      </c>
      <c r="P98" s="47"/>
    </row>
    <row r="99" spans="1:16" x14ac:dyDescent="0.25">
      <c r="A99" s="46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6">
        <v>91197</v>
      </c>
      <c r="B100" s="51">
        <v>45819</v>
      </c>
      <c r="C100" s="16"/>
      <c r="D100" s="52">
        <v>2</v>
      </c>
      <c r="E100" s="52">
        <v>180</v>
      </c>
      <c r="F100" s="52">
        <v>180</v>
      </c>
      <c r="G100" s="52">
        <v>0</v>
      </c>
      <c r="H100" s="52">
        <v>0</v>
      </c>
      <c r="I100" s="60"/>
      <c r="J100" s="52"/>
      <c r="K100" s="60"/>
      <c r="L100" s="52"/>
      <c r="M100" s="52" t="s">
        <v>0</v>
      </c>
      <c r="N100" s="17" t="s">
        <v>27</v>
      </c>
      <c r="O100" s="51">
        <v>45819</v>
      </c>
      <c r="P100" s="47"/>
    </row>
    <row r="101" spans="1:16" x14ac:dyDescent="0.25">
      <c r="A101" s="46">
        <v>91199</v>
      </c>
      <c r="B101" s="51">
        <v>45825</v>
      </c>
      <c r="C101" s="16"/>
      <c r="D101" s="52">
        <v>1</v>
      </c>
      <c r="E101" s="52">
        <v>80</v>
      </c>
      <c r="F101" s="52">
        <v>80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27</v>
      </c>
      <c r="O101" s="51">
        <v>45825</v>
      </c>
      <c r="P101" s="47"/>
    </row>
    <row r="102" spans="1:16" x14ac:dyDescent="0.25">
      <c r="A102" s="46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6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6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6">
        <v>91207</v>
      </c>
      <c r="B105" s="51">
        <v>45888</v>
      </c>
      <c r="C105" s="16"/>
      <c r="D105" s="52">
        <v>2</v>
      </c>
      <c r="E105" s="52">
        <v>168</v>
      </c>
      <c r="F105" s="52">
        <v>168</v>
      </c>
      <c r="G105" s="52">
        <v>0</v>
      </c>
      <c r="H105" s="52">
        <v>0</v>
      </c>
      <c r="I105" s="60"/>
      <c r="J105" s="52"/>
      <c r="K105" s="60"/>
      <c r="L105" s="52"/>
      <c r="M105" s="52" t="s">
        <v>0</v>
      </c>
      <c r="N105" s="17" t="s">
        <v>25</v>
      </c>
      <c r="O105" s="51">
        <v>45888</v>
      </c>
      <c r="P105" s="47"/>
    </row>
    <row r="106" spans="1:16" x14ac:dyDescent="0.25">
      <c r="A106" s="55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46">
        <v>91211</v>
      </c>
      <c r="B107" s="51">
        <v>45803</v>
      </c>
      <c r="C107" s="16"/>
      <c r="D107" s="52">
        <v>2</v>
      </c>
      <c r="E107" s="52">
        <v>60</v>
      </c>
      <c r="F107" s="52">
        <v>60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25</v>
      </c>
      <c r="O107" s="51">
        <v>45803</v>
      </c>
      <c r="P107" s="47"/>
    </row>
    <row r="108" spans="1:16" x14ac:dyDescent="0.25">
      <c r="A108" s="46">
        <v>91213</v>
      </c>
      <c r="B108" s="51">
        <v>45907</v>
      </c>
      <c r="C108" s="16"/>
      <c r="D108" s="52">
        <v>2</v>
      </c>
      <c r="E108" s="52">
        <v>75</v>
      </c>
      <c r="F108" s="52">
        <v>75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104</v>
      </c>
      <c r="O108" s="51">
        <v>45907</v>
      </c>
      <c r="P108" s="47"/>
    </row>
    <row r="109" spans="1:16" x14ac:dyDescent="0.25">
      <c r="A109" s="46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6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6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6">
        <v>91221</v>
      </c>
      <c r="B112" s="51">
        <v>45852</v>
      </c>
      <c r="C112" s="16"/>
      <c r="D112" s="52">
        <v>2</v>
      </c>
      <c r="E112" s="52">
        <v>190</v>
      </c>
      <c r="F112" s="52">
        <v>190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45852</v>
      </c>
      <c r="P112" s="47"/>
    </row>
    <row r="113" spans="1:16" x14ac:dyDescent="0.25">
      <c r="A113" s="46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6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6">
        <v>91227</v>
      </c>
      <c r="B115" s="51">
        <v>45909</v>
      </c>
      <c r="C115" s="16"/>
      <c r="D115" s="52">
        <v>2</v>
      </c>
      <c r="E115" s="52">
        <v>79</v>
      </c>
      <c r="F115" s="52">
        <v>79</v>
      </c>
      <c r="G115" s="52">
        <v>0</v>
      </c>
      <c r="H115" s="52">
        <v>0</v>
      </c>
      <c r="I115" s="60"/>
      <c r="J115" s="52"/>
      <c r="K115" s="60"/>
      <c r="L115" s="52"/>
      <c r="M115" s="52" t="s">
        <v>0</v>
      </c>
      <c r="N115" s="17" t="s">
        <v>20</v>
      </c>
      <c r="O115" s="51">
        <v>45909</v>
      </c>
      <c r="P115" s="47"/>
    </row>
    <row r="116" spans="1:16" x14ac:dyDescent="0.25">
      <c r="A116" s="46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6">
        <v>91231</v>
      </c>
      <c r="B117" s="51">
        <v>45872</v>
      </c>
      <c r="C117" s="16"/>
      <c r="D117" s="52">
        <v>1</v>
      </c>
      <c r="E117" s="52">
        <v>50</v>
      </c>
      <c r="F117" s="52">
        <v>5</v>
      </c>
      <c r="G117" s="52">
        <v>0</v>
      </c>
      <c r="H117" s="52">
        <v>0</v>
      </c>
      <c r="I117" s="60"/>
      <c r="J117" s="52"/>
      <c r="K117" s="60"/>
      <c r="L117" s="52"/>
      <c r="M117" s="52" t="s">
        <v>0</v>
      </c>
      <c r="N117" s="17" t="s">
        <v>20</v>
      </c>
      <c r="O117" s="51">
        <v>45872</v>
      </c>
      <c r="P117" s="47"/>
    </row>
    <row r="118" spans="1:16" x14ac:dyDescent="0.25">
      <c r="A118" s="46">
        <v>91233</v>
      </c>
      <c r="B118" s="65">
        <v>45938</v>
      </c>
      <c r="C118" s="16"/>
      <c r="D118" s="52">
        <v>2</v>
      </c>
      <c r="E118" s="52">
        <v>117</v>
      </c>
      <c r="F118" s="52">
        <v>117</v>
      </c>
      <c r="G118" s="52">
        <v>0</v>
      </c>
      <c r="H118" s="52">
        <v>0</v>
      </c>
      <c r="I118" s="60"/>
      <c r="J118" s="52"/>
      <c r="K118" s="60"/>
      <c r="L118" s="52"/>
      <c r="M118" s="52" t="s">
        <v>0</v>
      </c>
      <c r="N118" s="17" t="s">
        <v>104</v>
      </c>
      <c r="O118" s="51">
        <v>45938</v>
      </c>
      <c r="P118" s="47"/>
    </row>
    <row r="119" spans="1:16" x14ac:dyDescent="0.25">
      <c r="A119" s="46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6">
        <v>91237</v>
      </c>
      <c r="B120" s="51">
        <v>45866</v>
      </c>
      <c r="C120" s="16"/>
      <c r="D120" s="52">
        <v>2</v>
      </c>
      <c r="E120" s="52">
        <v>136</v>
      </c>
      <c r="F120" s="52">
        <v>136</v>
      </c>
      <c r="G120" s="52">
        <v>0</v>
      </c>
      <c r="H120" s="52">
        <v>0</v>
      </c>
      <c r="I120" s="60"/>
      <c r="J120" s="52"/>
      <c r="K120" s="60"/>
      <c r="L120" s="52"/>
      <c r="M120" s="52" t="s">
        <v>0</v>
      </c>
      <c r="N120" s="17" t="s">
        <v>20</v>
      </c>
      <c r="O120" s="51">
        <v>45866</v>
      </c>
      <c r="P120" s="47"/>
    </row>
    <row r="121" spans="1:16" x14ac:dyDescent="0.25">
      <c r="A121" s="46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6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6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6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6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6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6">
        <v>91251</v>
      </c>
      <c r="B127" s="51">
        <v>45893</v>
      </c>
      <c r="C127" s="16"/>
      <c r="D127" s="52">
        <v>2</v>
      </c>
      <c r="E127" s="52">
        <v>104</v>
      </c>
      <c r="F127" s="52">
        <v>104</v>
      </c>
      <c r="G127" s="52">
        <v>0</v>
      </c>
      <c r="H127" s="52">
        <v>0</v>
      </c>
      <c r="I127" s="60"/>
      <c r="J127" s="52"/>
      <c r="K127" s="60"/>
      <c r="L127" s="52"/>
      <c r="M127" s="52" t="s">
        <v>0</v>
      </c>
      <c r="N127" s="17" t="s">
        <v>20</v>
      </c>
      <c r="O127" s="51">
        <v>45893</v>
      </c>
      <c r="P127" s="47"/>
    </row>
    <row r="128" spans="1:16" x14ac:dyDescent="0.25">
      <c r="A128" s="46">
        <v>91253</v>
      </c>
      <c r="B128" s="51">
        <v>45833</v>
      </c>
      <c r="C128" s="16"/>
      <c r="D128" s="52">
        <v>0</v>
      </c>
      <c r="E128" s="52">
        <v>66</v>
      </c>
      <c r="F128" s="52">
        <v>66</v>
      </c>
      <c r="G128" s="52">
        <v>0</v>
      </c>
      <c r="H128" s="52">
        <v>0</v>
      </c>
      <c r="I128" s="60"/>
      <c r="J128" s="52"/>
      <c r="K128" s="60"/>
      <c r="L128" s="52"/>
      <c r="M128" s="52" t="s">
        <v>0</v>
      </c>
      <c r="N128" s="17" t="s">
        <v>20</v>
      </c>
      <c r="O128" s="51">
        <v>45833</v>
      </c>
      <c r="P128" s="47"/>
    </row>
    <row r="129" spans="1:16" x14ac:dyDescent="0.25">
      <c r="A129" s="55">
        <v>91255</v>
      </c>
      <c r="B129" s="51">
        <v>45831</v>
      </c>
      <c r="C129" s="16"/>
      <c r="D129" s="52">
        <v>2</v>
      </c>
      <c r="E129" s="52">
        <v>100</v>
      </c>
      <c r="F129" s="52">
        <v>100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27</v>
      </c>
      <c r="O129" s="51">
        <v>45831</v>
      </c>
      <c r="P129" s="47"/>
    </row>
    <row r="130" spans="1:16" x14ac:dyDescent="0.25">
      <c r="A130" s="46">
        <v>91257</v>
      </c>
      <c r="B130" s="51">
        <v>45859</v>
      </c>
      <c r="C130" s="16"/>
      <c r="D130" s="52">
        <v>2</v>
      </c>
      <c r="E130" s="52">
        <v>190</v>
      </c>
      <c r="F130" s="52">
        <v>190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20</v>
      </c>
      <c r="O130" s="51">
        <v>45859</v>
      </c>
      <c r="P130" s="47"/>
    </row>
    <row r="131" spans="1:16" x14ac:dyDescent="0.25">
      <c r="A131" s="46">
        <v>91259</v>
      </c>
      <c r="B131" s="51">
        <v>45818</v>
      </c>
      <c r="C131" s="16"/>
      <c r="D131" s="52">
        <v>2</v>
      </c>
      <c r="E131" s="52">
        <v>360</v>
      </c>
      <c r="F131" s="52">
        <v>360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25</v>
      </c>
      <c r="O131" s="51">
        <v>45818</v>
      </c>
      <c r="P131" s="47"/>
    </row>
    <row r="132" spans="1:16" x14ac:dyDescent="0.25">
      <c r="A132" s="46">
        <v>91261</v>
      </c>
      <c r="B132" s="51">
        <v>45840</v>
      </c>
      <c r="C132" s="16"/>
      <c r="D132" s="52">
        <v>2</v>
      </c>
      <c r="E132" s="52">
        <v>136</v>
      </c>
      <c r="F132" s="52">
        <v>136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20</v>
      </c>
      <c r="O132" s="51">
        <v>45840</v>
      </c>
      <c r="P132" s="47"/>
    </row>
    <row r="133" spans="1:16" x14ac:dyDescent="0.25">
      <c r="A133" s="46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6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6">
        <v>91267</v>
      </c>
      <c r="B135" s="51">
        <v>45825</v>
      </c>
      <c r="C135" s="16"/>
      <c r="D135" s="52">
        <v>2</v>
      </c>
      <c r="E135" s="52">
        <v>100</v>
      </c>
      <c r="F135" s="52">
        <v>100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27</v>
      </c>
      <c r="O135" s="51">
        <v>45825</v>
      </c>
      <c r="P135" s="47"/>
    </row>
    <row r="136" spans="1:16" x14ac:dyDescent="0.25">
      <c r="A136" s="46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6">
        <v>91271</v>
      </c>
      <c r="B137" s="51">
        <v>45832</v>
      </c>
      <c r="C137" s="16"/>
      <c r="D137" s="52">
        <v>1</v>
      </c>
      <c r="E137" s="52">
        <v>80</v>
      </c>
      <c r="F137" s="52">
        <v>80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20</v>
      </c>
      <c r="O137" s="51">
        <v>45832</v>
      </c>
      <c r="P137" s="47"/>
    </row>
    <row r="138" spans="1:16" x14ac:dyDescent="0.25">
      <c r="A138" s="55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6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6">
        <v>91277</v>
      </c>
      <c r="B140" s="51">
        <v>45797</v>
      </c>
      <c r="C140" s="16"/>
      <c r="D140" s="52">
        <v>2</v>
      </c>
      <c r="E140" s="52">
        <v>245</v>
      </c>
      <c r="F140" s="52">
        <v>245</v>
      </c>
      <c r="G140" s="52">
        <v>0</v>
      </c>
      <c r="H140" s="52">
        <v>0</v>
      </c>
      <c r="I140" s="60"/>
      <c r="J140" s="52"/>
      <c r="K140" s="60"/>
      <c r="L140" s="52"/>
      <c r="M140" s="52"/>
      <c r="N140" s="17" t="s">
        <v>103</v>
      </c>
      <c r="O140" s="51">
        <v>45797</v>
      </c>
      <c r="P140" s="47"/>
    </row>
    <row r="141" spans="1:16" x14ac:dyDescent="0.25">
      <c r="A141" s="55">
        <v>91279</v>
      </c>
      <c r="B141" s="65">
        <v>46001</v>
      </c>
      <c r="C141" s="16"/>
      <c r="D141" s="52">
        <v>2</v>
      </c>
      <c r="E141" s="52">
        <v>206</v>
      </c>
      <c r="F141" s="52">
        <v>206</v>
      </c>
      <c r="G141" s="52">
        <v>0</v>
      </c>
      <c r="H141" s="52">
        <v>0</v>
      </c>
      <c r="I141" s="60"/>
      <c r="J141" s="52"/>
      <c r="K141" s="60"/>
      <c r="L141" s="52"/>
      <c r="M141" s="52" t="s">
        <v>0</v>
      </c>
      <c r="N141" s="17" t="s">
        <v>25</v>
      </c>
      <c r="O141" s="51">
        <v>46001</v>
      </c>
      <c r="P141" s="47"/>
    </row>
    <row r="142" spans="1:16" x14ac:dyDescent="0.25">
      <c r="A142" s="4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6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6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6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6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6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6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6">
        <v>91295</v>
      </c>
      <c r="B149" s="51">
        <v>45852</v>
      </c>
      <c r="C149" s="16"/>
      <c r="D149" s="52">
        <v>2</v>
      </c>
      <c r="E149" s="52">
        <v>170</v>
      </c>
      <c r="F149" s="52">
        <v>170</v>
      </c>
      <c r="G149" s="52">
        <v>0</v>
      </c>
      <c r="H149" s="52">
        <v>0</v>
      </c>
      <c r="I149" s="60"/>
      <c r="J149" s="52"/>
      <c r="K149" s="60"/>
      <c r="L149" s="52"/>
      <c r="M149" s="52" t="s">
        <v>0</v>
      </c>
      <c r="N149" s="17" t="s">
        <v>20</v>
      </c>
      <c r="O149" s="51">
        <v>45852</v>
      </c>
      <c r="P149" s="47"/>
    </row>
    <row r="150" spans="1:16" x14ac:dyDescent="0.25">
      <c r="A150" s="46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6">
        <v>91299</v>
      </c>
      <c r="B151" s="51">
        <v>45869</v>
      </c>
      <c r="C151" s="16"/>
      <c r="D151" s="52">
        <v>2</v>
      </c>
      <c r="E151" s="52">
        <v>105</v>
      </c>
      <c r="F151" s="52">
        <v>105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20</v>
      </c>
      <c r="O151" s="51">
        <v>45869</v>
      </c>
      <c r="P151" s="47"/>
    </row>
    <row r="152" spans="1:16" x14ac:dyDescent="0.25">
      <c r="A152" s="55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55">
        <v>91303</v>
      </c>
      <c r="B153" s="51">
        <v>45890</v>
      </c>
      <c r="C153" s="16"/>
      <c r="D153" s="52">
        <v>2</v>
      </c>
      <c r="E153" s="52">
        <v>160</v>
      </c>
      <c r="F153" s="52">
        <v>160</v>
      </c>
      <c r="G153" s="52">
        <v>0</v>
      </c>
      <c r="H153" s="52">
        <v>0</v>
      </c>
      <c r="I153" s="60"/>
      <c r="J153" s="52"/>
      <c r="K153" s="60"/>
      <c r="L153" s="52"/>
      <c r="M153" s="52" t="s">
        <v>0</v>
      </c>
      <c r="N153" s="17" t="s">
        <v>25</v>
      </c>
      <c r="O153" s="51">
        <v>45890</v>
      </c>
      <c r="P153" s="47"/>
    </row>
    <row r="154" spans="1:16" x14ac:dyDescent="0.25">
      <c r="A154" s="46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6">
        <v>91307</v>
      </c>
      <c r="B155" s="51">
        <v>45839</v>
      </c>
      <c r="C155" s="16"/>
      <c r="D155" s="52">
        <v>2</v>
      </c>
      <c r="E155" s="52">
        <v>59</v>
      </c>
      <c r="F155" s="52">
        <v>59</v>
      </c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45839</v>
      </c>
      <c r="P155" s="47"/>
    </row>
    <row r="156" spans="1:16" x14ac:dyDescent="0.25">
      <c r="A156" s="46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6">
        <v>91311</v>
      </c>
      <c r="B157" s="51">
        <v>45897</v>
      </c>
      <c r="C157" s="16"/>
      <c r="D157" s="52">
        <v>2</v>
      </c>
      <c r="E157" s="52">
        <v>146</v>
      </c>
      <c r="F157" s="52">
        <v>146</v>
      </c>
      <c r="G157" s="52">
        <v>0</v>
      </c>
      <c r="H157" s="52">
        <v>0</v>
      </c>
      <c r="I157" s="60"/>
      <c r="J157" s="52"/>
      <c r="K157" s="60"/>
      <c r="L157" s="52"/>
      <c r="M157" s="52" t="s">
        <v>0</v>
      </c>
      <c r="N157" s="17" t="s">
        <v>106</v>
      </c>
      <c r="O157" s="51">
        <v>45897</v>
      </c>
      <c r="P157" s="47"/>
    </row>
    <row r="158" spans="1:16" x14ac:dyDescent="0.25">
      <c r="A158" s="46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6">
        <v>91315</v>
      </c>
      <c r="B159" s="51">
        <v>45831</v>
      </c>
      <c r="C159" s="16"/>
      <c r="D159" s="52">
        <v>2</v>
      </c>
      <c r="E159" s="52">
        <v>50</v>
      </c>
      <c r="F159" s="52">
        <v>50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45831</v>
      </c>
      <c r="P159" s="47"/>
    </row>
    <row r="160" spans="1:16" x14ac:dyDescent="0.25">
      <c r="A160" s="46">
        <v>91317</v>
      </c>
      <c r="B160" s="51">
        <v>45812</v>
      </c>
      <c r="C160" s="16"/>
      <c r="D160" s="52">
        <v>2</v>
      </c>
      <c r="E160" s="52">
        <v>180</v>
      </c>
      <c r="F160" s="52">
        <v>180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20</v>
      </c>
      <c r="O160" s="51">
        <v>45812</v>
      </c>
      <c r="P160" s="47"/>
    </row>
    <row r="161" spans="1:16" x14ac:dyDescent="0.25">
      <c r="A161" s="46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6">
        <v>91321</v>
      </c>
      <c r="B162" s="51">
        <v>45853</v>
      </c>
      <c r="C162" s="16"/>
      <c r="D162" s="52">
        <v>2</v>
      </c>
      <c r="E162" s="52">
        <v>160</v>
      </c>
      <c r="F162" s="52">
        <v>160</v>
      </c>
      <c r="G162" s="52">
        <v>0</v>
      </c>
      <c r="H162" s="52">
        <v>0</v>
      </c>
      <c r="I162" s="60"/>
      <c r="J162" s="52"/>
      <c r="K162" s="60"/>
      <c r="L162" s="52"/>
      <c r="M162" s="52" t="s">
        <v>0</v>
      </c>
      <c r="N162" s="17" t="s">
        <v>20</v>
      </c>
      <c r="O162" s="51">
        <v>45853</v>
      </c>
      <c r="P162" s="47"/>
    </row>
    <row r="163" spans="1:16" x14ac:dyDescent="0.25">
      <c r="A163" s="46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6">
        <v>91325</v>
      </c>
      <c r="B164" s="51">
        <v>45834</v>
      </c>
      <c r="C164" s="16"/>
      <c r="D164" s="52">
        <v>2</v>
      </c>
      <c r="E164" s="52">
        <v>140</v>
      </c>
      <c r="F164" s="52">
        <v>140</v>
      </c>
      <c r="G164" s="52">
        <v>0</v>
      </c>
      <c r="H164" s="52">
        <v>0</v>
      </c>
      <c r="I164" s="60"/>
      <c r="J164" s="52"/>
      <c r="K164" s="60"/>
      <c r="L164" s="52"/>
      <c r="M164" s="52" t="s">
        <v>0</v>
      </c>
      <c r="N164" s="17" t="s">
        <v>25</v>
      </c>
      <c r="O164" s="51">
        <v>45834</v>
      </c>
      <c r="P164" s="47"/>
    </row>
    <row r="165" spans="1:16" x14ac:dyDescent="0.25">
      <c r="A165" s="46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55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6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6">
        <v>91333</v>
      </c>
      <c r="B168" s="51">
        <v>45832</v>
      </c>
      <c r="C168" s="16"/>
      <c r="D168" s="52">
        <v>2</v>
      </c>
      <c r="E168" s="52">
        <v>20</v>
      </c>
      <c r="F168" s="52">
        <v>20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20</v>
      </c>
      <c r="O168" s="51">
        <v>45832</v>
      </c>
      <c r="P168" s="47"/>
    </row>
    <row r="169" spans="1:16" x14ac:dyDescent="0.25">
      <c r="A169" s="46">
        <v>91335</v>
      </c>
      <c r="B169" s="51">
        <v>45916</v>
      </c>
      <c r="C169" s="16"/>
      <c r="D169" s="52">
        <v>2</v>
      </c>
      <c r="E169" s="52">
        <v>80</v>
      </c>
      <c r="F169" s="52">
        <v>80</v>
      </c>
      <c r="G169" s="52">
        <v>0</v>
      </c>
      <c r="H169" s="52">
        <v>0</v>
      </c>
      <c r="I169" s="60"/>
      <c r="J169" s="52"/>
      <c r="K169" s="60"/>
      <c r="L169" s="52"/>
      <c r="M169" s="52" t="s">
        <v>0</v>
      </c>
      <c r="N169" s="17" t="s">
        <v>20</v>
      </c>
      <c r="O169" s="51">
        <v>45916</v>
      </c>
      <c r="P169" s="47"/>
    </row>
    <row r="170" spans="1:16" x14ac:dyDescent="0.25">
      <c r="A170" s="56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6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55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55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55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55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x14ac:dyDescent="0.25">
      <c r="A176" s="55">
        <v>91349</v>
      </c>
      <c r="B176" s="51">
        <v>45806</v>
      </c>
      <c r="C176" s="16"/>
      <c r="D176" s="52">
        <v>2</v>
      </c>
      <c r="E176" s="52">
        <v>70</v>
      </c>
      <c r="F176" s="52">
        <v>70</v>
      </c>
      <c r="G176" s="52">
        <v>0</v>
      </c>
      <c r="H176" s="52">
        <v>0</v>
      </c>
      <c r="I176" s="60"/>
      <c r="J176" s="52"/>
      <c r="K176" s="60"/>
      <c r="L176" s="52"/>
      <c r="M176" s="52" t="s">
        <v>0</v>
      </c>
      <c r="N176" s="17" t="s">
        <v>25</v>
      </c>
      <c r="O176" s="51">
        <v>45806</v>
      </c>
      <c r="P176" s="47"/>
    </row>
    <row r="177" spans="1:16" x14ac:dyDescent="0.25">
      <c r="A177" s="55">
        <v>93002</v>
      </c>
      <c r="B177" s="51">
        <v>45904</v>
      </c>
      <c r="C177" s="16"/>
      <c r="D177" s="52">
        <v>2</v>
      </c>
      <c r="E177" s="52">
        <v>62</v>
      </c>
      <c r="F177" s="52">
        <v>62</v>
      </c>
      <c r="G177" s="52">
        <v>0</v>
      </c>
      <c r="H177" s="52">
        <v>0</v>
      </c>
      <c r="I177" s="60"/>
      <c r="J177" s="52"/>
      <c r="K177" s="60"/>
      <c r="L177" s="52"/>
      <c r="M177" s="52" t="s">
        <v>0</v>
      </c>
      <c r="N177" s="17" t="s">
        <v>25</v>
      </c>
      <c r="O177" s="51">
        <v>45904</v>
      </c>
      <c r="P177" s="47"/>
    </row>
    <row r="178" spans="1:16" x14ac:dyDescent="0.25">
      <c r="A178" s="55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55">
        <v>93006</v>
      </c>
      <c r="B179" s="51">
        <v>45806</v>
      </c>
      <c r="C179" s="16"/>
      <c r="D179" s="52">
        <v>2</v>
      </c>
      <c r="E179" s="52">
        <v>180</v>
      </c>
      <c r="F179" s="52">
        <v>180</v>
      </c>
      <c r="G179" s="52">
        <v>0</v>
      </c>
      <c r="H179" s="52">
        <v>0</v>
      </c>
      <c r="I179" s="60"/>
      <c r="J179" s="52"/>
      <c r="K179" s="60"/>
      <c r="L179" s="52"/>
      <c r="M179" s="52" t="s">
        <v>0</v>
      </c>
      <c r="N179" s="17" t="s">
        <v>20</v>
      </c>
      <c r="O179" s="51">
        <v>45806</v>
      </c>
      <c r="P179" s="47"/>
    </row>
    <row r="180" spans="1:16" x14ac:dyDescent="0.25">
      <c r="A180" s="55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>
        <v>45896</v>
      </c>
      <c r="P180" s="47"/>
    </row>
    <row r="181" spans="1:16" x14ac:dyDescent="0.25">
      <c r="A181" s="55">
        <v>93010</v>
      </c>
      <c r="B181" s="51">
        <v>45896</v>
      </c>
      <c r="C181" s="16"/>
      <c r="D181" s="52">
        <v>2</v>
      </c>
      <c r="E181" s="52">
        <v>180</v>
      </c>
      <c r="F181" s="52">
        <v>180</v>
      </c>
      <c r="G181" s="52">
        <v>0</v>
      </c>
      <c r="H181" s="52">
        <v>0</v>
      </c>
      <c r="I181" s="60"/>
      <c r="J181" s="52"/>
      <c r="K181" s="60"/>
      <c r="L181" s="52"/>
      <c r="M181" s="52" t="s">
        <v>0</v>
      </c>
      <c r="N181" s="17" t="s">
        <v>106</v>
      </c>
      <c r="O181" s="51"/>
      <c r="P181" s="47"/>
    </row>
    <row r="182" spans="1:16" x14ac:dyDescent="0.25">
      <c r="A182" s="55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55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55">
        <v>93016</v>
      </c>
      <c r="B184" s="51">
        <v>45839</v>
      </c>
      <c r="C184" s="16"/>
      <c r="D184" s="52">
        <v>2</v>
      </c>
      <c r="E184" s="52">
        <v>14</v>
      </c>
      <c r="F184" s="52">
        <v>14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20</v>
      </c>
      <c r="O184" s="51">
        <v>45839</v>
      </c>
      <c r="P184" s="47"/>
    </row>
    <row r="185" spans="1:16" x14ac:dyDescent="0.25">
      <c r="A185" s="55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55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55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55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55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55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55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55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55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55">
        <v>93036</v>
      </c>
      <c r="B194" s="51">
        <v>45915</v>
      </c>
      <c r="C194" s="16"/>
      <c r="D194" s="52">
        <v>2</v>
      </c>
      <c r="E194" s="52">
        <v>82</v>
      </c>
      <c r="F194" s="52">
        <v>82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45915</v>
      </c>
      <c r="P194" s="47"/>
    </row>
    <row r="195" spans="1:16" x14ac:dyDescent="0.25">
      <c r="A195" s="55">
        <v>93038</v>
      </c>
      <c r="B195" s="51">
        <v>45876</v>
      </c>
      <c r="C195" s="16"/>
      <c r="D195" s="52">
        <v>2</v>
      </c>
      <c r="E195" s="52">
        <v>54</v>
      </c>
      <c r="F195" s="52">
        <v>54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106</v>
      </c>
      <c r="O195" s="51">
        <v>45876</v>
      </c>
      <c r="P195" s="47"/>
    </row>
    <row r="196" spans="1:16" x14ac:dyDescent="0.25">
      <c r="A196" s="55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55">
        <v>93042</v>
      </c>
      <c r="B197" s="51">
        <v>45907</v>
      </c>
      <c r="C197" s="16"/>
      <c r="D197" s="52">
        <v>2</v>
      </c>
      <c r="E197" s="52">
        <v>132</v>
      </c>
      <c r="F197" s="52">
        <v>132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20</v>
      </c>
      <c r="O197" s="51">
        <v>45907</v>
      </c>
      <c r="P197" s="47"/>
    </row>
    <row r="198" spans="1:16" x14ac:dyDescent="0.25">
      <c r="A198" s="55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55">
        <v>93046</v>
      </c>
      <c r="B199" s="51">
        <v>45858</v>
      </c>
      <c r="C199" s="16"/>
      <c r="D199" s="52">
        <v>2</v>
      </c>
      <c r="E199" s="52">
        <v>100</v>
      </c>
      <c r="F199" s="52">
        <v>100</v>
      </c>
      <c r="G199" s="52">
        <v>0</v>
      </c>
      <c r="H199" s="52">
        <v>0</v>
      </c>
      <c r="I199" s="60"/>
      <c r="J199" s="52"/>
      <c r="K199" s="60"/>
      <c r="L199" s="52"/>
      <c r="M199" s="52" t="s">
        <v>0</v>
      </c>
      <c r="N199" s="17" t="s">
        <v>25</v>
      </c>
      <c r="O199" s="51">
        <v>45858</v>
      </c>
      <c r="P199" s="47"/>
    </row>
    <row r="200" spans="1:16" x14ac:dyDescent="0.25">
      <c r="A200" s="55">
        <v>93048</v>
      </c>
      <c r="B200" s="51">
        <v>45821</v>
      </c>
      <c r="C200" s="16"/>
      <c r="D200" s="52">
        <v>2</v>
      </c>
      <c r="E200" s="52">
        <v>20</v>
      </c>
      <c r="F200" s="52">
        <v>20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25</v>
      </c>
      <c r="O200" s="51">
        <v>45821</v>
      </c>
      <c r="P200" s="47"/>
    </row>
    <row r="201" spans="1:16" x14ac:dyDescent="0.25">
      <c r="A201" s="55">
        <v>93050</v>
      </c>
      <c r="B201" s="51">
        <v>45889</v>
      </c>
      <c r="C201" s="16"/>
      <c r="D201" s="52">
        <v>2</v>
      </c>
      <c r="E201" s="52">
        <v>170</v>
      </c>
      <c r="F201" s="52">
        <v>170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25</v>
      </c>
      <c r="O201" s="51">
        <v>45889</v>
      </c>
      <c r="P201" s="47"/>
    </row>
    <row r="202" spans="1:16" x14ac:dyDescent="0.25">
      <c r="A202" s="55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55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55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55">
        <v>93058</v>
      </c>
      <c r="B205" s="51">
        <v>45830</v>
      </c>
      <c r="C205" s="16"/>
      <c r="D205" s="52">
        <v>2</v>
      </c>
      <c r="E205" s="52">
        <v>120</v>
      </c>
      <c r="F205" s="52">
        <v>120</v>
      </c>
      <c r="G205" s="52">
        <v>0</v>
      </c>
      <c r="H205" s="52">
        <v>0</v>
      </c>
      <c r="I205" s="60"/>
      <c r="J205" s="52"/>
      <c r="K205" s="60"/>
      <c r="L205" s="52"/>
      <c r="M205" s="52" t="s">
        <v>0</v>
      </c>
      <c r="N205" s="17" t="s">
        <v>20</v>
      </c>
      <c r="O205" s="51">
        <v>45830</v>
      </c>
      <c r="P205" s="47"/>
    </row>
    <row r="206" spans="1:16" x14ac:dyDescent="0.25">
      <c r="A206" s="55">
        <v>93060</v>
      </c>
      <c r="B206" s="66">
        <v>45939</v>
      </c>
      <c r="C206" s="16"/>
      <c r="D206" s="52">
        <v>2</v>
      </c>
      <c r="E206" s="52">
        <v>75</v>
      </c>
      <c r="F206" s="52">
        <v>75</v>
      </c>
      <c r="G206" s="52">
        <v>0</v>
      </c>
      <c r="H206" s="52">
        <v>0</v>
      </c>
      <c r="I206" s="60"/>
      <c r="J206" s="52"/>
      <c r="K206" s="60"/>
      <c r="L206" s="52"/>
      <c r="M206" s="52" t="s">
        <v>0</v>
      </c>
      <c r="N206" s="17" t="s">
        <v>20</v>
      </c>
      <c r="O206" s="51">
        <v>45939</v>
      </c>
      <c r="P206" s="47"/>
    </row>
    <row r="207" spans="1:16" x14ac:dyDescent="0.25">
      <c r="A207" s="55">
        <v>93062</v>
      </c>
      <c r="B207" s="51">
        <v>45868</v>
      </c>
      <c r="C207" s="16"/>
      <c r="D207" s="52">
        <v>2</v>
      </c>
      <c r="E207" s="52">
        <v>194</v>
      </c>
      <c r="F207" s="52">
        <v>194</v>
      </c>
      <c r="G207" s="52">
        <v>0</v>
      </c>
      <c r="H207" s="52">
        <v>0</v>
      </c>
      <c r="I207" s="60"/>
      <c r="J207" s="52"/>
      <c r="K207" s="60"/>
      <c r="L207" s="52"/>
      <c r="M207" s="52" t="s">
        <v>0</v>
      </c>
      <c r="N207" s="17" t="s">
        <v>25</v>
      </c>
      <c r="O207" s="51">
        <v>45868</v>
      </c>
      <c r="P207" s="47"/>
    </row>
    <row r="208" spans="1:16" x14ac:dyDescent="0.25">
      <c r="A208" s="55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55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55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x14ac:dyDescent="0.25">
      <c r="A211" s="55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55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55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55">
        <v>93076</v>
      </c>
      <c r="B214" s="51">
        <v>45783</v>
      </c>
      <c r="C214" s="16"/>
      <c r="D214" s="52">
        <v>2</v>
      </c>
      <c r="E214" s="52">
        <v>22</v>
      </c>
      <c r="F214" s="52">
        <v>22</v>
      </c>
      <c r="G214" s="52">
        <v>0</v>
      </c>
      <c r="H214" s="52">
        <v>0</v>
      </c>
      <c r="I214" s="60"/>
      <c r="J214" s="52"/>
      <c r="K214" s="60"/>
      <c r="L214" s="52"/>
      <c r="M214" s="52" t="s">
        <v>0</v>
      </c>
      <c r="N214" s="17" t="s">
        <v>20</v>
      </c>
      <c r="O214" s="51">
        <v>45783</v>
      </c>
      <c r="P214" s="47"/>
    </row>
    <row r="215" spans="1:16" x14ac:dyDescent="0.25">
      <c r="A215" s="55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55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55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55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55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55">
        <v>93088</v>
      </c>
      <c r="B220" s="51">
        <v>45840</v>
      </c>
      <c r="C220" s="16"/>
      <c r="D220" s="52">
        <v>2</v>
      </c>
      <c r="E220" s="52">
        <v>87</v>
      </c>
      <c r="F220" s="52">
        <v>87</v>
      </c>
      <c r="G220" s="52">
        <v>0</v>
      </c>
      <c r="H220" s="52">
        <v>0</v>
      </c>
      <c r="I220" s="60"/>
      <c r="J220" s="52"/>
      <c r="K220" s="60"/>
      <c r="L220" s="52"/>
      <c r="M220" s="52" t="s">
        <v>0</v>
      </c>
      <c r="N220" s="17" t="s">
        <v>20</v>
      </c>
      <c r="O220" s="51">
        <v>45840</v>
      </c>
      <c r="P220" s="47"/>
    </row>
    <row r="221" spans="1:16" x14ac:dyDescent="0.25">
      <c r="A221" s="55">
        <v>93090</v>
      </c>
      <c r="B221" s="51">
        <v>45880</v>
      </c>
      <c r="C221" s="16"/>
      <c r="D221" s="52">
        <v>2</v>
      </c>
      <c r="E221" s="52">
        <v>112</v>
      </c>
      <c r="F221" s="52">
        <v>112</v>
      </c>
      <c r="G221" s="52">
        <v>0</v>
      </c>
      <c r="H221" s="52">
        <v>0</v>
      </c>
      <c r="I221" s="60"/>
      <c r="J221" s="52"/>
      <c r="K221" s="60"/>
      <c r="L221" s="52"/>
      <c r="M221" s="52" t="s">
        <v>0</v>
      </c>
      <c r="N221" s="17" t="s">
        <v>106</v>
      </c>
      <c r="O221" s="51">
        <v>45880</v>
      </c>
      <c r="P221" s="47"/>
    </row>
    <row r="222" spans="1:16" x14ac:dyDescent="0.25">
      <c r="A222" s="55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55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55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55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56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55">
        <v>93102</v>
      </c>
      <c r="B227" s="51">
        <v>45840</v>
      </c>
      <c r="C227" s="16"/>
      <c r="D227" s="52">
        <v>1</v>
      </c>
      <c r="E227" s="52">
        <v>44</v>
      </c>
      <c r="F227" s="52">
        <v>44</v>
      </c>
      <c r="G227" s="52">
        <v>0</v>
      </c>
      <c r="H227" s="52">
        <v>0</v>
      </c>
      <c r="I227" s="60"/>
      <c r="J227" s="52"/>
      <c r="K227" s="60"/>
      <c r="L227" s="52"/>
      <c r="M227" s="52" t="s">
        <v>0</v>
      </c>
      <c r="N227" s="17" t="s">
        <v>20</v>
      </c>
      <c r="O227" s="51">
        <v>45840</v>
      </c>
      <c r="P227" s="47"/>
    </row>
    <row r="228" spans="1:16" x14ac:dyDescent="0.25">
      <c r="A228" s="55">
        <v>93104</v>
      </c>
      <c r="B228" s="51">
        <v>45888</v>
      </c>
      <c r="C228" s="16"/>
      <c r="D228" s="52">
        <v>2</v>
      </c>
      <c r="E228" s="52">
        <v>178</v>
      </c>
      <c r="F228" s="52">
        <v>178</v>
      </c>
      <c r="G228" s="52">
        <v>0</v>
      </c>
      <c r="H228" s="52">
        <v>0</v>
      </c>
      <c r="I228" s="60"/>
      <c r="J228" s="52"/>
      <c r="K228" s="60"/>
      <c r="L228" s="52"/>
      <c r="M228" s="52" t="s">
        <v>0</v>
      </c>
      <c r="N228" s="17" t="s">
        <v>25</v>
      </c>
      <c r="O228" s="51">
        <v>45888</v>
      </c>
      <c r="P228" s="47"/>
    </row>
    <row r="229" spans="1:16" x14ac:dyDescent="0.25">
      <c r="A229" s="55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55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55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55">
        <v>93112</v>
      </c>
      <c r="B232" s="51">
        <v>45823</v>
      </c>
      <c r="C232" s="16"/>
      <c r="D232" s="52">
        <v>2</v>
      </c>
      <c r="E232" s="52">
        <v>100</v>
      </c>
      <c r="F232" s="52">
        <v>100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45823</v>
      </c>
      <c r="P232" s="47"/>
    </row>
    <row r="233" spans="1:16" x14ac:dyDescent="0.25">
      <c r="A233" s="55">
        <v>93114</v>
      </c>
      <c r="B233" s="51">
        <v>45861</v>
      </c>
      <c r="C233" s="16"/>
      <c r="D233" s="52">
        <v>2</v>
      </c>
      <c r="E233" s="52">
        <v>145</v>
      </c>
      <c r="F233" s="52">
        <v>145</v>
      </c>
      <c r="G233" s="52">
        <v>0</v>
      </c>
      <c r="H233" s="52">
        <v>0</v>
      </c>
      <c r="I233" s="60"/>
      <c r="J233" s="52"/>
      <c r="K233" s="60"/>
      <c r="L233" s="52"/>
      <c r="M233" s="52" t="s">
        <v>0</v>
      </c>
      <c r="N233" s="17" t="s">
        <v>106</v>
      </c>
      <c r="O233" s="51">
        <v>45861</v>
      </c>
      <c r="P233" s="47"/>
    </row>
    <row r="234" spans="1:16" x14ac:dyDescent="0.25">
      <c r="A234" s="55">
        <v>93116</v>
      </c>
      <c r="B234" s="51">
        <v>45802</v>
      </c>
      <c r="C234" s="16"/>
      <c r="D234" s="52">
        <v>2</v>
      </c>
      <c r="E234" s="52">
        <v>80</v>
      </c>
      <c r="F234" s="52">
        <v>80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20</v>
      </c>
      <c r="O234" s="51">
        <v>45802</v>
      </c>
      <c r="P234" s="47"/>
    </row>
    <row r="235" spans="1:16" x14ac:dyDescent="0.25">
      <c r="A235" s="55">
        <v>93118</v>
      </c>
      <c r="B235" s="65">
        <v>45930</v>
      </c>
      <c r="C235" s="16"/>
      <c r="D235" s="52">
        <v>2</v>
      </c>
      <c r="E235" s="52">
        <v>151</v>
      </c>
      <c r="F235" s="52">
        <v>151</v>
      </c>
      <c r="G235" s="52">
        <v>0</v>
      </c>
      <c r="H235" s="52">
        <v>0</v>
      </c>
      <c r="I235" s="60"/>
      <c r="J235" s="52"/>
      <c r="K235" s="60"/>
      <c r="L235" s="52"/>
      <c r="M235" s="52" t="s">
        <v>0</v>
      </c>
      <c r="N235" s="17" t="s">
        <v>20</v>
      </c>
      <c r="O235" s="51">
        <v>45930</v>
      </c>
      <c r="P235" s="47"/>
    </row>
    <row r="236" spans="1:16" x14ac:dyDescent="0.25">
      <c r="A236" s="55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55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55">
        <v>93124</v>
      </c>
      <c r="B238" s="51">
        <v>45825</v>
      </c>
      <c r="C238" s="16"/>
      <c r="D238" s="52">
        <v>2</v>
      </c>
      <c r="E238" s="52">
        <v>114</v>
      </c>
      <c r="F238" s="52">
        <v>114</v>
      </c>
      <c r="G238" s="52">
        <v>0</v>
      </c>
      <c r="H238" s="52">
        <v>0</v>
      </c>
      <c r="I238" s="60"/>
      <c r="J238" s="52"/>
      <c r="K238" s="60"/>
      <c r="L238" s="52"/>
      <c r="M238" s="52" t="s">
        <v>0</v>
      </c>
      <c r="N238" s="17" t="s">
        <v>107</v>
      </c>
      <c r="O238" s="51">
        <v>45825</v>
      </c>
      <c r="P238" s="47"/>
    </row>
    <row r="239" spans="1:16" x14ac:dyDescent="0.25">
      <c r="A239" s="55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55">
        <v>93128</v>
      </c>
      <c r="B240" s="51">
        <v>45788</v>
      </c>
      <c r="C240" s="16"/>
      <c r="D240" s="52">
        <v>2</v>
      </c>
      <c r="E240" s="52">
        <v>24</v>
      </c>
      <c r="F240" s="52">
        <v>24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45788</v>
      </c>
      <c r="P240" s="47"/>
    </row>
    <row r="241" spans="1:16" x14ac:dyDescent="0.25">
      <c r="A241" s="55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55">
        <v>93132</v>
      </c>
      <c r="B242" s="65">
        <v>45929</v>
      </c>
      <c r="C242" s="16"/>
      <c r="D242" s="52">
        <v>2</v>
      </c>
      <c r="E242" s="52">
        <v>160</v>
      </c>
      <c r="F242" s="52">
        <v>160</v>
      </c>
      <c r="G242" s="52">
        <v>0</v>
      </c>
      <c r="H242" s="52">
        <v>0</v>
      </c>
      <c r="I242" s="60"/>
      <c r="J242" s="52"/>
      <c r="K242" s="60"/>
      <c r="L242" s="52"/>
      <c r="M242" s="52" t="s">
        <v>0</v>
      </c>
      <c r="N242" s="17" t="s">
        <v>106</v>
      </c>
      <c r="O242" s="51">
        <v>45929</v>
      </c>
      <c r="P242" s="47"/>
    </row>
    <row r="243" spans="1:16" x14ac:dyDescent="0.25">
      <c r="A243" s="55">
        <v>93134</v>
      </c>
      <c r="B243" s="65">
        <v>45949</v>
      </c>
      <c r="C243" s="16"/>
      <c r="D243" s="52">
        <v>2</v>
      </c>
      <c r="E243" s="52">
        <v>145</v>
      </c>
      <c r="F243" s="52">
        <v>145</v>
      </c>
      <c r="G243" s="52">
        <v>0</v>
      </c>
      <c r="H243" s="52">
        <v>0</v>
      </c>
      <c r="I243" s="60"/>
      <c r="J243" s="52"/>
      <c r="K243" s="60"/>
      <c r="L243" s="52"/>
      <c r="M243" s="52" t="s">
        <v>0</v>
      </c>
      <c r="N243" s="17" t="s">
        <v>20</v>
      </c>
      <c r="O243" s="51">
        <v>45949</v>
      </c>
      <c r="P243" s="47"/>
    </row>
    <row r="244" spans="1:16" x14ac:dyDescent="0.25">
      <c r="A244" s="55">
        <v>93136</v>
      </c>
      <c r="B244" s="51">
        <v>45895</v>
      </c>
      <c r="C244" s="16"/>
      <c r="D244" s="52">
        <v>2</v>
      </c>
      <c r="E244" s="52">
        <v>156</v>
      </c>
      <c r="F244" s="52">
        <v>156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106</v>
      </c>
      <c r="O244" s="51">
        <v>45895</v>
      </c>
      <c r="P244" s="47"/>
    </row>
    <row r="245" spans="1:16" x14ac:dyDescent="0.25">
      <c r="A245" s="55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x14ac:dyDescent="0.25">
      <c r="A246" s="55">
        <v>93140</v>
      </c>
      <c r="B246" s="51">
        <v>45872</v>
      </c>
      <c r="C246" s="16"/>
      <c r="D246" s="52">
        <v>2</v>
      </c>
      <c r="E246" s="52">
        <v>140</v>
      </c>
      <c r="F246" s="52">
        <v>140</v>
      </c>
      <c r="G246" s="52">
        <v>0</v>
      </c>
      <c r="H246" s="52">
        <v>0</v>
      </c>
      <c r="I246" s="60"/>
      <c r="J246" s="52"/>
      <c r="K246" s="60"/>
      <c r="L246" s="52"/>
      <c r="M246" s="52" t="s">
        <v>0</v>
      </c>
      <c r="N246" s="17" t="s">
        <v>106</v>
      </c>
      <c r="O246" s="51">
        <v>45872</v>
      </c>
      <c r="P246" s="47"/>
    </row>
    <row r="247" spans="1:16" x14ac:dyDescent="0.25">
      <c r="A247" s="55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55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55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55">
        <v>93148</v>
      </c>
      <c r="B250" s="51">
        <v>45916</v>
      </c>
      <c r="C250" s="16"/>
      <c r="D250" s="52">
        <v>2</v>
      </c>
      <c r="E250" s="52">
        <v>102</v>
      </c>
      <c r="F250" s="52">
        <v>102</v>
      </c>
      <c r="G250" s="52">
        <v>0</v>
      </c>
      <c r="H250" s="52">
        <v>0</v>
      </c>
      <c r="I250" s="60"/>
      <c r="J250" s="52"/>
      <c r="K250" s="60"/>
      <c r="L250" s="52"/>
      <c r="M250" s="52" t="s">
        <v>0</v>
      </c>
      <c r="N250" s="17" t="s">
        <v>20</v>
      </c>
      <c r="O250" s="51">
        <v>45916</v>
      </c>
      <c r="P250" s="47"/>
    </row>
    <row r="251" spans="1:16" x14ac:dyDescent="0.25">
      <c r="A251" s="55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55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55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55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55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55">
        <v>93160</v>
      </c>
      <c r="B256" s="51">
        <v>45844</v>
      </c>
      <c r="C256" s="16"/>
      <c r="D256" s="52">
        <v>2</v>
      </c>
      <c r="E256" s="52">
        <v>140</v>
      </c>
      <c r="F256" s="52">
        <v>140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102</v>
      </c>
      <c r="O256" s="51">
        <v>45844</v>
      </c>
      <c r="P256" s="47"/>
    </row>
    <row r="257" spans="1:16" x14ac:dyDescent="0.25">
      <c r="A257" s="55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55">
        <v>93164</v>
      </c>
      <c r="B258" s="51">
        <v>45797</v>
      </c>
      <c r="C258" s="16"/>
      <c r="D258" s="52">
        <v>2</v>
      </c>
      <c r="E258" s="52">
        <v>94</v>
      </c>
      <c r="F258" s="52">
        <v>94</v>
      </c>
      <c r="G258" s="52">
        <v>0</v>
      </c>
      <c r="H258" s="52">
        <v>0</v>
      </c>
      <c r="I258" s="60"/>
      <c r="J258" s="52"/>
      <c r="K258" s="60"/>
      <c r="L258" s="52"/>
      <c r="M258" s="52" t="s">
        <v>0</v>
      </c>
      <c r="N258" s="17" t="s">
        <v>108</v>
      </c>
      <c r="O258" s="51">
        <v>45797</v>
      </c>
      <c r="P258" s="47"/>
    </row>
    <row r="259" spans="1:16" x14ac:dyDescent="0.25">
      <c r="A259" s="55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55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55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55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55">
        <v>93174</v>
      </c>
      <c r="B263" s="51">
        <v>45819</v>
      </c>
      <c r="C263" s="16"/>
      <c r="D263" s="52">
        <v>2</v>
      </c>
      <c r="E263" s="52">
        <v>214</v>
      </c>
      <c r="F263" s="52">
        <v>214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45819</v>
      </c>
      <c r="P263" s="47"/>
    </row>
    <row r="264" spans="1:16" x14ac:dyDescent="0.25">
      <c r="A264" s="55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55">
        <v>93178</v>
      </c>
      <c r="B265" s="51">
        <v>45809</v>
      </c>
      <c r="C265" s="16"/>
      <c r="D265" s="52">
        <v>2</v>
      </c>
      <c r="E265" s="52">
        <v>115</v>
      </c>
      <c r="F265" s="52">
        <v>115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102</v>
      </c>
      <c r="O265" s="51">
        <v>45809</v>
      </c>
      <c r="P265" s="47"/>
    </row>
    <row r="266" spans="1:16" x14ac:dyDescent="0.25">
      <c r="A266" s="55">
        <v>93180</v>
      </c>
      <c r="B266" s="51">
        <v>45876</v>
      </c>
      <c r="C266" s="16"/>
      <c r="D266" s="52">
        <v>2</v>
      </c>
      <c r="E266" s="52">
        <v>124</v>
      </c>
      <c r="F266" s="52">
        <v>124</v>
      </c>
      <c r="G266" s="52">
        <v>0</v>
      </c>
      <c r="H266" s="52">
        <v>0</v>
      </c>
      <c r="I266" s="60"/>
      <c r="J266" s="52"/>
      <c r="K266" s="60"/>
      <c r="L266" s="52"/>
      <c r="M266" s="52" t="s">
        <v>0</v>
      </c>
      <c r="N266" s="17" t="s">
        <v>106</v>
      </c>
      <c r="O266" s="51">
        <v>45876</v>
      </c>
      <c r="P266" s="47"/>
    </row>
    <row r="267" spans="1:16" x14ac:dyDescent="0.25">
      <c r="A267" s="55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55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55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55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55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55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55">
        <v>93194</v>
      </c>
      <c r="B273" s="51">
        <v>45832</v>
      </c>
      <c r="C273" s="16"/>
      <c r="D273" s="52">
        <v>2</v>
      </c>
      <c r="E273" s="52">
        <v>30</v>
      </c>
      <c r="F273" s="52">
        <v>30</v>
      </c>
      <c r="G273" s="52">
        <v>0</v>
      </c>
      <c r="H273" s="52">
        <v>0</v>
      </c>
      <c r="I273" s="60"/>
      <c r="J273" s="52"/>
      <c r="K273" s="60"/>
      <c r="L273" s="52"/>
      <c r="M273" s="52" t="s">
        <v>0</v>
      </c>
      <c r="N273" s="17" t="s">
        <v>20</v>
      </c>
      <c r="O273" s="51">
        <v>45832</v>
      </c>
      <c r="P273" s="47"/>
    </row>
    <row r="274" spans="1:16" x14ac:dyDescent="0.25">
      <c r="A274" s="55">
        <v>93196</v>
      </c>
      <c r="B274" s="51">
        <v>45788</v>
      </c>
      <c r="C274" s="16"/>
      <c r="D274" s="52">
        <v>2</v>
      </c>
      <c r="E274" s="52">
        <v>12</v>
      </c>
      <c r="F274" s="52">
        <v>12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45788</v>
      </c>
      <c r="P274" s="47"/>
    </row>
    <row r="275" spans="1:16" x14ac:dyDescent="0.25">
      <c r="A275" s="55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55">
        <v>93200</v>
      </c>
      <c r="B276" s="51">
        <v>45855</v>
      </c>
      <c r="C276" s="16"/>
      <c r="D276" s="52">
        <v>2</v>
      </c>
      <c r="E276" s="52">
        <v>180</v>
      </c>
      <c r="F276" s="52">
        <v>180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106</v>
      </c>
      <c r="O276" s="51">
        <v>45855</v>
      </c>
      <c r="P276" s="47"/>
    </row>
    <row r="277" spans="1:16" x14ac:dyDescent="0.25">
      <c r="A277" s="55">
        <v>93202</v>
      </c>
      <c r="B277" s="51">
        <v>45909</v>
      </c>
      <c r="C277" s="16"/>
      <c r="D277" s="52">
        <v>2</v>
      </c>
      <c r="E277" s="52">
        <v>71</v>
      </c>
      <c r="F277" s="52">
        <v>71</v>
      </c>
      <c r="G277" s="52">
        <v>0</v>
      </c>
      <c r="H277" s="52">
        <v>0</v>
      </c>
      <c r="I277" s="60"/>
      <c r="J277" s="52"/>
      <c r="K277" s="60"/>
      <c r="L277" s="52"/>
      <c r="M277" s="52" t="s">
        <v>0</v>
      </c>
      <c r="N277" s="17" t="s">
        <v>106</v>
      </c>
      <c r="O277" s="51">
        <v>45909</v>
      </c>
      <c r="P277" s="47"/>
    </row>
    <row r="278" spans="1:16" x14ac:dyDescent="0.25">
      <c r="A278" s="55">
        <v>93204</v>
      </c>
      <c r="B278" s="67">
        <v>45932</v>
      </c>
      <c r="C278" s="16"/>
      <c r="D278" s="52">
        <v>2</v>
      </c>
      <c r="E278" s="52">
        <v>130</v>
      </c>
      <c r="F278" s="52">
        <v>130</v>
      </c>
      <c r="G278" s="52">
        <v>0</v>
      </c>
      <c r="H278" s="52">
        <v>0</v>
      </c>
      <c r="I278" s="60"/>
      <c r="J278" s="52"/>
      <c r="K278" s="60"/>
      <c r="L278" s="52"/>
      <c r="M278" s="52" t="s">
        <v>0</v>
      </c>
      <c r="N278" s="17" t="s">
        <v>102</v>
      </c>
      <c r="O278" s="51">
        <v>45932</v>
      </c>
      <c r="P278" s="47"/>
    </row>
    <row r="279" spans="1:16" x14ac:dyDescent="0.25">
      <c r="A279" s="55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55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x14ac:dyDescent="0.25">
      <c r="A281" s="55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55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55">
        <v>93214</v>
      </c>
      <c r="B283" s="51">
        <v>45831</v>
      </c>
      <c r="C283" s="16"/>
      <c r="D283" s="52">
        <v>2</v>
      </c>
      <c r="E283" s="52">
        <v>100</v>
      </c>
      <c r="F283" s="52">
        <v>100</v>
      </c>
      <c r="G283" s="52">
        <v>0</v>
      </c>
      <c r="H283" s="52">
        <v>0</v>
      </c>
      <c r="I283" s="60"/>
      <c r="J283" s="52"/>
      <c r="K283" s="60"/>
      <c r="L283" s="52"/>
      <c r="M283" s="52" t="s">
        <v>0</v>
      </c>
      <c r="N283" s="17" t="s">
        <v>107</v>
      </c>
      <c r="O283" s="51">
        <v>45831</v>
      </c>
      <c r="P283" s="47"/>
    </row>
    <row r="284" spans="1:16" x14ac:dyDescent="0.25">
      <c r="A284" s="55">
        <v>93216</v>
      </c>
      <c r="B284" s="51">
        <v>45875</v>
      </c>
      <c r="C284" s="16"/>
      <c r="D284" s="52">
        <v>2</v>
      </c>
      <c r="E284" s="52">
        <v>108</v>
      </c>
      <c r="F284" s="52">
        <v>108</v>
      </c>
      <c r="G284" s="52">
        <v>0</v>
      </c>
      <c r="H284" s="52">
        <v>0</v>
      </c>
      <c r="I284" s="60"/>
      <c r="J284" s="52"/>
      <c r="K284" s="60"/>
      <c r="L284" s="52"/>
      <c r="M284" s="52" t="s">
        <v>0</v>
      </c>
      <c r="N284" s="17" t="s">
        <v>106</v>
      </c>
      <c r="O284" s="51">
        <v>45875</v>
      </c>
      <c r="P284" s="47"/>
    </row>
    <row r="285" spans="1:16" x14ac:dyDescent="0.25">
      <c r="A285" s="55">
        <v>93218</v>
      </c>
      <c r="B285" s="65">
        <v>45929</v>
      </c>
      <c r="C285" s="16"/>
      <c r="D285" s="52">
        <v>1</v>
      </c>
      <c r="E285" s="52">
        <v>58</v>
      </c>
      <c r="F285" s="52">
        <v>58</v>
      </c>
      <c r="G285" s="52">
        <v>0</v>
      </c>
      <c r="H285" s="52">
        <v>0</v>
      </c>
      <c r="I285" s="60"/>
      <c r="J285" s="52"/>
      <c r="K285" s="60"/>
      <c r="L285" s="52"/>
      <c r="M285" s="52" t="s">
        <v>0</v>
      </c>
      <c r="N285" s="17" t="s">
        <v>106</v>
      </c>
      <c r="O285" s="51">
        <v>45929</v>
      </c>
      <c r="P285" s="47"/>
    </row>
    <row r="286" spans="1:16" x14ac:dyDescent="0.25">
      <c r="A286" s="55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55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55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55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55">
        <v>93228</v>
      </c>
      <c r="B290" s="51">
        <v>45861</v>
      </c>
      <c r="C290" s="16"/>
      <c r="D290" s="52">
        <v>2</v>
      </c>
      <c r="E290" s="52">
        <v>211</v>
      </c>
      <c r="F290" s="52">
        <v>211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106</v>
      </c>
      <c r="O290" s="51">
        <v>45861</v>
      </c>
      <c r="P290" s="47"/>
    </row>
    <row r="291" spans="1:16" x14ac:dyDescent="0.25">
      <c r="A291" s="55">
        <v>93230</v>
      </c>
      <c r="B291" s="65">
        <v>45787</v>
      </c>
      <c r="C291" s="16"/>
      <c r="D291" s="52">
        <v>2</v>
      </c>
      <c r="E291" s="52">
        <v>76</v>
      </c>
      <c r="F291" s="52">
        <v>76</v>
      </c>
      <c r="G291" s="52">
        <v>0</v>
      </c>
      <c r="H291" s="52">
        <v>0</v>
      </c>
      <c r="I291" s="60"/>
      <c r="J291" s="52"/>
      <c r="K291" s="60"/>
      <c r="L291" s="52"/>
      <c r="M291" s="52" t="s">
        <v>0</v>
      </c>
      <c r="N291" s="17" t="s">
        <v>20</v>
      </c>
      <c r="O291" s="51">
        <v>45787</v>
      </c>
      <c r="P291" s="47"/>
    </row>
    <row r="292" spans="1:16" x14ac:dyDescent="0.25">
      <c r="A292" s="55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55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55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55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55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55">
        <v>93242</v>
      </c>
      <c r="B297" s="65">
        <v>45924</v>
      </c>
      <c r="C297" s="16"/>
      <c r="D297" s="52">
        <v>2</v>
      </c>
      <c r="E297" s="52">
        <v>108</v>
      </c>
      <c r="F297" s="52">
        <v>108</v>
      </c>
      <c r="G297" s="52">
        <v>0</v>
      </c>
      <c r="H297" s="52">
        <v>0</v>
      </c>
      <c r="I297" s="60"/>
      <c r="J297" s="52"/>
      <c r="K297" s="60"/>
      <c r="L297" s="52"/>
      <c r="M297" s="52" t="s">
        <v>0</v>
      </c>
      <c r="N297" s="17" t="s">
        <v>20</v>
      </c>
      <c r="O297" s="51">
        <v>45924</v>
      </c>
      <c r="P297" s="47"/>
    </row>
    <row r="298" spans="1:16" x14ac:dyDescent="0.25">
      <c r="A298" s="55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55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55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55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55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55">
        <v>93254</v>
      </c>
      <c r="B303" s="51">
        <v>45901</v>
      </c>
      <c r="C303" s="16"/>
      <c r="D303" s="52">
        <v>2</v>
      </c>
      <c r="E303" s="52">
        <v>60</v>
      </c>
      <c r="F303" s="52">
        <v>60</v>
      </c>
      <c r="G303" s="52">
        <v>0</v>
      </c>
      <c r="H303" s="52">
        <v>0</v>
      </c>
      <c r="I303" s="60"/>
      <c r="J303" s="52"/>
      <c r="K303" s="60"/>
      <c r="L303" s="52"/>
      <c r="M303" s="52" t="s">
        <v>0</v>
      </c>
      <c r="N303" s="17" t="s">
        <v>102</v>
      </c>
      <c r="O303" s="51">
        <v>45901</v>
      </c>
      <c r="P303" s="47"/>
    </row>
    <row r="304" spans="1:16" x14ac:dyDescent="0.25">
      <c r="A304" s="55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55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55">
        <v>93260</v>
      </c>
      <c r="B306" s="65">
        <v>45931</v>
      </c>
      <c r="C306" s="16"/>
      <c r="D306" s="52">
        <v>2</v>
      </c>
      <c r="E306" s="52">
        <v>156</v>
      </c>
      <c r="F306" s="52">
        <v>156</v>
      </c>
      <c r="G306" s="52">
        <v>0</v>
      </c>
      <c r="H306" s="52">
        <v>0</v>
      </c>
      <c r="I306" s="60"/>
      <c r="J306" s="52"/>
      <c r="K306" s="60"/>
      <c r="L306" s="52"/>
      <c r="M306" s="52" t="s">
        <v>0</v>
      </c>
      <c r="N306" s="17" t="s">
        <v>20</v>
      </c>
      <c r="O306" s="51">
        <v>45931</v>
      </c>
      <c r="P306" s="47"/>
    </row>
    <row r="307" spans="1:16" x14ac:dyDescent="0.25">
      <c r="A307" s="55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55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55">
        <v>93266</v>
      </c>
      <c r="B309" s="65">
        <v>45925</v>
      </c>
      <c r="C309" s="16"/>
      <c r="D309" s="52">
        <v>2</v>
      </c>
      <c r="E309" s="52">
        <v>158</v>
      </c>
      <c r="F309" s="52">
        <v>158</v>
      </c>
      <c r="G309" s="52">
        <v>0</v>
      </c>
      <c r="H309" s="52">
        <v>0</v>
      </c>
      <c r="I309" s="60"/>
      <c r="J309" s="52"/>
      <c r="K309" s="60"/>
      <c r="L309" s="52"/>
      <c r="M309" s="52" t="s">
        <v>0</v>
      </c>
      <c r="N309" s="17" t="s">
        <v>20</v>
      </c>
      <c r="O309" s="51">
        <v>45925</v>
      </c>
      <c r="P309" s="47"/>
    </row>
    <row r="310" spans="1:16" x14ac:dyDescent="0.25">
      <c r="A310" s="55">
        <v>93402</v>
      </c>
      <c r="B310" s="51">
        <v>45831</v>
      </c>
      <c r="C310" s="16"/>
      <c r="D310" s="52">
        <v>2</v>
      </c>
      <c r="E310" s="52">
        <v>50</v>
      </c>
      <c r="F310" s="52">
        <v>50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107</v>
      </c>
      <c r="O310" s="51">
        <v>45831</v>
      </c>
      <c r="P310" s="47"/>
    </row>
    <row r="311" spans="1:16" x14ac:dyDescent="0.25">
      <c r="A311" s="55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55">
        <v>93406</v>
      </c>
      <c r="B312" s="51">
        <v>45840</v>
      </c>
      <c r="C312" s="16"/>
      <c r="D312" s="52">
        <v>2</v>
      </c>
      <c r="E312" s="52">
        <v>77</v>
      </c>
      <c r="F312" s="52">
        <v>77</v>
      </c>
      <c r="G312" s="52">
        <v>0</v>
      </c>
      <c r="H312" s="52">
        <v>0</v>
      </c>
      <c r="I312" s="60"/>
      <c r="J312" s="52"/>
      <c r="K312" s="60"/>
      <c r="L312" s="52"/>
      <c r="M312" s="52" t="s">
        <v>0</v>
      </c>
      <c r="N312" s="17" t="s">
        <v>20</v>
      </c>
      <c r="O312" s="51">
        <v>45840</v>
      </c>
      <c r="P312" s="47"/>
    </row>
    <row r="313" spans="1:16" x14ac:dyDescent="0.25">
      <c r="A313" s="55">
        <v>93408</v>
      </c>
      <c r="B313" s="65">
        <v>45928</v>
      </c>
      <c r="C313" s="16"/>
      <c r="D313" s="52">
        <v>2</v>
      </c>
      <c r="E313" s="52">
        <v>146</v>
      </c>
      <c r="F313" s="52">
        <v>146</v>
      </c>
      <c r="G313" s="52">
        <v>0</v>
      </c>
      <c r="H313" s="52">
        <v>0</v>
      </c>
      <c r="I313" s="60"/>
      <c r="J313" s="52"/>
      <c r="K313" s="60"/>
      <c r="L313" s="52"/>
      <c r="M313" s="52" t="s">
        <v>0</v>
      </c>
      <c r="N313" s="17" t="s">
        <v>106</v>
      </c>
      <c r="O313" s="51">
        <v>45928</v>
      </c>
      <c r="P313" s="47"/>
    </row>
    <row r="314" spans="1:16" x14ac:dyDescent="0.25">
      <c r="A314" s="55">
        <v>93410</v>
      </c>
      <c r="B314" s="51">
        <v>45809</v>
      </c>
      <c r="C314" s="16"/>
      <c r="D314" s="52">
        <v>2</v>
      </c>
      <c r="E314" s="52">
        <v>35</v>
      </c>
      <c r="F314" s="52">
        <v>35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102</v>
      </c>
      <c r="O314" s="51">
        <v>45809</v>
      </c>
      <c r="P314" s="47"/>
    </row>
    <row r="315" spans="1:16" x14ac:dyDescent="0.25">
      <c r="A315" s="55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x14ac:dyDescent="0.25">
      <c r="A316" s="55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55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55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55">
        <v>93420</v>
      </c>
      <c r="B319" s="51">
        <v>45860</v>
      </c>
      <c r="C319" s="16"/>
      <c r="D319" s="52">
        <v>2</v>
      </c>
      <c r="E319" s="52">
        <v>130</v>
      </c>
      <c r="F319" s="52">
        <v>130</v>
      </c>
      <c r="G319" s="52">
        <v>0</v>
      </c>
      <c r="H319" s="52">
        <v>0</v>
      </c>
      <c r="I319" s="60"/>
      <c r="J319" s="52"/>
      <c r="K319" s="60"/>
      <c r="L319" s="52"/>
      <c r="M319" s="52" t="s">
        <v>0</v>
      </c>
      <c r="N319" s="17" t="s">
        <v>102</v>
      </c>
      <c r="O319" s="51">
        <v>45860</v>
      </c>
      <c r="P319" s="47"/>
    </row>
    <row r="320" spans="1:16" x14ac:dyDescent="0.25">
      <c r="A320" s="55">
        <v>93422</v>
      </c>
      <c r="B320" s="51">
        <v>45811</v>
      </c>
      <c r="C320" s="16"/>
      <c r="D320" s="52">
        <v>2</v>
      </c>
      <c r="E320" s="52">
        <v>210</v>
      </c>
      <c r="F320" s="52">
        <v>210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106</v>
      </c>
      <c r="O320" s="51">
        <v>45811</v>
      </c>
      <c r="P320" s="47"/>
    </row>
    <row r="321" spans="1:16" x14ac:dyDescent="0.25">
      <c r="A321" s="55">
        <v>93424</v>
      </c>
      <c r="B321" s="51">
        <v>45859</v>
      </c>
      <c r="C321" s="16"/>
      <c r="D321" s="52">
        <v>1</v>
      </c>
      <c r="E321" s="52">
        <v>160</v>
      </c>
      <c r="F321" s="52">
        <v>160</v>
      </c>
      <c r="G321" s="52">
        <v>0</v>
      </c>
      <c r="H321" s="52">
        <v>0</v>
      </c>
      <c r="I321" s="60"/>
      <c r="J321" s="52"/>
      <c r="K321" s="60"/>
      <c r="L321" s="52"/>
      <c r="M321" s="52" t="s">
        <v>0</v>
      </c>
      <c r="N321" s="17" t="s">
        <v>102</v>
      </c>
      <c r="O321" s="51">
        <v>45859</v>
      </c>
      <c r="P321" s="47"/>
    </row>
    <row r="322" spans="1:16" x14ac:dyDescent="0.25">
      <c r="A322" s="55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55">
        <v>93428</v>
      </c>
      <c r="B323" s="51">
        <v>45792</v>
      </c>
      <c r="C323" s="16"/>
      <c r="D323" s="52">
        <v>2</v>
      </c>
      <c r="E323" s="52">
        <v>112</v>
      </c>
      <c r="F323" s="52">
        <v>112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105</v>
      </c>
      <c r="O323" s="51">
        <v>45792</v>
      </c>
      <c r="P323" s="47"/>
    </row>
    <row r="324" spans="1:16" x14ac:dyDescent="0.25">
      <c r="A324" s="55">
        <v>93430</v>
      </c>
      <c r="B324" s="51">
        <v>45823</v>
      </c>
      <c r="C324" s="16"/>
      <c r="D324" s="52">
        <v>2</v>
      </c>
      <c r="E324" s="52">
        <v>140</v>
      </c>
      <c r="F324" s="52">
        <v>140</v>
      </c>
      <c r="G324" s="52">
        <v>0</v>
      </c>
      <c r="H324" s="52">
        <v>0</v>
      </c>
      <c r="I324" s="60"/>
      <c r="J324" s="52"/>
      <c r="K324" s="60"/>
      <c r="L324" s="52"/>
      <c r="M324" s="52" t="s">
        <v>0</v>
      </c>
      <c r="N324" s="17" t="s">
        <v>106</v>
      </c>
      <c r="O324" s="51">
        <v>45823</v>
      </c>
      <c r="P324" s="47"/>
    </row>
    <row r="325" spans="1:16" x14ac:dyDescent="0.25">
      <c r="A325" s="55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55">
        <v>93434</v>
      </c>
      <c r="B326" s="51">
        <v>45881</v>
      </c>
      <c r="C326" s="16"/>
      <c r="D326" s="52">
        <v>2</v>
      </c>
      <c r="E326" s="52">
        <v>110</v>
      </c>
      <c r="F326" s="52">
        <v>110</v>
      </c>
      <c r="G326" s="52">
        <v>0</v>
      </c>
      <c r="H326" s="52">
        <v>0</v>
      </c>
      <c r="I326" s="60"/>
      <c r="J326" s="52"/>
      <c r="K326" s="60"/>
      <c r="L326" s="52"/>
      <c r="M326" s="52" t="s">
        <v>0</v>
      </c>
      <c r="N326" s="17" t="s">
        <v>106</v>
      </c>
      <c r="O326" s="51">
        <v>45881</v>
      </c>
      <c r="P326" s="47"/>
    </row>
    <row r="327" spans="1:16" x14ac:dyDescent="0.25">
      <c r="A327" s="55">
        <v>93436</v>
      </c>
      <c r="B327" s="51">
        <v>45811</v>
      </c>
      <c r="C327" s="16"/>
      <c r="D327" s="52">
        <v>2</v>
      </c>
      <c r="E327" s="52">
        <v>160</v>
      </c>
      <c r="F327" s="52">
        <v>160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106</v>
      </c>
      <c r="O327" s="51">
        <v>45811</v>
      </c>
      <c r="P327" s="47"/>
    </row>
    <row r="328" spans="1:16" x14ac:dyDescent="0.25">
      <c r="A328" s="55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55">
        <v>93440</v>
      </c>
      <c r="B329" s="65">
        <v>45945</v>
      </c>
      <c r="C329" s="16"/>
      <c r="D329" s="52">
        <v>2</v>
      </c>
      <c r="E329" s="52">
        <v>138</v>
      </c>
      <c r="F329" s="52">
        <v>2</v>
      </c>
      <c r="G329" s="52">
        <v>0</v>
      </c>
      <c r="H329" s="52">
        <v>0</v>
      </c>
      <c r="I329" s="60"/>
      <c r="J329" s="52"/>
      <c r="K329" s="60"/>
      <c r="L329" s="52"/>
      <c r="M329" s="52" t="s">
        <v>0</v>
      </c>
      <c r="N329" s="17" t="s">
        <v>102</v>
      </c>
      <c r="O329" s="51">
        <v>45945</v>
      </c>
      <c r="P329" s="47"/>
    </row>
    <row r="330" spans="1:16" x14ac:dyDescent="0.25">
      <c r="A330" s="55">
        <v>93442</v>
      </c>
      <c r="B330" s="51">
        <v>45874</v>
      </c>
      <c r="C330" s="16"/>
      <c r="D330" s="52">
        <v>2</v>
      </c>
      <c r="E330" s="52">
        <v>55</v>
      </c>
      <c r="F330" s="52">
        <v>55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102</v>
      </c>
      <c r="O330" s="51">
        <v>45874</v>
      </c>
      <c r="P330" s="47"/>
    </row>
    <row r="331" spans="1:16" x14ac:dyDescent="0.25">
      <c r="A331" s="55">
        <v>93444</v>
      </c>
      <c r="B331" s="65">
        <v>45931</v>
      </c>
      <c r="C331" s="16"/>
      <c r="D331" s="52">
        <v>2</v>
      </c>
      <c r="E331" s="52">
        <v>146</v>
      </c>
      <c r="F331" s="52">
        <v>146</v>
      </c>
      <c r="G331" s="52">
        <v>0</v>
      </c>
      <c r="H331" s="52">
        <v>0</v>
      </c>
      <c r="I331" s="60"/>
      <c r="J331" s="52"/>
      <c r="K331" s="60"/>
      <c r="L331" s="52"/>
      <c r="M331" s="52" t="s">
        <v>0</v>
      </c>
      <c r="N331" s="17" t="s">
        <v>20</v>
      </c>
      <c r="O331" s="51">
        <v>45931</v>
      </c>
      <c r="P331" s="47"/>
    </row>
    <row r="332" spans="1:16" x14ac:dyDescent="0.25">
      <c r="A332" s="55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55">
        <v>93448</v>
      </c>
      <c r="B333" s="51">
        <v>45908</v>
      </c>
      <c r="C333" s="16"/>
      <c r="D333" s="52">
        <v>2</v>
      </c>
      <c r="E333" s="52">
        <v>122</v>
      </c>
      <c r="F333" s="52">
        <v>122</v>
      </c>
      <c r="G333" s="52">
        <v>0</v>
      </c>
      <c r="H333" s="52">
        <v>0</v>
      </c>
      <c r="I333" s="60"/>
      <c r="J333" s="52"/>
      <c r="K333" s="60"/>
      <c r="L333" s="52"/>
      <c r="M333" s="52" t="s">
        <v>0</v>
      </c>
      <c r="N333" s="17" t="s">
        <v>106</v>
      </c>
      <c r="O333" s="51">
        <v>45908</v>
      </c>
      <c r="P333" s="47"/>
    </row>
    <row r="334" spans="1:16" x14ac:dyDescent="0.25">
      <c r="A334" s="55">
        <v>93450</v>
      </c>
      <c r="B334" s="65">
        <v>45938</v>
      </c>
      <c r="C334" s="16"/>
      <c r="D334" s="52">
        <v>2</v>
      </c>
      <c r="E334" s="52">
        <v>101</v>
      </c>
      <c r="F334" s="52">
        <v>101</v>
      </c>
      <c r="G334" s="52">
        <v>0</v>
      </c>
      <c r="H334" s="52">
        <v>0</v>
      </c>
      <c r="I334" s="60"/>
      <c r="J334" s="52"/>
      <c r="K334" s="60"/>
      <c r="L334" s="52"/>
      <c r="M334" s="52" t="s">
        <v>0</v>
      </c>
      <c r="N334" s="17" t="s">
        <v>20</v>
      </c>
      <c r="O334" s="51">
        <v>45938</v>
      </c>
      <c r="P334" s="47"/>
    </row>
    <row r="335" spans="1:16" x14ac:dyDescent="0.25">
      <c r="A335" s="55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55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55">
        <v>93456</v>
      </c>
      <c r="B337" s="51">
        <v>45797</v>
      </c>
      <c r="C337" s="16"/>
      <c r="D337" s="52">
        <v>2</v>
      </c>
      <c r="E337" s="52">
        <v>180</v>
      </c>
      <c r="F337" s="52">
        <v>180</v>
      </c>
      <c r="G337" s="52">
        <v>0</v>
      </c>
      <c r="H337" s="52">
        <v>0</v>
      </c>
      <c r="I337" s="60"/>
      <c r="J337" s="52"/>
      <c r="K337" s="60"/>
      <c r="L337" s="52"/>
      <c r="M337" s="52" t="s">
        <v>0</v>
      </c>
      <c r="N337" s="17" t="s">
        <v>106</v>
      </c>
      <c r="O337" s="51">
        <v>45797</v>
      </c>
      <c r="P337" s="47"/>
    </row>
    <row r="338" spans="1:16" x14ac:dyDescent="0.25">
      <c r="A338" s="55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55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55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55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phoneticPr fontId="9" type="noConversion"/>
  <conditionalFormatting sqref="A2:A71">
    <cfRule type="expression" dxfId="131" priority="10" stopIfTrue="1">
      <formula>#REF!=1</formula>
    </cfRule>
    <cfRule type="expression" dxfId="130" priority="11" stopIfTrue="1">
      <formula>#REF!=2</formula>
    </cfRule>
  </conditionalFormatting>
  <conditionalFormatting sqref="A2:A169">
    <cfRule type="expression" dxfId="129" priority="7" stopIfTrue="1">
      <formula>#REF!="w"</formula>
    </cfRule>
  </conditionalFormatting>
  <conditionalFormatting sqref="A72:A169">
    <cfRule type="expression" dxfId="128" priority="8" stopIfTrue="1">
      <formula>#REF!=1</formula>
    </cfRule>
    <cfRule type="expression" dxfId="127" priority="9" stopIfTrue="1">
      <formula>#REF!=2</formula>
    </cfRule>
  </conditionalFormatting>
  <conditionalFormatting sqref="A171:A225">
    <cfRule type="expression" dxfId="126" priority="4" stopIfTrue="1">
      <formula>#REF!="w"</formula>
    </cfRule>
    <cfRule type="expression" dxfId="125" priority="5" stopIfTrue="1">
      <formula>#REF!=1</formula>
    </cfRule>
    <cfRule type="expression" dxfId="124" priority="6" stopIfTrue="1">
      <formula>#REF!=2</formula>
    </cfRule>
  </conditionalFormatting>
  <conditionalFormatting sqref="A227:A341">
    <cfRule type="expression" dxfId="123" priority="1" stopIfTrue="1">
      <formula>#REF!="w"</formula>
    </cfRule>
    <cfRule type="expression" dxfId="122" priority="2" stopIfTrue="1">
      <formula>#REF!=1</formula>
    </cfRule>
    <cfRule type="expression" dxfId="121" priority="3" stopIfTrue="1">
      <formula>#REF!=2</formula>
    </cfRule>
  </conditionalFormatting>
  <dataValidations count="2">
    <dataValidation type="whole" operator="greaterThanOrEqual" allowBlank="1" showInputMessage="1" showErrorMessage="1" sqref="A2:A341 D1 D2:D341 E2:E341 F2:F341 G2:G341 H2:H341 J2:J341 L2:L341" xr:uid="{E658EBB0-0027-419A-9A4C-E7D725918837}">
      <formula1>0</formula1>
    </dataValidation>
    <dataValidation type="date" operator="greaterThanOrEqual" allowBlank="1" showInputMessage="1" showErrorMessage="1" sqref="B2:B341 I2:I341 K2:K341 O2:O341" xr:uid="{968655F3-D9CA-4E6F-A20A-80F27D2A304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F9CEDF3-83CC-41F7-AABD-5409FB84E312}">
          <x14:formula1>
            <xm:f>Inspected!$F$1</xm:f>
          </x14:formula1>
          <xm:sqref>C2:C341</xm:sqref>
        </x14:dataValidation>
        <x14:dataValidation type="list" allowBlank="1" showInputMessage="1" showErrorMessage="1" xr:uid="{1A2C195B-62C7-4642-A9A5-524CDC2FB3BE}">
          <x14:formula1>
            <xm:f>Inspected!$A$1:$A$2</xm:f>
          </x14:formula1>
          <xm:sqref>M290:M341 M2:M139 M141:M288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AEF5-752C-4918-8365-FB1811A58B87}">
  <dimension ref="A1:U341"/>
  <sheetViews>
    <sheetView topLeftCell="A174" workbookViewId="0">
      <selection activeCell="O201" sqref="O201"/>
    </sheetView>
  </sheetViews>
  <sheetFormatPr defaultColWidth="15.7109375" defaultRowHeight="15" x14ac:dyDescent="0.25"/>
  <cols>
    <col min="1" max="1" width="9.28515625" style="1" customWidth="1"/>
    <col min="2" max="2" width="11.7109375" style="1" customWidth="1"/>
    <col min="3" max="3" width="10.42578125" style="1" customWidth="1"/>
    <col min="4" max="4" width="22.42578125" style="1" customWidth="1"/>
    <col min="5" max="6" width="10.28515625" style="1" customWidth="1"/>
    <col min="7" max="7" width="13" style="1" customWidth="1"/>
    <col min="8" max="8" width="18.42578125" style="1" customWidth="1"/>
    <col min="9" max="9" width="15.7109375" style="61"/>
    <col min="10" max="10" width="9.7109375" style="1" customWidth="1"/>
    <col min="11" max="11" width="15.7109375" style="61"/>
    <col min="12" max="12" width="10.7109375" style="1" customWidth="1"/>
    <col min="13" max="13" width="15.7109375" style="1"/>
    <col min="14" max="14" width="15.28515625" style="1" customWidth="1"/>
    <col min="15" max="15" width="28" style="1" customWidth="1"/>
    <col min="16" max="16" width="22.28515625" style="1" customWidth="1"/>
    <col min="17" max="16384" width="15.7109375" style="1"/>
  </cols>
  <sheetData>
    <row r="1" spans="1:21" ht="60.75" thickBot="1" x14ac:dyDescent="0.3">
      <c r="A1" s="7" t="s">
        <v>3</v>
      </c>
      <c r="B1" s="25" t="s">
        <v>4</v>
      </c>
      <c r="C1" s="25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46</v>
      </c>
      <c r="U4" s="53">
        <f>T4/S4*100</f>
        <v>13.529411764705882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>
        <v>45881</v>
      </c>
      <c r="C9" s="16"/>
      <c r="D9" s="52">
        <v>2</v>
      </c>
      <c r="E9" s="52">
        <v>130</v>
      </c>
      <c r="F9" s="52">
        <v>130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104</v>
      </c>
      <c r="O9" s="51">
        <v>45881</v>
      </c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>
        <v>45872</v>
      </c>
      <c r="C21" s="16"/>
      <c r="D21" s="52">
        <v>1</v>
      </c>
      <c r="E21" s="52">
        <v>40</v>
      </c>
      <c r="F21" s="52">
        <v>40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104</v>
      </c>
      <c r="O21" s="51">
        <v>45872</v>
      </c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65">
        <v>45945</v>
      </c>
      <c r="C25" s="16"/>
      <c r="D25" s="52">
        <v>1</v>
      </c>
      <c r="E25" s="52">
        <v>42</v>
      </c>
      <c r="F25" s="52">
        <v>42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109</v>
      </c>
      <c r="O25" s="51">
        <v>45945</v>
      </c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65">
        <v>45929</v>
      </c>
      <c r="C27" s="16"/>
      <c r="D27" s="52">
        <v>2</v>
      </c>
      <c r="E27" s="52">
        <v>162</v>
      </c>
      <c r="F27" s="52">
        <v>162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45929</v>
      </c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>
        <v>45882</v>
      </c>
      <c r="C34" s="16"/>
      <c r="D34" s="52">
        <v>2</v>
      </c>
      <c r="E34" s="52">
        <v>200</v>
      </c>
      <c r="F34" s="52">
        <v>200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20</v>
      </c>
      <c r="O34" s="51">
        <v>45882</v>
      </c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>
        <v>45854</v>
      </c>
      <c r="C43" s="16"/>
      <c r="D43" s="52">
        <v>2</v>
      </c>
      <c r="E43" s="52">
        <v>160</v>
      </c>
      <c r="F43" s="52">
        <v>160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104</v>
      </c>
      <c r="O43" s="51">
        <v>45854</v>
      </c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>
        <v>45914</v>
      </c>
      <c r="C49" s="16"/>
      <c r="D49" s="52">
        <v>2</v>
      </c>
      <c r="E49" s="52">
        <v>104</v>
      </c>
      <c r="F49" s="52">
        <v>104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45914</v>
      </c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65">
        <v>45949</v>
      </c>
      <c r="C51" s="16"/>
      <c r="D51" s="52">
        <v>2</v>
      </c>
      <c r="E51" s="52">
        <v>212</v>
      </c>
      <c r="F51" s="52">
        <v>212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104</v>
      </c>
      <c r="O51" s="51">
        <v>45949</v>
      </c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65">
        <v>45944</v>
      </c>
      <c r="C58" s="16"/>
      <c r="D58" s="52">
        <v>2</v>
      </c>
      <c r="E58" s="52">
        <v>96</v>
      </c>
      <c r="F58" s="52">
        <v>96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104</v>
      </c>
      <c r="O58" s="51">
        <v>45944</v>
      </c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>
        <v>45869</v>
      </c>
      <c r="C62" s="16"/>
      <c r="D62" s="52">
        <v>2</v>
      </c>
      <c r="E62" s="52">
        <v>108</v>
      </c>
      <c r="F62" s="52">
        <v>108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104</v>
      </c>
      <c r="O62" s="51">
        <v>45869</v>
      </c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>
        <v>45833</v>
      </c>
      <c r="C64" s="16"/>
      <c r="D64" s="52">
        <v>2</v>
      </c>
      <c r="E64" s="52">
        <v>88</v>
      </c>
      <c r="F64" s="52">
        <v>88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104</v>
      </c>
      <c r="O64" s="51">
        <v>45833</v>
      </c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65">
        <v>45944</v>
      </c>
      <c r="C67" s="16"/>
      <c r="D67" s="52">
        <v>2</v>
      </c>
      <c r="E67" s="52">
        <v>238</v>
      </c>
      <c r="F67" s="52">
        <v>238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104</v>
      </c>
      <c r="O67" s="51">
        <v>45944</v>
      </c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109</v>
      </c>
      <c r="O70" s="51">
        <v>45910</v>
      </c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>
        <v>45904</v>
      </c>
      <c r="C81" s="16"/>
      <c r="D81" s="52">
        <v>2</v>
      </c>
      <c r="E81" s="52">
        <v>52</v>
      </c>
      <c r="F81" s="52">
        <v>52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109</v>
      </c>
      <c r="O81" s="51">
        <v>45904</v>
      </c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>
        <v>45901</v>
      </c>
      <c r="C94" s="16"/>
      <c r="D94" s="52">
        <v>2</v>
      </c>
      <c r="E94" s="52">
        <v>60</v>
      </c>
      <c r="F94" s="52">
        <v>60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45901</v>
      </c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>
        <v>45903</v>
      </c>
      <c r="C101" s="16"/>
      <c r="D101" s="52">
        <v>2</v>
      </c>
      <c r="E101" s="52">
        <v>62</v>
      </c>
      <c r="F101" s="52">
        <v>62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109</v>
      </c>
      <c r="O101" s="51">
        <v>45903</v>
      </c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>
        <v>45880</v>
      </c>
      <c r="C107" s="16"/>
      <c r="D107" s="52">
        <v>2</v>
      </c>
      <c r="E107" s="52">
        <v>88</v>
      </c>
      <c r="F107" s="52">
        <v>88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20</v>
      </c>
      <c r="O107" s="51">
        <v>45880</v>
      </c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>
        <v>45900</v>
      </c>
      <c r="C112" s="16"/>
      <c r="D112" s="52">
        <v>2</v>
      </c>
      <c r="E112" s="52">
        <v>59</v>
      </c>
      <c r="F112" s="52">
        <v>59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45900</v>
      </c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65">
        <v>45943</v>
      </c>
      <c r="C129" s="16"/>
      <c r="D129" s="52">
        <v>2</v>
      </c>
      <c r="E129" s="52">
        <v>133</v>
      </c>
      <c r="F129" s="52">
        <v>133</v>
      </c>
      <c r="G129" s="52">
        <v>0</v>
      </c>
      <c r="H129" s="52">
        <v>0</v>
      </c>
      <c r="I129" s="60"/>
      <c r="J129" s="52"/>
      <c r="K129" s="60"/>
      <c r="L129" s="52"/>
      <c r="M129" s="52" t="s">
        <v>26</v>
      </c>
      <c r="N129" s="17" t="s">
        <v>102</v>
      </c>
      <c r="O129" s="51">
        <v>45943</v>
      </c>
      <c r="P129" s="47"/>
    </row>
    <row r="130" spans="1:16" x14ac:dyDescent="0.25">
      <c r="A130" s="42">
        <v>91257</v>
      </c>
      <c r="B130" s="65">
        <v>45937</v>
      </c>
      <c r="C130" s="16"/>
      <c r="D130" s="52">
        <v>2</v>
      </c>
      <c r="E130" s="52">
        <v>62</v>
      </c>
      <c r="F130" s="52">
        <v>62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104</v>
      </c>
      <c r="O130" s="51">
        <v>45937</v>
      </c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>
        <v>45897</v>
      </c>
      <c r="C132" s="16"/>
      <c r="D132" s="52">
        <v>2</v>
      </c>
      <c r="E132" s="52">
        <v>88</v>
      </c>
      <c r="F132" s="52">
        <v>88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20</v>
      </c>
      <c r="O132" s="51">
        <v>45897</v>
      </c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>
        <v>45880</v>
      </c>
      <c r="C135" s="16"/>
      <c r="D135" s="52">
        <v>2</v>
      </c>
      <c r="E135" s="52">
        <v>98</v>
      </c>
      <c r="F135" s="52">
        <v>98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20</v>
      </c>
      <c r="O135" s="51">
        <v>45880</v>
      </c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65">
        <v>45787</v>
      </c>
      <c r="C137" s="16"/>
      <c r="D137" s="52">
        <v>2</v>
      </c>
      <c r="E137" s="52">
        <v>80</v>
      </c>
      <c r="F137" s="52">
        <v>80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20</v>
      </c>
      <c r="O137" s="51">
        <v>45787</v>
      </c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65">
        <v>45787</v>
      </c>
      <c r="C151" s="16"/>
      <c r="D151" s="52">
        <v>2</v>
      </c>
      <c r="E151" s="52">
        <v>86</v>
      </c>
      <c r="F151" s="52">
        <v>86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20</v>
      </c>
      <c r="O151" s="51">
        <v>45787</v>
      </c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>
        <v>45917</v>
      </c>
      <c r="C155" s="16"/>
      <c r="D155" s="52">
        <v>1</v>
      </c>
      <c r="E155" s="52">
        <v>34</v>
      </c>
      <c r="F155" s="52"/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45918</v>
      </c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>
        <v>45879</v>
      </c>
      <c r="C159" s="16"/>
      <c r="D159" s="52">
        <v>2</v>
      </c>
      <c r="E159" s="52">
        <v>120</v>
      </c>
      <c r="F159" s="52">
        <v>120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45879</v>
      </c>
      <c r="P159" s="47"/>
    </row>
    <row r="160" spans="1:16" x14ac:dyDescent="0.25">
      <c r="A160" s="42">
        <v>91317</v>
      </c>
      <c r="B160" s="51">
        <v>45817</v>
      </c>
      <c r="C160" s="16"/>
      <c r="D160" s="52">
        <v>2</v>
      </c>
      <c r="E160" s="52">
        <v>222</v>
      </c>
      <c r="F160" s="52">
        <v>222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102</v>
      </c>
      <c r="O160" s="51">
        <v>45817</v>
      </c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>
        <v>45858</v>
      </c>
      <c r="C168" s="16"/>
      <c r="D168" s="52">
        <v>2</v>
      </c>
      <c r="E168" s="52">
        <v>150</v>
      </c>
      <c r="F168" s="52">
        <v>150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102</v>
      </c>
      <c r="O168" s="51">
        <v>45858</v>
      </c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65">
        <v>45937</v>
      </c>
      <c r="C184" s="16"/>
      <c r="D184" s="52">
        <v>2</v>
      </c>
      <c r="E184" s="52">
        <v>136</v>
      </c>
      <c r="F184" s="52">
        <v>136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104</v>
      </c>
      <c r="O184" s="51">
        <v>45937</v>
      </c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65">
        <v>45936</v>
      </c>
      <c r="C194" s="16"/>
      <c r="D194" s="52">
        <v>2</v>
      </c>
      <c r="E194" s="52">
        <v>144</v>
      </c>
      <c r="F194" s="52">
        <v>144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45936</v>
      </c>
      <c r="P194" s="47"/>
    </row>
    <row r="195" spans="1:16" x14ac:dyDescent="0.25">
      <c r="A195" s="42">
        <v>93038</v>
      </c>
      <c r="B195" s="65">
        <v>45938</v>
      </c>
      <c r="C195" s="16"/>
      <c r="D195" s="52">
        <v>2</v>
      </c>
      <c r="E195" s="52">
        <v>62</v>
      </c>
      <c r="F195" s="52">
        <v>62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104</v>
      </c>
      <c r="O195" s="51">
        <v>45938</v>
      </c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68">
        <v>45950</v>
      </c>
      <c r="C201" s="16"/>
      <c r="D201" s="52">
        <v>2</v>
      </c>
      <c r="E201" s="52">
        <v>142</v>
      </c>
      <c r="F201" s="52">
        <v>142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104</v>
      </c>
      <c r="O201" s="51">
        <v>45950</v>
      </c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>
        <v>45893</v>
      </c>
      <c r="C232" s="16"/>
      <c r="D232" s="52">
        <v>2</v>
      </c>
      <c r="E232" s="52">
        <v>100</v>
      </c>
      <c r="F232" s="52">
        <v>100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45893</v>
      </c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>
        <v>45903</v>
      </c>
      <c r="C234" s="16"/>
      <c r="D234" s="52">
        <v>2</v>
      </c>
      <c r="E234" s="52">
        <v>102</v>
      </c>
      <c r="F234" s="52">
        <v>102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110</v>
      </c>
      <c r="O234" s="51">
        <v>45903</v>
      </c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>
        <v>45883</v>
      </c>
      <c r="C240" s="16"/>
      <c r="D240" s="52">
        <v>2</v>
      </c>
      <c r="E240" s="52">
        <v>180</v>
      </c>
      <c r="F240" s="52">
        <v>180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45883</v>
      </c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>
        <v>45915</v>
      </c>
      <c r="C244" s="16"/>
      <c r="D244" s="52">
        <v>2</v>
      </c>
      <c r="E244" s="52">
        <v>157</v>
      </c>
      <c r="F244" s="52">
        <v>157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20</v>
      </c>
      <c r="O244" s="51">
        <v>45915</v>
      </c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>
        <v>45910</v>
      </c>
      <c r="C256" s="16"/>
      <c r="D256" s="52">
        <v>2</v>
      </c>
      <c r="E256" s="52">
        <v>72</v>
      </c>
      <c r="F256" s="52">
        <v>72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110</v>
      </c>
      <c r="O256" s="51">
        <v>45910</v>
      </c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>
        <v>45886</v>
      </c>
      <c r="C263" s="16"/>
      <c r="D263" s="52">
        <v>2</v>
      </c>
      <c r="E263" s="52">
        <v>140</v>
      </c>
      <c r="F263" s="52">
        <v>140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45886</v>
      </c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>
        <v>45819</v>
      </c>
      <c r="C265" s="16"/>
      <c r="D265" s="52">
        <v>1</v>
      </c>
      <c r="E265" s="52">
        <v>40</v>
      </c>
      <c r="F265" s="52">
        <v>40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104</v>
      </c>
      <c r="O265" s="51">
        <v>45819</v>
      </c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>
        <v>45832</v>
      </c>
      <c r="C274" s="16"/>
      <c r="D274" s="52">
        <v>2</v>
      </c>
      <c r="E274" s="52">
        <v>30</v>
      </c>
      <c r="F274" s="52">
        <v>30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45832</v>
      </c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65">
        <v>45946</v>
      </c>
      <c r="C276" s="16"/>
      <c r="D276" s="52">
        <v>2</v>
      </c>
      <c r="E276" s="52">
        <v>142</v>
      </c>
      <c r="F276" s="52">
        <v>142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110</v>
      </c>
      <c r="O276" s="51">
        <v>45946</v>
      </c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>
        <v>45879</v>
      </c>
      <c r="C310" s="16"/>
      <c r="D310" s="52">
        <v>2</v>
      </c>
      <c r="E310" s="52">
        <v>124</v>
      </c>
      <c r="F310" s="52">
        <v>124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20</v>
      </c>
      <c r="O310" s="51">
        <v>45879</v>
      </c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>
        <v>45893</v>
      </c>
      <c r="C314" s="16"/>
      <c r="D314" s="52">
        <v>2</v>
      </c>
      <c r="E314" s="52">
        <v>120</v>
      </c>
      <c r="F314" s="52">
        <v>120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20</v>
      </c>
      <c r="O314" s="51">
        <v>45893</v>
      </c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>
        <v>45865</v>
      </c>
      <c r="C320" s="16"/>
      <c r="D320" s="52">
        <v>2</v>
      </c>
      <c r="E320" s="52">
        <v>268</v>
      </c>
      <c r="F320" s="52">
        <v>268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20</v>
      </c>
      <c r="O320" s="51">
        <v>45865</v>
      </c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>
        <v>45823</v>
      </c>
      <c r="C323" s="16"/>
      <c r="D323" s="52">
        <v>2</v>
      </c>
      <c r="E323" s="52">
        <v>150</v>
      </c>
      <c r="F323" s="52">
        <v>150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20</v>
      </c>
      <c r="O323" s="51">
        <v>45823</v>
      </c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>
        <v>45854</v>
      </c>
      <c r="C327" s="16"/>
      <c r="D327" s="52">
        <v>2</v>
      </c>
      <c r="E327" s="52">
        <v>170</v>
      </c>
      <c r="F327" s="52">
        <v>170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20</v>
      </c>
      <c r="O327" s="51">
        <v>45854</v>
      </c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120" priority="10" stopIfTrue="1">
      <formula>#REF!=1</formula>
    </cfRule>
    <cfRule type="expression" dxfId="119" priority="11" stopIfTrue="1">
      <formula>#REF!=2</formula>
    </cfRule>
  </conditionalFormatting>
  <conditionalFormatting sqref="A2:A169">
    <cfRule type="expression" dxfId="118" priority="7" stopIfTrue="1">
      <formula>#REF!="w"</formula>
    </cfRule>
  </conditionalFormatting>
  <conditionalFormatting sqref="A72:A169">
    <cfRule type="expression" dxfId="117" priority="8" stopIfTrue="1">
      <formula>#REF!=1</formula>
    </cfRule>
    <cfRule type="expression" dxfId="116" priority="9" stopIfTrue="1">
      <formula>#REF!=2</formula>
    </cfRule>
  </conditionalFormatting>
  <conditionalFormatting sqref="A171:A225">
    <cfRule type="expression" dxfId="115" priority="4" stopIfTrue="1">
      <formula>#REF!="w"</formula>
    </cfRule>
    <cfRule type="expression" dxfId="114" priority="5" stopIfTrue="1">
      <formula>#REF!=1</formula>
    </cfRule>
    <cfRule type="expression" dxfId="113" priority="6" stopIfTrue="1">
      <formula>#REF!=2</formula>
    </cfRule>
  </conditionalFormatting>
  <conditionalFormatting sqref="A227:A341">
    <cfRule type="expression" dxfId="112" priority="1" stopIfTrue="1">
      <formula>#REF!="w"</formula>
    </cfRule>
    <cfRule type="expression" dxfId="111" priority="2" stopIfTrue="1">
      <formula>#REF!=1</formula>
    </cfRule>
    <cfRule type="expression" dxfId="110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6D347FB2-8804-4FD6-9DF5-7F8B85380A30}">
      <formula1>0</formula1>
    </dataValidation>
    <dataValidation type="date" operator="greaterThanOrEqual" allowBlank="1" showInputMessage="1" showErrorMessage="1" sqref="B2:B341 I2:I341 K2:K341 O2:O341" xr:uid="{2F3671C7-B0CC-409D-84C4-3CADB1F87B9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95E686C-E825-4077-B403-DAF128862949}">
          <x14:formula1>
            <xm:f>Inspected!$A$1:$A$2</xm:f>
          </x14:formula1>
          <xm:sqref>M2:M341</xm:sqref>
        </x14:dataValidation>
        <x14:dataValidation type="list" allowBlank="1" showInputMessage="1" showErrorMessage="1" xr:uid="{2DE4DE50-DD4A-42D3-946D-0D2004B71D55}">
          <x14:formula1>
            <xm:f>Inspected!$F$1</xm:f>
          </x14:formula1>
          <xm:sqref>C2:C341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82F8-DB3C-4F43-A611-C7DEDEE3735E}">
  <dimension ref="A1:U341"/>
  <sheetViews>
    <sheetView topLeftCell="B1" workbookViewId="0">
      <selection activeCell="B160" sqref="B160"/>
    </sheetView>
  </sheetViews>
  <sheetFormatPr defaultColWidth="19.28515625" defaultRowHeight="15" x14ac:dyDescent="0.25"/>
  <cols>
    <col min="1" max="1" width="10" style="1" customWidth="1"/>
    <col min="2" max="2" width="14.28515625" style="1" customWidth="1"/>
    <col min="3" max="3" width="13" style="1" customWidth="1"/>
    <col min="4" max="4" width="22.7109375" style="1" customWidth="1"/>
    <col min="5" max="5" width="12.28515625" style="1" customWidth="1"/>
    <col min="6" max="6" width="11.7109375" style="1" customWidth="1"/>
    <col min="7" max="7" width="12.28515625" style="1" customWidth="1"/>
    <col min="8" max="8" width="17" style="1" customWidth="1"/>
    <col min="9" max="9" width="14" style="61" customWidth="1"/>
    <col min="10" max="10" width="12.28515625" style="1" customWidth="1"/>
    <col min="11" max="11" width="14.5703125" style="61" customWidth="1"/>
    <col min="12" max="12" width="12.7109375" style="1" customWidth="1"/>
    <col min="13" max="13" width="16.28515625" style="1" customWidth="1"/>
    <col min="14" max="14" width="13.7109375" style="1" customWidth="1"/>
    <col min="15" max="15" width="29.42578125" style="1" customWidth="1"/>
    <col min="16" max="16" width="24" style="1" customWidth="1"/>
    <col min="17" max="16384" width="19.285156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19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0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33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4</v>
      </c>
      <c r="U4" s="53">
        <f>T4/S4*100</f>
        <v>1.1764705882352942</v>
      </c>
    </row>
    <row r="5" spans="1:21" ht="15" customHeight="1" x14ac:dyDescent="0.25">
      <c r="A5" s="33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33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33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33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33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33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33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33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33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33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33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33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33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33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33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33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33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33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33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33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33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33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33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33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33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33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33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33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33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33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33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1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19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33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33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33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33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33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33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33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33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33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33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33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33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33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33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33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33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33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33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33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33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33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33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33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33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33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33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33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33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33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33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33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33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33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1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19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33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33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33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33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33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33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33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33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33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33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33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33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33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33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33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33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33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33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33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33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33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33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33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33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33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33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33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33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33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33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33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33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33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1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19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33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33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33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33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33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33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33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33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33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33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33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33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33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33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33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33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33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33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33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33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33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33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33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33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33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33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33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33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33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33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33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33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33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1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19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33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33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33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33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33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33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33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33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33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33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33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33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33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33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33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33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33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33">
        <v>91317</v>
      </c>
      <c r="B160" s="65">
        <v>45945</v>
      </c>
      <c r="C160" s="16"/>
      <c r="D160" s="52">
        <v>2</v>
      </c>
      <c r="E160" s="52">
        <v>125</v>
      </c>
      <c r="F160" s="52">
        <v>125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102</v>
      </c>
      <c r="O160" s="51">
        <v>45945</v>
      </c>
      <c r="P160" s="47"/>
    </row>
    <row r="161" spans="1:16" x14ac:dyDescent="0.25">
      <c r="A161" s="33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33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33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33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33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33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33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33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33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3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33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33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33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33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33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1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19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33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33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33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33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33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33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33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33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33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33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33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33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33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33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33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33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33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33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33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33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33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33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33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33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33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33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33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33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33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33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33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33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33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1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19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33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33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33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33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33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33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33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33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33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33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33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33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33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22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33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33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33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33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33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33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33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33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33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33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33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33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33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33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33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33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33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33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33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1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19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33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33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33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33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33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33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33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33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33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33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33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33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33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33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33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33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33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33">
        <v>93178</v>
      </c>
      <c r="B265" s="51">
        <v>45833</v>
      </c>
      <c r="C265" s="16"/>
      <c r="D265" s="52">
        <v>2</v>
      </c>
      <c r="E265" s="52">
        <v>66</v>
      </c>
      <c r="F265" s="52">
        <v>66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102</v>
      </c>
      <c r="O265" s="51">
        <v>45833</v>
      </c>
      <c r="P265" s="47"/>
    </row>
    <row r="266" spans="1:16" x14ac:dyDescent="0.25">
      <c r="A266" s="33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33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33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33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33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33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33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33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33">
        <v>93196</v>
      </c>
      <c r="B274" s="51">
        <v>45858</v>
      </c>
      <c r="C274" s="16"/>
      <c r="D274" s="52">
        <v>1</v>
      </c>
      <c r="E274" s="52">
        <v>30</v>
      </c>
      <c r="F274" s="52">
        <v>30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102</v>
      </c>
      <c r="O274" s="51">
        <v>45858</v>
      </c>
      <c r="P274" s="47"/>
    </row>
    <row r="275" spans="1:16" x14ac:dyDescent="0.25">
      <c r="A275" s="33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33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33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33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33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33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1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19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33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33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33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33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33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33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33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33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33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33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33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33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33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33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33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33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33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33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33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33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33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33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33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33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33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33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33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33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33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33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33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33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33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1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23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24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24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24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24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24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24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24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24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24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24">
        <v>93436</v>
      </c>
      <c r="B327" s="51">
        <v>45914</v>
      </c>
      <c r="C327" s="16"/>
      <c r="D327" s="52">
        <v>2</v>
      </c>
      <c r="E327" s="52">
        <v>88</v>
      </c>
      <c r="F327" s="52">
        <v>88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102</v>
      </c>
      <c r="O327" s="51">
        <v>45914</v>
      </c>
      <c r="P327" s="47"/>
    </row>
    <row r="328" spans="1:16" x14ac:dyDescent="0.25">
      <c r="A328" s="24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24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24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24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24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24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24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24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24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24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24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24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24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24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109" priority="10" stopIfTrue="1">
      <formula>#REF!=1</formula>
    </cfRule>
    <cfRule type="expression" dxfId="108" priority="11" stopIfTrue="1">
      <formula>#REF!=2</formula>
    </cfRule>
  </conditionalFormatting>
  <conditionalFormatting sqref="A2:A169">
    <cfRule type="expression" dxfId="107" priority="7" stopIfTrue="1">
      <formula>#REF!="w"</formula>
    </cfRule>
  </conditionalFormatting>
  <conditionalFormatting sqref="A72:A169">
    <cfRule type="expression" dxfId="106" priority="8" stopIfTrue="1">
      <formula>#REF!=1</formula>
    </cfRule>
    <cfRule type="expression" dxfId="105" priority="9" stopIfTrue="1">
      <formula>#REF!=2</formula>
    </cfRule>
  </conditionalFormatting>
  <conditionalFormatting sqref="A171:A225">
    <cfRule type="expression" dxfId="104" priority="4" stopIfTrue="1">
      <formula>#REF!="w"</formula>
    </cfRule>
    <cfRule type="expression" dxfId="103" priority="5" stopIfTrue="1">
      <formula>#REF!=1</formula>
    </cfRule>
    <cfRule type="expression" dxfId="102" priority="6" stopIfTrue="1">
      <formula>#REF!=2</formula>
    </cfRule>
  </conditionalFormatting>
  <conditionalFormatting sqref="A227:A341">
    <cfRule type="expression" dxfId="101" priority="1" stopIfTrue="1">
      <formula>#REF!="w"</formula>
    </cfRule>
    <cfRule type="expression" dxfId="100" priority="2" stopIfTrue="1">
      <formula>#REF!=1</formula>
    </cfRule>
    <cfRule type="expression" dxfId="99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1726970D-C138-4CC7-960F-6A2E2ED65CBC}">
      <formula1>0</formula1>
    </dataValidation>
    <dataValidation type="date" operator="greaterThanOrEqual" allowBlank="1" showInputMessage="1" showErrorMessage="1" sqref="B2:B341 I2:I341 K2:K341 O2:O341" xr:uid="{FE11CA2D-B7F1-4AC0-A70B-A74838B3CBA6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BF43692-86C0-4155-9283-77AC75CF82FA}">
          <x14:formula1>
            <xm:f>Inspected!$F$1</xm:f>
          </x14:formula1>
          <xm:sqref>C2:C341</xm:sqref>
        </x14:dataValidation>
        <x14:dataValidation type="list" allowBlank="1" showInputMessage="1" showErrorMessage="1" xr:uid="{6E67E373-B0DC-404D-BA1C-704FF3F63CB0}">
          <x14:formula1>
            <xm:f>Inspected!$A$1:$A$2</xm:f>
          </x14:formula1>
          <xm:sqref>M2:M341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25F1-EBCF-48D2-8974-DDE4BF1751FB}">
  <dimension ref="A1:U341"/>
  <sheetViews>
    <sheetView topLeftCell="A121" workbookViewId="0">
      <selection activeCell="B131" sqref="B131"/>
    </sheetView>
  </sheetViews>
  <sheetFormatPr defaultColWidth="20.28515625" defaultRowHeight="15" x14ac:dyDescent="0.25"/>
  <cols>
    <col min="1" max="1" width="8.140625" style="1" customWidth="1"/>
    <col min="2" max="2" width="16.7109375" style="1" customWidth="1"/>
    <col min="3" max="3" width="16.42578125" style="1" customWidth="1"/>
    <col min="4" max="4" width="24" style="1" customWidth="1"/>
    <col min="5" max="5" width="10.42578125" style="1" customWidth="1"/>
    <col min="6" max="6" width="13.28515625" style="1" customWidth="1"/>
    <col min="7" max="7" width="12" style="1" customWidth="1"/>
    <col min="8" max="8" width="16.7109375" style="1" customWidth="1"/>
    <col min="9" max="9" width="14.7109375" style="61" customWidth="1"/>
    <col min="10" max="10" width="10" style="1" customWidth="1"/>
    <col min="11" max="11" width="15.42578125" style="61" customWidth="1"/>
    <col min="12" max="12" width="13.28515625" style="1" customWidth="1"/>
    <col min="13" max="13" width="15.42578125" style="1" customWidth="1"/>
    <col min="14" max="14" width="15.28515625" style="1" customWidth="1"/>
    <col min="15" max="15" width="29.7109375" style="1" customWidth="1"/>
    <col min="16" max="16" width="22" style="1" customWidth="1"/>
    <col min="17" max="16384" width="20.28515625" style="1"/>
  </cols>
  <sheetData>
    <row r="1" spans="1:21" ht="60.75" thickBot="1" x14ac:dyDescent="0.3">
      <c r="A1" s="34" t="s">
        <v>3</v>
      </c>
      <c r="B1" s="35" t="s">
        <v>4</v>
      </c>
      <c r="C1" s="35" t="s">
        <v>5</v>
      </c>
      <c r="D1" s="36" t="s">
        <v>6</v>
      </c>
      <c r="E1" s="36" t="s">
        <v>7</v>
      </c>
      <c r="F1" s="36" t="s">
        <v>8</v>
      </c>
      <c r="G1" s="36" t="s">
        <v>9</v>
      </c>
      <c r="H1" s="36" t="s">
        <v>10</v>
      </c>
      <c r="I1" s="63" t="s">
        <v>11</v>
      </c>
      <c r="J1" s="37" t="s">
        <v>12</v>
      </c>
      <c r="K1" s="64" t="s">
        <v>13</v>
      </c>
      <c r="L1" s="38" t="s">
        <v>14</v>
      </c>
      <c r="M1" s="39" t="s">
        <v>15</v>
      </c>
      <c r="N1" s="40" t="s">
        <v>16</v>
      </c>
      <c r="O1" s="57" t="s">
        <v>17</v>
      </c>
      <c r="P1" s="44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41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1</v>
      </c>
      <c r="U4" s="53">
        <f>T4/S4*100</f>
        <v>0.29411764705882354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>
        <v>45848</v>
      </c>
      <c r="C129" s="16"/>
      <c r="D129" s="52">
        <v>2</v>
      </c>
      <c r="E129" s="52">
        <v>120</v>
      </c>
      <c r="F129" s="52">
        <v>120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25</v>
      </c>
      <c r="O129" s="51">
        <v>45848</v>
      </c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43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45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98" priority="10" stopIfTrue="1">
      <formula>#REF!=1</formula>
    </cfRule>
    <cfRule type="expression" dxfId="97" priority="11" stopIfTrue="1">
      <formula>#REF!=2</formula>
    </cfRule>
  </conditionalFormatting>
  <conditionalFormatting sqref="A2:A169">
    <cfRule type="expression" dxfId="96" priority="7" stopIfTrue="1">
      <formula>#REF!="w"</formula>
    </cfRule>
  </conditionalFormatting>
  <conditionalFormatting sqref="A72:A169">
    <cfRule type="expression" dxfId="95" priority="8" stopIfTrue="1">
      <formula>#REF!=1</formula>
    </cfRule>
    <cfRule type="expression" dxfId="94" priority="9" stopIfTrue="1">
      <formula>#REF!=2</formula>
    </cfRule>
  </conditionalFormatting>
  <conditionalFormatting sqref="A171:A225">
    <cfRule type="expression" dxfId="93" priority="4" stopIfTrue="1">
      <formula>#REF!="w"</formula>
    </cfRule>
    <cfRule type="expression" dxfId="92" priority="5" stopIfTrue="1">
      <formula>#REF!=1</formula>
    </cfRule>
    <cfRule type="expression" dxfId="91" priority="6" stopIfTrue="1">
      <formula>#REF!=2</formula>
    </cfRule>
  </conditionalFormatting>
  <conditionalFormatting sqref="A227:A341">
    <cfRule type="expression" dxfId="90" priority="1" stopIfTrue="1">
      <formula>#REF!="w"</formula>
    </cfRule>
    <cfRule type="expression" dxfId="89" priority="2" stopIfTrue="1">
      <formula>#REF!=1</formula>
    </cfRule>
    <cfRule type="expression" dxfId="88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1 H2:H341 G2:G341 J2:J341 L2:L341" xr:uid="{711FD23F-E0A9-486E-9172-35EB0853D265}">
      <formula1>0</formula1>
    </dataValidation>
    <dataValidation type="date" operator="greaterThanOrEqual" allowBlank="1" showInputMessage="1" showErrorMessage="1" sqref="B2:B341 I2:I341 K2:K341 O2:O341" xr:uid="{68B66102-6E7D-4D06-A954-079DE7F95DBC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6837D3E-4004-488A-B010-B23D420AD22E}">
          <x14:formula1>
            <xm:f>Inspected!$A$1:$A$2</xm:f>
          </x14:formula1>
          <xm:sqref>M2:M341</xm:sqref>
        </x14:dataValidation>
        <x14:dataValidation type="list" allowBlank="1" showInputMessage="1" showErrorMessage="1" xr:uid="{82248F6B-3EE3-437A-9A4E-7FF5C3156210}">
          <x14:formula1>
            <xm:f>Inspected!$F$1</xm:f>
          </x14:formula1>
          <xm:sqref>C2:C341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24AC-646E-4DAA-8F56-DE19755F3D3B}">
  <dimension ref="A1:U341"/>
  <sheetViews>
    <sheetView topLeftCell="A303" workbookViewId="0">
      <selection activeCell="B307" sqref="B307"/>
    </sheetView>
  </sheetViews>
  <sheetFormatPr defaultColWidth="15.42578125" defaultRowHeight="15" x14ac:dyDescent="0.25"/>
  <cols>
    <col min="1" max="1" width="8" style="1" customWidth="1"/>
    <col min="2" max="2" width="12.5703125" style="1" customWidth="1"/>
    <col min="3" max="3" width="12" style="1" customWidth="1"/>
    <col min="4" max="4" width="23.28515625" style="1" customWidth="1"/>
    <col min="5" max="5" width="12.28515625" style="1" customWidth="1"/>
    <col min="6" max="6" width="10.42578125" style="1" customWidth="1"/>
    <col min="7" max="7" width="12.7109375" style="1" customWidth="1"/>
    <col min="8" max="8" width="18.28515625" style="1" customWidth="1"/>
    <col min="9" max="9" width="15.42578125" style="1"/>
    <col min="10" max="10" width="10.7109375" style="1" customWidth="1"/>
    <col min="11" max="11" width="15.42578125" style="1"/>
    <col min="12" max="12" width="11.42578125" style="1" customWidth="1"/>
    <col min="13" max="14" width="15.42578125" style="1"/>
    <col min="15" max="15" width="30" style="1" customWidth="1"/>
    <col min="16" max="16" width="21.28515625" style="1" customWidth="1"/>
    <col min="17" max="16384" width="15.425781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87" priority="10" stopIfTrue="1">
      <formula>#REF!=1</formula>
    </cfRule>
    <cfRule type="expression" dxfId="86" priority="11" stopIfTrue="1">
      <formula>#REF!=2</formula>
    </cfRule>
  </conditionalFormatting>
  <conditionalFormatting sqref="A2:A169">
    <cfRule type="expression" dxfId="85" priority="7" stopIfTrue="1">
      <formula>#REF!="w"</formula>
    </cfRule>
  </conditionalFormatting>
  <conditionalFormatting sqref="A72:A169">
    <cfRule type="expression" dxfId="84" priority="8" stopIfTrue="1">
      <formula>#REF!=1</formula>
    </cfRule>
    <cfRule type="expression" dxfId="83" priority="9" stopIfTrue="1">
      <formula>#REF!=2</formula>
    </cfRule>
  </conditionalFormatting>
  <conditionalFormatting sqref="A171:A225">
    <cfRule type="expression" dxfId="82" priority="4" stopIfTrue="1">
      <formula>#REF!="w"</formula>
    </cfRule>
    <cfRule type="expression" dxfId="81" priority="5" stopIfTrue="1">
      <formula>#REF!=1</formula>
    </cfRule>
    <cfRule type="expression" dxfId="80" priority="6" stopIfTrue="1">
      <formula>#REF!=2</formula>
    </cfRule>
  </conditionalFormatting>
  <conditionalFormatting sqref="A227:A341">
    <cfRule type="expression" dxfId="79" priority="1" stopIfTrue="1">
      <formula>#REF!="w"</formula>
    </cfRule>
    <cfRule type="expression" dxfId="78" priority="2" stopIfTrue="1">
      <formula>#REF!=1</formula>
    </cfRule>
    <cfRule type="expression" dxfId="77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E38EE04F-983A-4C19-888D-B73186575096}">
      <formula1>0</formula1>
    </dataValidation>
    <dataValidation type="date" operator="greaterThanOrEqual" allowBlank="1" showInputMessage="1" showErrorMessage="1" sqref="B2:B341 I2:I341 K2:K341 O2:O341" xr:uid="{ED88BEE5-5F64-4ADC-8BCA-A2D9325DCBF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1AB065A-562C-47F8-9FB1-DBEF5710E696}">
          <x14:formula1>
            <xm:f>Inspected!$A$1:$A$2</xm:f>
          </x14:formula1>
          <xm:sqref>M2:M341</xm:sqref>
        </x14:dataValidation>
        <x14:dataValidation type="list" allowBlank="1" showInputMessage="1" showErrorMessage="1" xr:uid="{23BC1C2E-A8D5-4471-BA81-AA7EDF8A095E}">
          <x14:formula1>
            <xm:f>Inspected!$F$1</xm:f>
          </x14:formula1>
          <xm:sqref>C2:C341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2226-16BF-489D-A9AE-851CF70EC53F}">
  <dimension ref="A1:U341"/>
  <sheetViews>
    <sheetView workbookViewId="0">
      <selection activeCell="B6" sqref="B6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76" priority="10" stopIfTrue="1">
      <formula>#REF!=1</formula>
    </cfRule>
    <cfRule type="expression" dxfId="75" priority="11" stopIfTrue="1">
      <formula>#REF!=2</formula>
    </cfRule>
  </conditionalFormatting>
  <conditionalFormatting sqref="A2:A169">
    <cfRule type="expression" dxfId="74" priority="7" stopIfTrue="1">
      <formula>#REF!="w"</formula>
    </cfRule>
  </conditionalFormatting>
  <conditionalFormatting sqref="A72:A169">
    <cfRule type="expression" dxfId="73" priority="8" stopIfTrue="1">
      <formula>#REF!=1</formula>
    </cfRule>
    <cfRule type="expression" dxfId="72" priority="9" stopIfTrue="1">
      <formula>#REF!=2</formula>
    </cfRule>
  </conditionalFormatting>
  <conditionalFormatting sqref="A171:A225">
    <cfRule type="expression" dxfId="71" priority="4" stopIfTrue="1">
      <formula>#REF!="w"</formula>
    </cfRule>
    <cfRule type="expression" dxfId="70" priority="5" stopIfTrue="1">
      <formula>#REF!=1</formula>
    </cfRule>
    <cfRule type="expression" dxfId="69" priority="6" stopIfTrue="1">
      <formula>#REF!=2</formula>
    </cfRule>
  </conditionalFormatting>
  <conditionalFormatting sqref="A227:A341">
    <cfRule type="expression" dxfId="68" priority="1" stopIfTrue="1">
      <formula>#REF!="w"</formula>
    </cfRule>
    <cfRule type="expression" dxfId="67" priority="2" stopIfTrue="1">
      <formula>#REF!=1</formula>
    </cfRule>
    <cfRule type="expression" dxfId="66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1 G2:G341 H2:H341 J2:J341 L2:L341" xr:uid="{4F628B3E-FD6A-4A3E-A87B-B8DBCB6B5D89}">
      <formula1>0</formula1>
    </dataValidation>
    <dataValidation type="date" operator="greaterThanOrEqual" allowBlank="1" showInputMessage="1" showErrorMessage="1" sqref="B2:B341 I2:I341 K2:K341 O2:O341" xr:uid="{5BF42287-49EF-4F31-84DC-20CACE6BD2D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C7413DB-FEC4-45EE-9861-54CE9EB5B741}">
          <x14:formula1>
            <xm:f>Inspected!$A$1:$A$2</xm:f>
          </x14:formula1>
          <xm:sqref>N2:N341</xm:sqref>
        </x14:dataValidation>
        <x14:dataValidation type="list" allowBlank="1" showInputMessage="1" showErrorMessage="1" xr:uid="{D4B578F7-4572-4AA4-8D17-6ABAEC3E0982}">
          <x14:formula1>
            <xm:f>Inspected!$F$1</xm:f>
          </x14:formula1>
          <xm:sqref>C2:C341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EE90-FA85-49BD-B9B5-2201F2455AE9}">
  <dimension ref="A1:U341"/>
  <sheetViews>
    <sheetView workbookViewId="0">
      <selection activeCell="B4" sqref="B4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65" priority="10" stopIfTrue="1">
      <formula>#REF!=1</formula>
    </cfRule>
    <cfRule type="expression" dxfId="64" priority="11" stopIfTrue="1">
      <formula>#REF!=2</formula>
    </cfRule>
  </conditionalFormatting>
  <conditionalFormatting sqref="A2:A169">
    <cfRule type="expression" dxfId="63" priority="7" stopIfTrue="1">
      <formula>#REF!="w"</formula>
    </cfRule>
  </conditionalFormatting>
  <conditionalFormatting sqref="A72:A169">
    <cfRule type="expression" dxfId="62" priority="8" stopIfTrue="1">
      <formula>#REF!=1</formula>
    </cfRule>
    <cfRule type="expression" dxfId="61" priority="9" stopIfTrue="1">
      <formula>#REF!=2</formula>
    </cfRule>
  </conditionalFormatting>
  <conditionalFormatting sqref="A171:A225">
    <cfRule type="expression" dxfId="60" priority="4" stopIfTrue="1">
      <formula>#REF!="w"</formula>
    </cfRule>
    <cfRule type="expression" dxfId="59" priority="5" stopIfTrue="1">
      <formula>#REF!=1</formula>
    </cfRule>
    <cfRule type="expression" dxfId="58" priority="6" stopIfTrue="1">
      <formula>#REF!=2</formula>
    </cfRule>
  </conditionalFormatting>
  <conditionalFormatting sqref="A227:A341">
    <cfRule type="expression" dxfId="57" priority="1" stopIfTrue="1">
      <formula>#REF!="w"</formula>
    </cfRule>
    <cfRule type="expression" dxfId="56" priority="2" stopIfTrue="1">
      <formula>#REF!=1</formula>
    </cfRule>
    <cfRule type="expression" dxfId="55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5362A1C2-41B3-4E8B-AEB7-E98F3D87A69A}">
      <formula1>45658</formula1>
    </dataValidation>
    <dataValidation type="whole" operator="greaterThanOrEqual" allowBlank="1" showInputMessage="1" showErrorMessage="1" sqref="A2:A341 D2:H341 G1 J2:J341 L2:L341" xr:uid="{69F91F74-39AB-4194-B519-66933A41ECB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DC3FE8E-E186-47E0-BD79-F888CE46F0B1}">
          <x14:formula1>
            <xm:f>Inspected!$F$1</xm:f>
          </x14:formula1>
          <xm:sqref>C2:C341</xm:sqref>
        </x14:dataValidation>
        <x14:dataValidation type="list" allowBlank="1" showInputMessage="1" showErrorMessage="1" xr:uid="{DB6688A2-BDFE-4FE4-B346-5755B27ED7AA}">
          <x14:formula1>
            <xm:f>Inspected!$A$1:$A$2</xm:f>
          </x14:formula1>
          <xm:sqref>N2:N341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A48E-D258-468D-B4AF-1F48AECE585D}">
  <dimension ref="A1:U341"/>
  <sheetViews>
    <sheetView workbookViewId="0">
      <selection sqref="A1:XFD1048576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54" priority="10" stopIfTrue="1">
      <formula>#REF!=1</formula>
    </cfRule>
    <cfRule type="expression" dxfId="53" priority="11" stopIfTrue="1">
      <formula>#REF!=2</formula>
    </cfRule>
  </conditionalFormatting>
  <conditionalFormatting sqref="A2:A169">
    <cfRule type="expression" dxfId="52" priority="7" stopIfTrue="1">
      <formula>#REF!="w"</formula>
    </cfRule>
  </conditionalFormatting>
  <conditionalFormatting sqref="A72:A169">
    <cfRule type="expression" dxfId="51" priority="8" stopIfTrue="1">
      <formula>#REF!=1</formula>
    </cfRule>
    <cfRule type="expression" dxfId="50" priority="9" stopIfTrue="1">
      <formula>#REF!=2</formula>
    </cfRule>
  </conditionalFormatting>
  <conditionalFormatting sqref="A171:A225">
    <cfRule type="expression" dxfId="49" priority="4" stopIfTrue="1">
      <formula>#REF!="w"</formula>
    </cfRule>
    <cfRule type="expression" dxfId="48" priority="5" stopIfTrue="1">
      <formula>#REF!=1</formula>
    </cfRule>
    <cfRule type="expression" dxfId="47" priority="6" stopIfTrue="1">
      <formula>#REF!=2</formula>
    </cfRule>
  </conditionalFormatting>
  <conditionalFormatting sqref="A227:A341">
    <cfRule type="expression" dxfId="46" priority="1" stopIfTrue="1">
      <formula>#REF!="w"</formula>
    </cfRule>
    <cfRule type="expression" dxfId="45" priority="2" stopIfTrue="1">
      <formula>#REF!=1</formula>
    </cfRule>
    <cfRule type="expression" dxfId="44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FE05BEF2-E08E-44CD-858F-E5010ED7DBC6}">
      <formula1>45658</formula1>
    </dataValidation>
    <dataValidation type="whole" operator="greaterThanOrEqual" allowBlank="1" showInputMessage="1" showErrorMessage="1" sqref="A2:A341 D2:H341 G1 J2:J341 L2:L341" xr:uid="{D58D7F3A-BD40-44A0-805F-E1E296987037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00F87EA-1EB8-4E26-85A7-86FB74A266B2}">
          <x14:formula1>
            <xm:f>Inspected!$F$1</xm:f>
          </x14:formula1>
          <xm:sqref>C2:C341</xm:sqref>
        </x14:dataValidation>
        <x14:dataValidation type="list" allowBlank="1" showInputMessage="1" showErrorMessage="1" xr:uid="{1F88702D-1DFE-4A66-A257-431C0F4060D1}">
          <x14:formula1>
            <xm:f>Inspected!$A$1:$A$2</xm:f>
          </x14:formula1>
          <xm:sqref>N2:N341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1FEA-B0E1-475C-B6FF-4C52D6D55720}">
  <dimension ref="A1:U341"/>
  <sheetViews>
    <sheetView workbookViewId="0">
      <selection activeCell="K11" sqref="K11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43" priority="10" stopIfTrue="1">
      <formula>#REF!=1</formula>
    </cfRule>
    <cfRule type="expression" dxfId="42" priority="11" stopIfTrue="1">
      <formula>#REF!=2</formula>
    </cfRule>
  </conditionalFormatting>
  <conditionalFormatting sqref="A2:A169">
    <cfRule type="expression" dxfId="41" priority="7" stopIfTrue="1">
      <formula>#REF!="w"</formula>
    </cfRule>
  </conditionalFormatting>
  <conditionalFormatting sqref="A72:A169">
    <cfRule type="expression" dxfId="40" priority="8" stopIfTrue="1">
      <formula>#REF!=1</formula>
    </cfRule>
    <cfRule type="expression" dxfId="39" priority="9" stopIfTrue="1">
      <formula>#REF!=2</formula>
    </cfRule>
  </conditionalFormatting>
  <conditionalFormatting sqref="A171:A225">
    <cfRule type="expression" dxfId="38" priority="4" stopIfTrue="1">
      <formula>#REF!="w"</formula>
    </cfRule>
    <cfRule type="expression" dxfId="37" priority="5" stopIfTrue="1">
      <formula>#REF!=1</formula>
    </cfRule>
    <cfRule type="expression" dxfId="36" priority="6" stopIfTrue="1">
      <formula>#REF!=2</formula>
    </cfRule>
  </conditionalFormatting>
  <conditionalFormatting sqref="A227:A341">
    <cfRule type="expression" dxfId="35" priority="1" stopIfTrue="1">
      <formula>#REF!="w"</formula>
    </cfRule>
    <cfRule type="expression" dxfId="34" priority="2" stopIfTrue="1">
      <formula>#REF!=1</formula>
    </cfRule>
    <cfRule type="expression" dxfId="33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9E6D876D-1894-4E5B-BA11-7FB91318CC1A}">
      <formula1>45658</formula1>
    </dataValidation>
    <dataValidation type="whole" operator="greaterThanOrEqual" allowBlank="1" showInputMessage="1" showErrorMessage="1" sqref="A2:A341 D2:H341 G1 J2:J341 L2:L341" xr:uid="{3023B6BF-17F8-462F-87AF-A462B9CD6AD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9424172-9522-4FC0-B3CC-2918D12D698E}">
          <x14:formula1>
            <xm:f>Inspected!$F$1</xm:f>
          </x14:formula1>
          <xm:sqref>C2:C341</xm:sqref>
        </x14:dataValidation>
        <x14:dataValidation type="list" allowBlank="1" showInputMessage="1" showErrorMessage="1" xr:uid="{1D0BF949-68DF-4AE6-8A66-D87B9CE6D51A}">
          <x14:formula1>
            <xm:f>Inspected!$A$1:$A$2</xm:f>
          </x14:formula1>
          <xm:sqref>N2:N341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032F-86B7-4AD3-ADCB-5F996E763908}">
  <dimension ref="A1:U341"/>
  <sheetViews>
    <sheetView workbookViewId="0">
      <selection activeCell="K15" sqref="K15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32" priority="10" stopIfTrue="1">
      <formula>#REF!=1</formula>
    </cfRule>
    <cfRule type="expression" dxfId="31" priority="11" stopIfTrue="1">
      <formula>#REF!=2</formula>
    </cfRule>
  </conditionalFormatting>
  <conditionalFormatting sqref="A2:A169">
    <cfRule type="expression" dxfId="30" priority="7" stopIfTrue="1">
      <formula>#REF!="w"</formula>
    </cfRule>
  </conditionalFormatting>
  <conditionalFormatting sqref="A72:A169">
    <cfRule type="expression" dxfId="29" priority="8" stopIfTrue="1">
      <formula>#REF!=1</formula>
    </cfRule>
    <cfRule type="expression" dxfId="28" priority="9" stopIfTrue="1">
      <formula>#REF!=2</formula>
    </cfRule>
  </conditionalFormatting>
  <conditionalFormatting sqref="A171:A225">
    <cfRule type="expression" dxfId="27" priority="4" stopIfTrue="1">
      <formula>#REF!="w"</formula>
    </cfRule>
    <cfRule type="expression" dxfId="26" priority="5" stopIfTrue="1">
      <formula>#REF!=1</formula>
    </cfRule>
    <cfRule type="expression" dxfId="25" priority="6" stopIfTrue="1">
      <formula>#REF!=2</formula>
    </cfRule>
  </conditionalFormatting>
  <conditionalFormatting sqref="A227:A341">
    <cfRule type="expression" dxfId="24" priority="1" stopIfTrue="1">
      <formula>#REF!="w"</formula>
    </cfRule>
    <cfRule type="expression" dxfId="23" priority="2" stopIfTrue="1">
      <formula>#REF!=1</formula>
    </cfRule>
    <cfRule type="expression" dxfId="22" priority="3" stopIfTrue="1">
      <formula>#REF!=2</formula>
    </cfRule>
  </conditionalFormatting>
  <dataValidations count="2">
    <dataValidation type="whole" operator="greaterThanOrEqual" allowBlank="1" showInputMessage="1" showErrorMessage="1" sqref="A2:A341 D2:H341 G1 J2:J341 L2:L341" xr:uid="{04AF98EB-A800-4D6E-B6EE-0ACC2D2C0461}">
      <formula1>0</formula1>
    </dataValidation>
    <dataValidation type="date" operator="greaterThanOrEqual" allowBlank="1" showInputMessage="1" showErrorMessage="1" sqref="B2:B341 I2:I341 K2:K341 O2:O341" xr:uid="{BDD1B41B-B36F-454F-AB31-5A1CA38CFD68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D630AFB-2BE8-4930-B02D-480F18AFD2FE}">
          <x14:formula1>
            <xm:f>Inspected!$A$1:$A$2</xm:f>
          </x14:formula1>
          <xm:sqref>N2:N341</xm:sqref>
        </x14:dataValidation>
        <x14:dataValidation type="list" allowBlank="1" showInputMessage="1" showErrorMessage="1" xr:uid="{7B46285F-6638-41E9-85E9-3A21F708A349}">
          <x14:formula1>
            <xm:f>Inspected!$F$1</xm:f>
          </x14:formula1>
          <xm:sqref>C2:C341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30B3A-BD2D-4748-9858-6F1270B1253C}">
  <dimension ref="A1:U341"/>
  <sheetViews>
    <sheetView topLeftCell="A9" workbookViewId="0">
      <selection activeCell="K11" sqref="K11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21" priority="10" stopIfTrue="1">
      <formula>#REF!=1</formula>
    </cfRule>
    <cfRule type="expression" dxfId="20" priority="11" stopIfTrue="1">
      <formula>#REF!=2</formula>
    </cfRule>
  </conditionalFormatting>
  <conditionalFormatting sqref="A2:A169">
    <cfRule type="expression" dxfId="19" priority="7" stopIfTrue="1">
      <formula>#REF!="w"</formula>
    </cfRule>
  </conditionalFormatting>
  <conditionalFormatting sqref="A72:A169">
    <cfRule type="expression" dxfId="18" priority="8" stopIfTrue="1">
      <formula>#REF!=1</formula>
    </cfRule>
    <cfRule type="expression" dxfId="17" priority="9" stopIfTrue="1">
      <formula>#REF!=2</formula>
    </cfRule>
  </conditionalFormatting>
  <conditionalFormatting sqref="A171:A225">
    <cfRule type="expression" dxfId="16" priority="4" stopIfTrue="1">
      <formula>#REF!="w"</formula>
    </cfRule>
    <cfRule type="expression" dxfId="15" priority="5" stopIfTrue="1">
      <formula>#REF!=1</formula>
    </cfRule>
    <cfRule type="expression" dxfId="14" priority="6" stopIfTrue="1">
      <formula>#REF!=2</formula>
    </cfRule>
  </conditionalFormatting>
  <conditionalFormatting sqref="A227:A341">
    <cfRule type="expression" dxfId="13" priority="1" stopIfTrue="1">
      <formula>#REF!="w"</formula>
    </cfRule>
    <cfRule type="expression" dxfId="12" priority="2" stopIfTrue="1">
      <formula>#REF!=1</formula>
    </cfRule>
    <cfRule type="expression" dxfId="11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0B4C3F31-E2CD-43E0-8DB4-AD4A21CD7B7C}">
      <formula1>45658</formula1>
    </dataValidation>
    <dataValidation type="whole" operator="greaterThanOrEqual" allowBlank="1" showInputMessage="1" showErrorMessage="1" sqref="A2:A341 D2:H341 G1 J2:J341 L2:L341" xr:uid="{574A4202-EC43-4C05-A6DC-65B1B0CA157C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057517B-AAB9-4202-BD78-3504CBEF7DE8}">
          <x14:formula1>
            <xm:f>Inspected!$F$1</xm:f>
          </x14:formula1>
          <xm:sqref>C2:C341</xm:sqref>
        </x14:dataValidation>
        <x14:dataValidation type="list" allowBlank="1" showInputMessage="1" showErrorMessage="1" xr:uid="{1F156AB5-327A-4033-AAC6-7B9E6BF9A66A}">
          <x14:formula1>
            <xm:f>Inspected!$A$1:$A$2</xm:f>
          </x14:formula1>
          <xm:sqref>N2:N341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BF3E8-740F-44A7-8885-25DC53008D74}">
  <dimension ref="A1:U341"/>
  <sheetViews>
    <sheetView topLeftCell="A9" workbookViewId="0">
      <selection activeCell="M36" sqref="M36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10" priority="10" stopIfTrue="1">
      <formula>#REF!=1</formula>
    </cfRule>
    <cfRule type="expression" dxfId="9" priority="11" stopIfTrue="1">
      <formula>#REF!=2</formula>
    </cfRule>
  </conditionalFormatting>
  <conditionalFormatting sqref="A2:A169">
    <cfRule type="expression" dxfId="8" priority="7" stopIfTrue="1">
      <formula>#REF!="w"</formula>
    </cfRule>
  </conditionalFormatting>
  <conditionalFormatting sqref="A72:A169">
    <cfRule type="expression" dxfId="7" priority="8" stopIfTrue="1">
      <formula>#REF!=1</formula>
    </cfRule>
    <cfRule type="expression" dxfId="6" priority="9" stopIfTrue="1">
      <formula>#REF!=2</formula>
    </cfRule>
  </conditionalFormatting>
  <conditionalFormatting sqref="A171:A225">
    <cfRule type="expression" dxfId="5" priority="4" stopIfTrue="1">
      <formula>#REF!="w"</formula>
    </cfRule>
    <cfRule type="expression" dxfId="4" priority="5" stopIfTrue="1">
      <formula>#REF!=1</formula>
    </cfRule>
    <cfRule type="expression" dxfId="3" priority="6" stopIfTrue="1">
      <formula>#REF!=2</formula>
    </cfRule>
  </conditionalFormatting>
  <conditionalFormatting sqref="A227:A341">
    <cfRule type="expression" dxfId="2" priority="1" stopIfTrue="1">
      <formula>#REF!="w"</formula>
    </cfRule>
    <cfRule type="expression" dxfId="1" priority="2" stopIfTrue="1">
      <formula>#REF!=1</formula>
    </cfRule>
    <cfRule type="expression" dxfId="0" priority="3" stopIfTrue="1">
      <formula>#REF!=2</formula>
    </cfRule>
  </conditionalFormatting>
  <dataValidations count="2">
    <dataValidation type="whole" operator="greaterThanOrEqual" allowBlank="1" showInputMessage="1" showErrorMessage="1" sqref="A2:A341 D2:H341 G1 J2:J341 L2:L341" xr:uid="{695DE078-F816-49C2-BF0E-4C361FB73135}">
      <formula1>0</formula1>
    </dataValidation>
    <dataValidation type="date" operator="greaterThanOrEqual" allowBlank="1" showInputMessage="1" showErrorMessage="1" sqref="B2:B341 I2:I341 K2:K341 O2:O341" xr:uid="{93E8992E-BE5F-43E2-B4C7-79E5F8C891A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7899FF6-9985-4629-9665-57B9F77471F2}">
          <x14:formula1>
            <xm:f>Inspected!$A$1:$A$2</xm:f>
          </x14:formula1>
          <xm:sqref>N2:N341</xm:sqref>
        </x14:dataValidation>
        <x14:dataValidation type="list" allowBlank="1" showInputMessage="1" showErrorMessage="1" xr:uid="{4F2A050A-01F6-44E5-AB85-CD447DA133FC}">
          <x14:formula1>
            <xm:f>Inspected!$F$1</xm:f>
          </x14:formula1>
          <xm:sqref>C2:C341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8C3364-1242-4D70-98A8-5FEE5587ED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1238A5-3DA6-49C0-9DE6-F132ED09034B}">
  <ds:schemaRefs>
    <ds:schemaRef ds:uri="http://purl.org/dc/terms/"/>
    <ds:schemaRef ds:uri="http://schemas.microsoft.com/office/infopath/2007/PartnerControls"/>
    <ds:schemaRef ds:uri="f09d0ae9-c6ff-4e57-bd1f-955be6ad47ac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d5486727-c7ef-48ef-8f67-294a70abf30d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Inspected</vt:lpstr>
      <vt:lpstr>Central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2025-11-02T20:57:08Z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