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-my.sharepoint.com/personal/mourad_zerrouk_abm_com/Documents/Desktop/Graffiti Project/Graffiti trackers/28.10.25/"/>
    </mc:Choice>
  </mc:AlternateContent>
  <xr:revisionPtr revIDLastSave="96" documentId="13_ncr:1_{6FEECE66-B25E-42D1-A6E7-D62EAA2D7977}" xr6:coauthVersionLast="47" xr6:coauthVersionMax="47" xr10:uidLastSave="{E12E4DD2-B54D-4419-92FE-B6D1C004C51A}"/>
  <bookViews>
    <workbookView xWindow="-110" yWindow="-110" windowWidth="19420" windowHeight="10420" firstSheet="6" activeTab="6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<sst xmlns="http://schemas.openxmlformats.org/spreadsheetml/2006/main" count="304" uniqueCount="29">
  <si>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</si>
  <si>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</si>
  <si>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</si>
  <si>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</si>
  <si>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</si>
  <si>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</si>
  <si>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</si>
  <si>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</si>
  <si>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</si>
  <si>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</si>
  <si>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</si>
  <si>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</si>
  <si>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</si>
  <si>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</si>
  <si>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</si>
  <si>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</si>
  <si>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</si>
  <si>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</si>
  <si>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</si>
  <si>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</si>
  <si>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</si>
  <si>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Completed</t>
  </si>
  <si>
    <t>Y</t>
  </si>
  <si>
    <t>Henry</t>
  </si>
  <si>
    <t xml:space="preserve">completed </t>
  </si>
  <si>
    <t>Pavlina</t>
  </si>
  <si>
    <t>completed</t>
  </si>
  <si>
    <t>Sevi</t>
  </si>
  <si>
    <t>Henri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</si>
</sst>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CF40D8-3888-413A-960E-3C1AB59D83DA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92C7787-1AA5-49CB-86AA-A91144DD44AF}" name="Unit No." dataDxfId="51"/>
    <tableColumn id="2" xr3:uid="{B1AFB2CA-2A07-4075-AC5F-B8F46A801F95}" name="DATE" dataDxfId="50"/>
    <tableColumn id="3" xr3:uid="{24C3931F-C081-4D52-9560-A0CE234981D3}" name="Status" dataDxfId="49"/>
    <tableColumn id="4" xr3:uid="{7380B4CE-F233-4F05-8042-E51800C25603}" name="Number of cars affected by graffiti/shadows on this unit" dataDxfId="48"/>
    <tableColumn id="5" xr3:uid="{75CD86F0-D986-42E3-9319-EBCBEB54F41E}" name="Total Number of Tags found" dataDxfId="47"/>
    <tableColumn id="6" xr3:uid="{DAB29FE6-0835-4EBB-ACF3-98EBED4E814E}" name="Total Tags Removed / Cleaned" dataDxfId="46"/>
    <tableColumn id="7" xr3:uid="{02B67F5F-D76A-4ADA-BE58-25E20A4796A5}" name="Total Tags Not Cleaned on this Unit" dataDxfId="45"/>
    <tableColumn id="8" xr3:uid="{C3A9CA8F-519F-4694-8CC8-0E50842ADDB5}" name="Car Number (s)  of Tags not cleaned (shadows)" dataDxfId="44"/>
    <tableColumn id="9" xr3:uid="{34200836-0267-4781-89A4-0208A700B8E6}" name="Date of 2nd visit to clean remaining tags" dataDxfId="43"/>
    <tableColumn id="10" xr3:uid="{69F08A73-B6BB-4AE1-8112-862FF7CC7C23}" name="Number of tags removed" dataDxfId="42"/>
    <tableColumn id="11" xr3:uid="{09E98E1B-C41E-468B-AF15-FC1DB6714C67}" name="Date of 3rd visit to clean remaining tags" dataDxfId="41"/>
    <tableColumn id="12" xr3:uid="{89A4D9F5-64DE-44AA-B047-E05539C0791E}" name="Number of tags removed2" dataDxfId="40"/>
    <tableColumn id="13" xr3:uid="{CBC75EF5-A222-49CB-B385-47506953CD37}" name="Train Inspected and Fit for service    (Y/N)" dataDxfId="39"/>
    <tableColumn id="14" xr3:uid="{A0FE3EC2-495B-4726-9F31-EC59837C7C6C}" name="Inspected by Supervisor/Manager (Name)" dataDxfId="38"/>
    <tableColumn id="15" xr3:uid="{8DEE255D-5DD8-49AB-97C8-E84298DCA60E}" name="Date of Completing all shadows (Tags) on this Unit excluding acid etched shadows" dataDxfId="37"/>
    <tableColumn id="16" xr3:uid="{EE6F907F-0B6E-4FFE-9AA1-517D3E080A2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EC885-53AB-4E62-9C9F-A275189E24DF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11D91E17-51B0-4AB3-93AD-99EB0567E5A4}" name="Unit No." dataDxfId="33"/>
    <tableColumn id="2" xr3:uid="{CD130D55-31C6-4098-AC47-D8F239B42EC3}" name="DATE" dataDxfId="32"/>
    <tableColumn id="3" xr3:uid="{A3E46365-9155-43FB-9E0F-27E9750A2404}" name="Status" dataDxfId="31"/>
    <tableColumn id="4" xr3:uid="{6EFBB507-5DEB-4F26-9AB1-4302C23CBB67}" name="Number of cars affected by graffiti/shadows on this unit" dataDxfId="30"/>
    <tableColumn id="5" xr3:uid="{9EC3BFA2-3311-45DC-93F2-564C10B5BF11}" name="Total Number of Tags found" dataDxfId="29"/>
    <tableColumn id="6" xr3:uid="{8F5BE59E-971C-4E89-87A0-7DE7ADCC53FD}" name="Total Tags Removed / Cleaned" dataDxfId="28"/>
    <tableColumn id="7" xr3:uid="{25F42750-F71B-46AB-8C41-D782B5B56E5A}" name="Total Tags Not Cleaned on this Unit" dataDxfId="27"/>
    <tableColumn id="8" xr3:uid="{B53E41E5-E0F4-4425-B92F-D1134EBE741E}" name="Car Number (s)  of Tags not cleaned (shadows)" dataDxfId="26"/>
    <tableColumn id="9" xr3:uid="{8B0DD509-0B03-4A84-BFBC-292D9DFA8BBF}" name="Date of 2nd visit to clean remaining tags" dataDxfId="25"/>
    <tableColumn id="10" xr3:uid="{A59D5D36-7DB5-4A6E-8B0A-0C9847C93FA4}" name="Number of tags removed" dataDxfId="24"/>
    <tableColumn id="11" xr3:uid="{83449DBB-78E7-42D9-A3FE-A51B4FE77DFE}" name="Date of 3rd visit to clean remaining tags" dataDxfId="23"/>
    <tableColumn id="12" xr3:uid="{D90B47F2-6F91-4620-93C1-AB3EF3634BC7}" name="Number of tags removed2" dataDxfId="22"/>
    <tableColumn id="13" xr3:uid="{54BBAE91-3A55-4B9D-89E1-86FC564122A0}" name="Train Inspected and Fit for service    (Y/N)" dataDxfId="21"/>
    <tableColumn id="14" xr3:uid="{107E7CF5-82B1-44D8-8437-AA6FE0AB83CE}" name="Inspected by Supervisor/Manager (Name)" dataDxfId="20"/>
    <tableColumn id="15" xr3:uid="{C68D6C13-F363-42AC-98EC-56358E82CC21}" name="Date of Completing all shadows (Tags) on this Unit excluding acid etched shadows" dataDxfId="19"/>
    <tableColumn id="16" xr3:uid="{4E6A243D-F876-4017-B68E-7266115DCFBC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B61B5F0-A55F-409F-9DA1-1CFCAC524464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EC67201-D2C7-43D2-AA75-C493556C881A}" name="Unit No." dataDxfId="15"/>
    <tableColumn id="2" xr3:uid="{F51C434B-9021-4479-B51F-C171290169AC}" name="DATE" dataDxfId="14"/>
    <tableColumn id="3" xr3:uid="{77AB5D79-2DFD-4AC7-AE8D-8CF73ACC05AD}" name="Status" dataDxfId="13"/>
    <tableColumn id="4" xr3:uid="{E27EBCEB-66C4-4076-B1BD-3B5E232B12CC}" name="Number of cars affected by graffiti/shadows on this unit" dataDxfId="12"/>
    <tableColumn id="5" xr3:uid="{B01B2721-3704-4E84-81C1-372AF29A59EE}" name="Total Number of Tags found" dataDxfId="11"/>
    <tableColumn id="6" xr3:uid="{CBEF3308-AE31-4A48-AB02-AAAE727098E0}" name="Total Tags Removed / Cleaned" dataDxfId="10"/>
    <tableColumn id="7" xr3:uid="{37D6DF58-C8FF-4EAD-B1C2-59B35F8F5BAC}" name="Total Tags Not Cleaned on this Unit" dataDxfId="9"/>
    <tableColumn id="8" xr3:uid="{A3BE67EA-1DD4-4FFC-994B-0994ABF0A719}" name="Car Number (s)  of Tags not cleaned (shadows)" dataDxfId="8"/>
    <tableColumn id="9" xr3:uid="{7B66B1B9-EEEC-4951-9E04-1E740923B86C}" name="Date of 2nd visit to clean remaining tags" dataDxfId="7"/>
    <tableColumn id="10" xr3:uid="{5C5321B5-FDAF-477C-B008-4DE4A2FD6943}" name="Number of tags removed" dataDxfId="6"/>
    <tableColumn id="11" xr3:uid="{831547D2-36E9-49DD-AFE4-45EFEC443953}" name="Date of 3rd visit to clean remaining tags" dataDxfId="5"/>
    <tableColumn id="12" xr3:uid="{D8DD9833-09AB-48AF-8E59-FAFF67D757AE}" name="Number of tags removed2" dataDxfId="4"/>
    <tableColumn id="13" xr3:uid="{3E4B05E4-DE36-4BED-8C3C-8D61F8A0A9D4}" name="Train Inspected and Fit for service    (Y/N)" dataDxfId="3"/>
    <tableColumn id="14" xr3:uid="{201111CD-4A02-452C-8692-A6065E6FD957}" name="Inspected by Supervisor/Manager (Name)" dataDxfId="2"/>
    <tableColumn id="15" xr3:uid="{47876BB7-4001-4BD3-8299-25989DAED91D}" name="Date of Completing all shadows (Tags) on this Unit excluding acid etched shadows" dataDxfId="1"/>
    <tableColumn id="16" xr3:uid="{CF0121FE-89E9-4172-A310-05CA8483A13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topLeftCell="A57" zoomScale="70" zoomScaleNormal="70" workbookViewId="0">
      <selection activeCell="G459" sqref="G459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7</v>
      </c>
      <c r="U4" s="22">
        <f>T4/S4</f>
        <v>1.348747591522158E-2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>
        <v>45950</v>
      </c>
      <c r="C7" s="12" t="s">
        <v>21</v>
      </c>
      <c r="D7" s="31">
        <v>1</v>
      </c>
      <c r="E7" s="31">
        <v>50</v>
      </c>
      <c r="F7" s="31">
        <v>50</v>
      </c>
      <c r="G7" s="31">
        <v>0</v>
      </c>
      <c r="H7" s="31">
        <v>0</v>
      </c>
      <c r="I7" s="27"/>
      <c r="J7" s="31"/>
      <c r="K7" s="27"/>
      <c r="L7" s="31"/>
      <c r="M7" s="26" t="s">
        <v>22</v>
      </c>
      <c r="N7" s="28" t="s">
        <v>23</v>
      </c>
      <c r="O7" s="11">
        <v>45950</v>
      </c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>
        <v>45949</v>
      </c>
      <c r="C9" s="12" t="s">
        <v>24</v>
      </c>
      <c r="D9" s="31">
        <v>1</v>
      </c>
      <c r="E9" s="31">
        <v>30</v>
      </c>
      <c r="F9" s="31">
        <v>30</v>
      </c>
      <c r="G9" s="31">
        <v>0</v>
      </c>
      <c r="H9" s="31">
        <v>0</v>
      </c>
      <c r="I9" s="27"/>
      <c r="J9" s="31"/>
      <c r="K9" s="27"/>
      <c r="L9" s="31"/>
      <c r="M9" s="26" t="s">
        <v>22</v>
      </c>
      <c r="N9" s="28" t="s">
        <v>25</v>
      </c>
      <c r="O9" s="11">
        <v>45949</v>
      </c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>
        <v>45955</v>
      </c>
      <c r="C61" s="12" t="s">
        <v>26</v>
      </c>
      <c r="D61" s="31">
        <v>1</v>
      </c>
      <c r="E61" s="31">
        <v>180</v>
      </c>
      <c r="F61" s="31">
        <v>180</v>
      </c>
      <c r="G61" s="31">
        <v>0</v>
      </c>
      <c r="H61" s="31">
        <v>0</v>
      </c>
      <c r="I61" s="27"/>
      <c r="J61" s="31"/>
      <c r="K61" s="27"/>
      <c r="L61" s="31"/>
      <c r="M61" s="26" t="s">
        <v>22</v>
      </c>
      <c r="N61" s="28" t="s">
        <v>25</v>
      </c>
      <c r="O61" s="11">
        <v>45955</v>
      </c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>
        <v>45946</v>
      </c>
      <c r="C64" s="12" t="s">
        <v>26</v>
      </c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>
        <v>45944</v>
      </c>
      <c r="C101" s="12" t="s">
        <v>26</v>
      </c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22</v>
      </c>
      <c r="N101" s="15" t="s">
        <v>27</v>
      </c>
      <c r="O101" s="11">
        <v>45944</v>
      </c>
      <c r="P101" s="33">
        <v>0</v>
      </c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>
        <v>45955</v>
      </c>
      <c r="C471" s="12" t="s">
        <v>26</v>
      </c>
      <c r="D471" s="31">
        <v>1</v>
      </c>
      <c r="E471" s="31">
        <v>5</v>
      </c>
      <c r="F471" s="31">
        <v>5</v>
      </c>
      <c r="G471" s="31">
        <v>0</v>
      </c>
      <c r="H471" s="31">
        <v>0</v>
      </c>
      <c r="I471" s="27"/>
      <c r="J471" s="31"/>
      <c r="K471" s="27"/>
      <c r="L471" s="31"/>
      <c r="M471" s="26" t="s">
        <v>22</v>
      </c>
      <c r="N471" s="28" t="s">
        <v>25</v>
      </c>
      <c r="O471" s="11">
        <v>45955</v>
      </c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>
        <v>45955</v>
      </c>
      <c r="C506" s="12" t="s">
        <v>26</v>
      </c>
      <c r="D506" s="31">
        <v>1</v>
      </c>
      <c r="E506" s="31">
        <v>10</v>
      </c>
      <c r="F506" s="31">
        <v>10</v>
      </c>
      <c r="G506" s="31">
        <v>0</v>
      </c>
      <c r="H506" s="31">
        <v>0</v>
      </c>
      <c r="I506" s="27"/>
      <c r="J506" s="31"/>
      <c r="K506" s="27"/>
      <c r="L506" s="31"/>
      <c r="M506" s="26" t="s">
        <v>22</v>
      </c>
      <c r="N506" s="28" t="s">
        <v>25</v>
      </c>
      <c r="O506" s="11">
        <v>45955</v>
      </c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topLeftCell="A46" zoomScale="70" zoomScaleNormal="70" workbookViewId="0">
      <selection activeCell="O64" sqref="B64:O64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22</v>
      </c>
      <c r="N101" s="15" t="s">
        <v>27</v>
      </c>
      <c r="O101" s="11">
        <v>45944</v>
      </c>
      <c r="P101" s="33">
        <v>0</v>
      </c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>
        <v>45958</v>
      </c>
      <c r="C103" s="12"/>
      <c r="D103" s="30">
        <v>1</v>
      </c>
      <c r="E103" s="30">
        <v>60</v>
      </c>
      <c r="F103" s="30">
        <v>60</v>
      </c>
      <c r="G103" s="30"/>
      <c r="H103" s="30"/>
      <c r="I103" s="14"/>
      <c r="J103" s="30"/>
      <c r="K103" s="14"/>
      <c r="L103" s="30"/>
      <c r="M103" s="13" t="s">
        <v>22</v>
      </c>
      <c r="N103" s="15" t="s">
        <v>28</v>
      </c>
      <c r="O103" s="11">
        <v>45958</v>
      </c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topLeftCell="A46" zoomScale="60" zoomScaleNormal="60" workbookViewId="0">
      <selection activeCell="B64" sqref="B64:O64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topLeftCell="I56" zoomScale="50" zoomScaleNormal="50" workbookViewId="0">
      <selection activeCell="O64" sqref="B64:O64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topLeftCell="A47" zoomScale="60" zoomScaleNormal="60" zoomScaleSheetLayoutView="30" workbookViewId="0">
      <selection activeCell="B64" sqref="B64:O64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topLeftCell="A59" zoomScale="60" zoomScaleNormal="60" workbookViewId="0">
      <selection activeCell="B64" sqref="B64:O64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tabSelected="1" topLeftCell="J43" zoomScale="60" zoomScaleNormal="60" workbookViewId="0">
      <selection activeCell="O64" sqref="B64:O64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topLeftCell="M94" workbookViewId="0">
      <selection activeCell="B101" sqref="B101:P101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topLeftCell="O89" workbookViewId="0">
      <selection activeCell="B101" sqref="B101:P101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topLeftCell="A93" workbookViewId="0">
      <selection activeCell="I121" sqref="I121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1</v>
      </c>
      <c r="U4" s="22">
        <f>T4/S4</f>
        <v>1.9267822736030828E-3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22</v>
      </c>
      <c r="N64" s="15" t="s">
        <v>23</v>
      </c>
      <c r="O64" s="11">
        <v>45946</v>
      </c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8AA8-777E-4403-AE8B-51E4D0EAC653}">
  <dimension ref="A1:U654"/>
  <sheetViews>
    <sheetView workbookViewId="0">
      <selection activeCell="J20" sqref="J2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50BC2FD-0B55-45D0-9E84-E695D2012989}">
      <formula1>45658</formula1>
    </dataValidation>
    <dataValidation type="whole" operator="greaterThanOrEqual" allowBlank="1" showInputMessage="1" showErrorMessage="1" sqref="P2:P520 D2:H520 J2:J520 L2:L520" xr:uid="{BF61A3A8-9EE5-4790-9E36-4E37EFA834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4BF2-DC6B-41BD-B99F-2B362253A34A}">
  <dimension ref="A1:U654"/>
  <sheetViews>
    <sheetView workbookViewId="0">
      <selection activeCell="D16" sqref="D16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57346524-BF2A-40EB-B256-6720B4015C1C}">
      <formula1>0</formula1>
    </dataValidation>
    <dataValidation type="date" operator="greaterThanOrEqual" allowBlank="1" showInputMessage="1" showErrorMessage="1" sqref="B2:B520 I2:I520 K2:K520 O2:O520" xr:uid="{5BEC3391-D8E9-4429-A79A-CFDB354D248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E570-1711-451B-99FF-3C8AE41833B8}">
  <dimension ref="A1:U654"/>
  <sheetViews>
    <sheetView workbookViewId="0">
      <selection activeCell="H16" sqref="H16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2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3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3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3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3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3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3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3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3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3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3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3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3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3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3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3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3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3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3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3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3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3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3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3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3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3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3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3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3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3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3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3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3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3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3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3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3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3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3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3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3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3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3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3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3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3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3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3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3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3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3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3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3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3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3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3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3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3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3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3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3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3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3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3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3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3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3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3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3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3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3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3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3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3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3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3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3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3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3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3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3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3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3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3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3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3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3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3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3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3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3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3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3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3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3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3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3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3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3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3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3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3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3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3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3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3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3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3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3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3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3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3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3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3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3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3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3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3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3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3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3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3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3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3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3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3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3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3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3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3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3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3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3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3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3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3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3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3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3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3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3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3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3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3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3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3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3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3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3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3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3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3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3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3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3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3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3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3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3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3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3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3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3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3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3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3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3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3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3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3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3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3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3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3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3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3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3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3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3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3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3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3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3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3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3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3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3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3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3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3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3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3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3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3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3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3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3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3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3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3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3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3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3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3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3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3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3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3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3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3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3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3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3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3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3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3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3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3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3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3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3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3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3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3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3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3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3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3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3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3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3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3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3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3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3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3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3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3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3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3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3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3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3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3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3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3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3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3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3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3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3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3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3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3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3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3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3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3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3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3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3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3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3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3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3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3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3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3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3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3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3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3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3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3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3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3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3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3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3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3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3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3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3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3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3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3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3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3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3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3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3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3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3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3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3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3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3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3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3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3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3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3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3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3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3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3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3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3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3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3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3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3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3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3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3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3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3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3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3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3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3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3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3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3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3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3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3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3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3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3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3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3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3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3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3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3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3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3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3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3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3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3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3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3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3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3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3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3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3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3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3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3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3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3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3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3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3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3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3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3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3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3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3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3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3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3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3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3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3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3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3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3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3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3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3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3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3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3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3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3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3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3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3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3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3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3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3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3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3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3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3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3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3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3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3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3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3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3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3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3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3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3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3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3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3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3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3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3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3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3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3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3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3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3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3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3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3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3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3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3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3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3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3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3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3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3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3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3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3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3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3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3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3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3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3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3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3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3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3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3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3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3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3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3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3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3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3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3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3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3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3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3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3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3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3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3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3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3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3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3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3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3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3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3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3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3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3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3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3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3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3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3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3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3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3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3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3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3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3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3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3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3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3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3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3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3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3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3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3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3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3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3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3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3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3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3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3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3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3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3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3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3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3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3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3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3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3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3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3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3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3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3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3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3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3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3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3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35">
      <c r="P521" s="24"/>
    </row>
    <row r="522" spans="1:16" x14ac:dyDescent="0.35">
      <c r="P522" s="24"/>
    </row>
    <row r="523" spans="1:16" x14ac:dyDescent="0.35">
      <c r="P523" s="24"/>
    </row>
    <row r="524" spans="1:16" x14ac:dyDescent="0.35">
      <c r="P524" s="24"/>
    </row>
    <row r="525" spans="1:16" x14ac:dyDescent="0.35">
      <c r="P525" s="24"/>
    </row>
    <row r="526" spans="1:16" x14ac:dyDescent="0.35">
      <c r="P526" s="24"/>
    </row>
    <row r="527" spans="1:16" x14ac:dyDescent="0.35">
      <c r="P527" s="24"/>
    </row>
    <row r="528" spans="1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5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4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  <row r="577" spans="16:16" x14ac:dyDescent="0.35">
      <c r="P577" s="24"/>
    </row>
    <row r="578" spans="16:16" x14ac:dyDescent="0.35">
      <c r="P578" s="24"/>
    </row>
    <row r="579" spans="16:16" x14ac:dyDescent="0.35">
      <c r="P579" s="24"/>
    </row>
    <row r="580" spans="16:16" x14ac:dyDescent="0.35">
      <c r="P580" s="24"/>
    </row>
    <row r="581" spans="16:16" x14ac:dyDescent="0.35">
      <c r="P581" s="24"/>
    </row>
    <row r="582" spans="16:16" x14ac:dyDescent="0.35">
      <c r="P582" s="24"/>
    </row>
    <row r="583" spans="16:16" x14ac:dyDescent="0.35">
      <c r="P583" s="24"/>
    </row>
    <row r="584" spans="16:16" x14ac:dyDescent="0.35">
      <c r="P584" s="24"/>
    </row>
    <row r="585" spans="16:16" x14ac:dyDescent="0.35">
      <c r="P585" s="24"/>
    </row>
    <row r="586" spans="16:16" x14ac:dyDescent="0.35">
      <c r="P586" s="24"/>
    </row>
    <row r="587" spans="16:16" x14ac:dyDescent="0.35">
      <c r="P587" s="24"/>
    </row>
    <row r="588" spans="16:16" x14ac:dyDescent="0.35">
      <c r="P588" s="24"/>
    </row>
    <row r="589" spans="16:16" x14ac:dyDescent="0.35">
      <c r="P589" s="24"/>
    </row>
    <row r="590" spans="16:16" x14ac:dyDescent="0.35">
      <c r="P590" s="24"/>
    </row>
    <row r="591" spans="16:16" x14ac:dyDescent="0.35">
      <c r="P591" s="24"/>
    </row>
    <row r="592" spans="16:16" x14ac:dyDescent="0.35">
      <c r="P592" s="24"/>
    </row>
    <row r="593" spans="16:16" x14ac:dyDescent="0.35">
      <c r="P593" s="24"/>
    </row>
    <row r="594" spans="16:16" x14ac:dyDescent="0.35">
      <c r="P594" s="24"/>
    </row>
    <row r="595" spans="16:16" x14ac:dyDescent="0.35">
      <c r="P595" s="24"/>
    </row>
    <row r="596" spans="16:16" x14ac:dyDescent="0.35">
      <c r="P596" s="24"/>
    </row>
    <row r="597" spans="16:16" x14ac:dyDescent="0.35">
      <c r="P597" s="24"/>
    </row>
    <row r="598" spans="16:16" x14ac:dyDescent="0.35">
      <c r="P598" s="24"/>
    </row>
    <row r="599" spans="16:16" x14ac:dyDescent="0.35">
      <c r="P599" s="24"/>
    </row>
    <row r="600" spans="16:16" x14ac:dyDescent="0.35">
      <c r="P600" s="24"/>
    </row>
    <row r="601" spans="16:16" x14ac:dyDescent="0.35">
      <c r="P601" s="24"/>
    </row>
    <row r="602" spans="16:16" x14ac:dyDescent="0.35">
      <c r="P602" s="24"/>
    </row>
    <row r="603" spans="16:16" x14ac:dyDescent="0.35">
      <c r="P603" s="24"/>
    </row>
    <row r="604" spans="16:16" x14ac:dyDescent="0.35">
      <c r="P604" s="24"/>
    </row>
    <row r="605" spans="16:16" x14ac:dyDescent="0.35">
      <c r="P605" s="24"/>
    </row>
    <row r="606" spans="16:16" x14ac:dyDescent="0.35">
      <c r="P606" s="24"/>
    </row>
    <row r="607" spans="16:16" x14ac:dyDescent="0.35">
      <c r="P607" s="24"/>
    </row>
    <row r="608" spans="16:16" x14ac:dyDescent="0.35">
      <c r="P608" s="24"/>
    </row>
    <row r="609" spans="16:16" x14ac:dyDescent="0.35">
      <c r="P609" s="24"/>
    </row>
    <row r="610" spans="16:16" x14ac:dyDescent="0.35">
      <c r="P610" s="24"/>
    </row>
    <row r="611" spans="16:16" x14ac:dyDescent="0.35">
      <c r="P611" s="24"/>
    </row>
    <row r="612" spans="16:16" x14ac:dyDescent="0.35">
      <c r="P612" s="24"/>
    </row>
    <row r="613" spans="16:16" x14ac:dyDescent="0.35">
      <c r="P613" s="24"/>
    </row>
    <row r="614" spans="16:16" x14ac:dyDescent="0.35">
      <c r="P614" s="24"/>
    </row>
    <row r="615" spans="16:16" x14ac:dyDescent="0.35">
      <c r="P615" s="24"/>
    </row>
    <row r="616" spans="16:16" x14ac:dyDescent="0.35">
      <c r="P616" s="24"/>
    </row>
    <row r="617" spans="16:16" x14ac:dyDescent="0.35">
      <c r="P617" s="24"/>
    </row>
    <row r="618" spans="16:16" x14ac:dyDescent="0.35">
      <c r="P618" s="24"/>
    </row>
    <row r="619" spans="16:16" x14ac:dyDescent="0.35">
      <c r="P619" s="24"/>
    </row>
    <row r="620" spans="16:16" x14ac:dyDescent="0.35">
      <c r="P620" s="24"/>
    </row>
    <row r="621" spans="16:16" x14ac:dyDescent="0.35">
      <c r="P621" s="24"/>
    </row>
    <row r="622" spans="16:16" x14ac:dyDescent="0.35">
      <c r="P622" s="24"/>
    </row>
    <row r="623" spans="16:16" x14ac:dyDescent="0.35">
      <c r="P623" s="24"/>
    </row>
    <row r="624" spans="16:16" x14ac:dyDescent="0.35">
      <c r="P624" s="24"/>
    </row>
    <row r="625" spans="16:16" x14ac:dyDescent="0.35">
      <c r="P625" s="24"/>
    </row>
    <row r="626" spans="16:16" x14ac:dyDescent="0.35">
      <c r="P626" s="25"/>
    </row>
    <row r="627" spans="16:16" x14ac:dyDescent="0.35">
      <c r="P627" s="24"/>
    </row>
    <row r="628" spans="16:16" x14ac:dyDescent="0.35">
      <c r="P628" s="24"/>
    </row>
    <row r="629" spans="16:16" x14ac:dyDescent="0.35">
      <c r="P629" s="24"/>
    </row>
    <row r="630" spans="16:16" x14ac:dyDescent="0.35">
      <c r="P630" s="24"/>
    </row>
    <row r="631" spans="16:16" x14ac:dyDescent="0.35">
      <c r="P631" s="24"/>
    </row>
    <row r="632" spans="16:16" x14ac:dyDescent="0.35">
      <c r="P632" s="24"/>
    </row>
    <row r="633" spans="16:16" x14ac:dyDescent="0.35">
      <c r="P633" s="24"/>
    </row>
    <row r="634" spans="16:16" x14ac:dyDescent="0.35">
      <c r="P634" s="24"/>
    </row>
    <row r="635" spans="16:16" x14ac:dyDescent="0.35">
      <c r="P635" s="24"/>
    </row>
    <row r="636" spans="16:16" x14ac:dyDescent="0.35">
      <c r="P636" s="24"/>
    </row>
    <row r="637" spans="16:16" x14ac:dyDescent="0.35">
      <c r="P637" s="24"/>
    </row>
    <row r="638" spans="16:16" x14ac:dyDescent="0.35">
      <c r="P638" s="24"/>
    </row>
    <row r="639" spans="16:16" x14ac:dyDescent="0.35">
      <c r="P639" s="24"/>
    </row>
    <row r="640" spans="16:16" x14ac:dyDescent="0.35">
      <c r="P640" s="24"/>
    </row>
    <row r="641" spans="16:16" x14ac:dyDescent="0.35">
      <c r="P641" s="24"/>
    </row>
    <row r="642" spans="16:16" x14ac:dyDescent="0.35">
      <c r="P642" s="24"/>
    </row>
    <row r="643" spans="16:16" x14ac:dyDescent="0.35">
      <c r="P643" s="24"/>
    </row>
    <row r="644" spans="16:16" x14ac:dyDescent="0.35">
      <c r="P644" s="24"/>
    </row>
    <row r="645" spans="16:16" x14ac:dyDescent="0.35">
      <c r="P645" s="24"/>
    </row>
    <row r="646" spans="16:16" x14ac:dyDescent="0.35">
      <c r="P646" s="24"/>
    </row>
    <row r="647" spans="16:16" x14ac:dyDescent="0.35">
      <c r="P647" s="24"/>
    </row>
    <row r="648" spans="16:16" x14ac:dyDescent="0.35">
      <c r="P648" s="24"/>
    </row>
    <row r="649" spans="16:16" x14ac:dyDescent="0.35">
      <c r="P649" s="24"/>
    </row>
    <row r="650" spans="16:16" x14ac:dyDescent="0.35">
      <c r="P650" s="24"/>
    </row>
    <row r="651" spans="16:16" x14ac:dyDescent="0.35">
      <c r="P651" s="24"/>
    </row>
    <row r="652" spans="16:16" x14ac:dyDescent="0.35">
      <c r="P652" s="24"/>
    </row>
    <row r="653" spans="16:16" x14ac:dyDescent="0.35">
      <c r="P653" s="24"/>
    </row>
    <row r="654" spans="16:16" x14ac:dyDescent="0.3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86BBE107-9A6F-413B-B871-136E7275491E}">
      <formula1>45658</formula1>
    </dataValidation>
    <dataValidation type="whole" operator="greaterThanOrEqual" allowBlank="1" showInputMessage="1" showErrorMessage="1" sqref="P2:P520 D2:H520 J2:J520 L2:L520" xr:uid="{018FB9B6-68EC-42E6-A2B4-247E6B867945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4C3AC0-8520-42D5-A09F-6E17E2A17BDC}">
  <ds:schemaRefs>
    <ds:schemaRef ds:uri="http://purl.org/dc/dcmitype/"/>
    <ds:schemaRef ds:uri="d5486727-c7ef-48ef-8f67-294a70abf30d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f09d0ae9-c6ff-4e57-bd1f-955be6ad47a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114CD1D-D03F-49CF-AA4A-5EA03F4FC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Mourad Zerrouk</cp:lastModifiedBy>
  <cp:revision/>
  <dcterms:created xsi:type="dcterms:W3CDTF">2025-10-14T11:42:09Z</dcterms:created>
  <dcterms:modified xsi:type="dcterms:W3CDTF">2025-10-29T08:47:22Z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