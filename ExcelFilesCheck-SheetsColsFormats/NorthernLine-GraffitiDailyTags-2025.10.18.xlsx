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55" documentId="13_ncr:1_{1E1E5BEC-5BEE-42AB-81D4-08B890F79E33}" xr6:coauthVersionLast="47" xr6:coauthVersionMax="47" xr10:uidLastSave="{AC7BA52D-6056-4C6A-B67B-9E11DB9222D6}"/>
  <bookViews>
    <workbookView xWindow="-120" yWindow="-120" windowWidth="29040" windowHeight="15720" firstSheet="7" activeTab="10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<sst xmlns="http://schemas.openxmlformats.org/spreadsheetml/2006/main" count="295" uniqueCount="26">
  <si>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</si>
  <si>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</si>
  <si>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</si>
  <si>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</si>
  <si>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</si>
  <si>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</si>
  <si>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</si>
  <si>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</si>
  <si>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</si>
  <si>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</si>
  <si>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</si>
  <si>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</si>
  <si>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</si>
  <si>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</si>
  <si>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</si>
  <si>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</si>
  <si>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</si>
  <si>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</si>
  <si>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</si>
  <si>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</si>
  <si>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</si>
  <si>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</si>
  <si>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</si>
  <si>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violena</t>
  </si>
  <si>
    <t>Michael</t>
  </si>
  <si>
    <t>Roland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</si>
</sst>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8D0921-5009-4F6E-8B43-4F7383B0A21E}" name="TagsRA10" displayName="TagsRA10" ref="A1:P213" totalsRowShown="0" headerRowDxfId="53" tableBorderDxfId="52">
  <autoFilter ref="A1:P213" xr:uid="{8C459B2E-0469-4808-A7E2-2087F0BC89FF}"/>
  <tableColumns count="16">
    <tableColumn id="1" xr3:uid="{12EA89C4-C015-401F-A3F4-EA834BF0AE4B}" name="Unit No." dataDxfId="51"/>
    <tableColumn id="2" xr3:uid="{4B3E869B-1BF8-4A96-945D-A5C353D8038E}" name="DATE" dataDxfId="50"/>
    <tableColumn id="3" xr3:uid="{8445E593-27F3-4A29-8760-F8A54CFF7DE8}" name="Status" dataDxfId="49"/>
    <tableColumn id="4" xr3:uid="{5C18B4F3-19CC-4F96-A4EF-40D5F7011037}" name="Number of cars affected by graffiti/shadows on this unit" dataDxfId="48"/>
    <tableColumn id="5" xr3:uid="{4864AEE5-4A7B-442C-9405-022BAAD25D07}" name="Total Number of Tags found" dataDxfId="47"/>
    <tableColumn id="6" xr3:uid="{43E7F1CC-B48A-401F-9AF4-8DF234B8B404}" name="Total Tags Removed / Cleaned" dataDxfId="46"/>
    <tableColumn id="7" xr3:uid="{0BA04149-A23E-4E1C-BBBC-72C91D38DB59}" name="Total Tags Not Cleaned on this Unit" dataDxfId="45"/>
    <tableColumn id="8" xr3:uid="{A18515B5-A702-4A2E-93DC-7E0B4C2B725E}" name="Car Number (s)  of Tags not cleaned (shadows)" dataDxfId="44"/>
    <tableColumn id="9" xr3:uid="{0DCD3D50-68EA-4EF3-ADBC-697C08C554A7}" name="Date of 2nd visit to clean remaining tags" dataDxfId="43"/>
    <tableColumn id="10" xr3:uid="{266E97B2-F847-4C4B-938E-72E72BF3F02A}" name="Number of tags removed" dataDxfId="42"/>
    <tableColumn id="11" xr3:uid="{EAB143BC-1B5C-4EDE-B05B-7BDA77F62843}" name="Date of 3rd visit to clean remaining tags" dataDxfId="41"/>
    <tableColumn id="12" xr3:uid="{CDEE74C9-C4B2-43BC-9AED-8EB3C276949A}" name="Number of tags removed2" dataDxfId="40"/>
    <tableColumn id="13" xr3:uid="{F4A7C9A3-3665-4601-926F-D52D96B41C6B}" name="Train Inspected and Fit for service    (Y/N)" dataDxfId="39"/>
    <tableColumn id="14" xr3:uid="{9D0C4B7F-80E9-4D7B-8079-C5642D07037E}" name="Inspected by Supervisor/Manager (Name)" dataDxfId="38"/>
    <tableColumn id="15" xr3:uid="{E181D27D-6174-4AC4-B121-4E62882119E9}" name="Date of Completing all shadows (Tags) on this Unit excluding acid etched shadows" dataDxfId="37"/>
    <tableColumn id="16" xr3:uid="{0D8286A9-9610-4D14-906C-BE0642671FAD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92BEEF-EFF7-4916-A1DB-7A91D3104359}" name="TagsRA11" displayName="TagsRA11" ref="A1:P213" totalsRowShown="0" headerRowDxfId="35" tableBorderDxfId="34">
  <autoFilter ref="A1:P213" xr:uid="{8C459B2E-0469-4808-A7E2-2087F0BC89FF}"/>
  <tableColumns count="16">
    <tableColumn id="1" xr3:uid="{A730E142-A93E-489F-A79D-2A2B022A5860}" name="Unit No." dataDxfId="33"/>
    <tableColumn id="2" xr3:uid="{43E37E42-DB3A-4B7E-A22E-F3F2D3C46055}" name="DATE" dataDxfId="32"/>
    <tableColumn id="3" xr3:uid="{1CBA2B92-EF59-4986-9A9E-6CC083B8D47D}" name="Status" dataDxfId="31"/>
    <tableColumn id="4" xr3:uid="{F578753D-55E2-4013-8FBE-2262B46F668C}" name="Number of cars affected by graffiti/shadows on this unit" dataDxfId="30"/>
    <tableColumn id="5" xr3:uid="{6653E58D-C0CE-41E2-ACF9-A9E6CC86D07F}" name="Total Number of Tags found" dataDxfId="29"/>
    <tableColumn id="6" xr3:uid="{60F8E01F-301A-4904-BEEB-D7C8CD9EBE92}" name="Total Tags Removed / Cleaned" dataDxfId="28"/>
    <tableColumn id="7" xr3:uid="{1EE0CED2-25E7-4D34-BC3C-DE806C4ECF86}" name="Total Tags Not Cleaned on this Unit" dataDxfId="27"/>
    <tableColumn id="8" xr3:uid="{F41CF3A3-DAFA-4A97-8DC0-E9E8ABAED470}" name="Car Number (s)  of Tags not cleaned (shadows)" dataDxfId="26"/>
    <tableColumn id="9" xr3:uid="{37354699-BC6E-4861-857A-7BDEBA3C794D}" name="Date of 2nd visit to clean remaining tags" dataDxfId="25"/>
    <tableColumn id="10" xr3:uid="{FEFF2445-7766-4A41-BD2B-FE705F8EA544}" name="Number of tags removed" dataDxfId="24"/>
    <tableColumn id="11" xr3:uid="{382039D7-3370-446B-B440-4366116FE735}" name="Date of 3rd visit to clean remaining tags" dataDxfId="23"/>
    <tableColumn id="12" xr3:uid="{E6FC828B-523C-4A1B-ADC9-465EDF79C199}" name="Number of tags removed2" dataDxfId="22"/>
    <tableColumn id="13" xr3:uid="{CB252612-7B61-4431-86AC-EDF161E6BA5E}" name="Train Inspected and Fit for service    (Y/N)" dataDxfId="21"/>
    <tableColumn id="14" xr3:uid="{EC9C98CA-5936-40FE-81F0-FB305574D7E7}" name="Inspected by Supervisor/Manager (Name)" dataDxfId="20"/>
    <tableColumn id="15" xr3:uid="{B9EF949A-B143-43B5-B394-AE7273420475}" name="Date of Completing all shadows (Tags) on this Unit excluding acid etched shadows" dataDxfId="19"/>
    <tableColumn id="16" xr3:uid="{44513E5B-52C4-42D3-8CBD-87017FD4E03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8F1A58B-01D9-4F88-9738-6A65CD994127}" name="TagsRA12" displayName="TagsRA12" ref="A1:P213" totalsRowShown="0" headerRowDxfId="17" tableBorderDxfId="16">
  <autoFilter ref="A1:P213" xr:uid="{8C459B2E-0469-4808-A7E2-2087F0BC89FF}"/>
  <tableColumns count="16">
    <tableColumn id="1" xr3:uid="{B3EA361F-A8A8-4333-9F90-F455ACB79A66}" name="Unit No." dataDxfId="15"/>
    <tableColumn id="2" xr3:uid="{6D7C0F90-F514-4E58-998E-E76BAFC3344F}" name="DATE" dataDxfId="14"/>
    <tableColumn id="3" xr3:uid="{CF163A37-E093-49FC-A4C8-3817E95970DD}" name="Status" dataDxfId="13"/>
    <tableColumn id="4" xr3:uid="{1BEF93D8-BB83-41EE-B11C-D3BE9A053AC6}" name="Number of cars affected by graffiti/shadows on this unit" dataDxfId="12"/>
    <tableColumn id="5" xr3:uid="{F8B7EFBC-7A4A-4E00-9891-B46DE838A596}" name="Total Number of Tags found" dataDxfId="11"/>
    <tableColumn id="6" xr3:uid="{3C2AB042-D706-46E3-9C1C-B710541C42E8}" name="Total Tags Removed / Cleaned" dataDxfId="10"/>
    <tableColumn id="7" xr3:uid="{8A4FF073-8893-43D2-94D6-7336BF0DA4A0}" name="Total Tags Not Cleaned on this Unit" dataDxfId="9"/>
    <tableColumn id="8" xr3:uid="{E06B74A9-FBDC-470C-8E01-C585E1EC5DF5}" name="Car Number (s)  of Tags not cleaned (shadows)" dataDxfId="8"/>
    <tableColumn id="9" xr3:uid="{A503F55A-91DC-41CB-ACB7-64F365DBB032}" name="Date of 2nd visit to clean remaining tags" dataDxfId="7"/>
    <tableColumn id="10" xr3:uid="{C1D227DC-150E-430D-92BD-7EBF91DA0B4B}" name="Number of tags removed" dataDxfId="6"/>
    <tableColumn id="11" xr3:uid="{8DCE1588-B749-4C32-AD92-929643CE848B}" name="Date of 3rd visit to clean remaining tags" dataDxfId="5"/>
    <tableColumn id="12" xr3:uid="{D92665B2-0792-4D5B-991C-61DB22B5B21F}" name="Number of tags removed2" dataDxfId="4"/>
    <tableColumn id="13" xr3:uid="{059472AA-7298-4485-A0B8-04274B82141A}" name="Train Inspected and Fit for service    (Y/N)" dataDxfId="3"/>
    <tableColumn id="14" xr3:uid="{2EF2048A-58D6-4D31-ACC4-3D4BF8347571}" name="Inspected by Supervisor/Manager (Name)" dataDxfId="2"/>
    <tableColumn id="15" xr3:uid="{4A408C4A-C770-4D35-BB55-26D848C860CB}" name="Date of Completing all shadows (Tags) on this Unit excluding acid etched shadows" dataDxfId="1"/>
    <tableColumn id="16" xr3:uid="{D5674867-DDDF-4A8B-868D-85F2FE95A2B7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99" activePane="bottomRight" state="frozen"/>
      <selection pane="topRight"/>
      <selection pane="bottomLeft"/>
      <selection pane="bottomRight" activeCell="B130" sqref="B130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10</v>
      </c>
      <c r="U4" s="21">
        <f>T4/S4</f>
        <v>4.716981132075472E-2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/>
      <c r="C15" s="11"/>
      <c r="D15" s="35"/>
      <c r="E15" s="35"/>
      <c r="F15" s="35"/>
      <c r="G15" s="35"/>
      <c r="H15" s="35"/>
      <c r="I15" s="26"/>
      <c r="J15" s="35"/>
      <c r="K15" s="26"/>
      <c r="L15" s="35"/>
      <c r="M15" s="25"/>
      <c r="N15" s="27"/>
      <c r="O15" s="10"/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/>
      <c r="C25" s="11"/>
      <c r="D25" s="35"/>
      <c r="E25" s="35"/>
      <c r="F25" s="35"/>
      <c r="G25" s="35"/>
      <c r="H25" s="35"/>
      <c r="I25" s="26"/>
      <c r="J25" s="35"/>
      <c r="K25" s="26"/>
      <c r="L25" s="35"/>
      <c r="M25" s="25"/>
      <c r="N25" s="27"/>
      <c r="O25" s="10"/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/>
      <c r="C28" s="11"/>
      <c r="D28" s="35"/>
      <c r="E28" s="35"/>
      <c r="F28" s="35"/>
      <c r="G28" s="35"/>
      <c r="H28" s="35"/>
      <c r="I28" s="26"/>
      <c r="J28" s="35"/>
      <c r="K28" s="26"/>
      <c r="L28" s="35"/>
      <c r="M28" s="25"/>
      <c r="N28" s="27"/>
      <c r="O28" s="10"/>
      <c r="P28" s="37"/>
    </row>
    <row r="29" spans="1:16" ht="15" customHeight="1" x14ac:dyDescent="0.2">
      <c r="A29" s="31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/>
      <c r="C35" s="11"/>
      <c r="D35" s="35"/>
      <c r="E35" s="35"/>
      <c r="F35" s="35"/>
      <c r="G35" s="35"/>
      <c r="H35" s="35"/>
      <c r="I35" s="26"/>
      <c r="J35" s="35"/>
      <c r="K35" s="26"/>
      <c r="L35" s="35"/>
      <c r="M35" s="25"/>
      <c r="N35" s="27"/>
      <c r="O35" s="10"/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/>
      <c r="C37" s="11"/>
      <c r="D37" s="35"/>
      <c r="E37" s="35"/>
      <c r="F37" s="35"/>
      <c r="G37" s="35"/>
      <c r="H37" s="35"/>
      <c r="I37" s="26"/>
      <c r="J37" s="35"/>
      <c r="K37" s="26"/>
      <c r="L37" s="35"/>
      <c r="M37" s="25"/>
      <c r="N37" s="27"/>
      <c r="O37" s="10"/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/>
      <c r="C68" s="11"/>
      <c r="D68" s="35"/>
      <c r="E68" s="35"/>
      <c r="F68" s="35"/>
      <c r="G68" s="35"/>
      <c r="H68" s="35"/>
      <c r="I68" s="26"/>
      <c r="J68" s="35"/>
      <c r="K68" s="26"/>
      <c r="L68" s="35"/>
      <c r="M68" s="25"/>
      <c r="N68" s="27"/>
      <c r="O68" s="10"/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3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4"/>
      <c r="E75" s="34"/>
      <c r="F75" s="34"/>
      <c r="G75" s="34"/>
      <c r="H75" s="34"/>
      <c r="I75" s="13"/>
      <c r="J75" s="34"/>
      <c r="K75" s="13"/>
      <c r="L75" s="34"/>
      <c r="M75" s="12"/>
      <c r="N75" s="14"/>
      <c r="O75" s="10"/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4"/>
      <c r="E80" s="34"/>
      <c r="F80" s="34"/>
      <c r="G80" s="34"/>
      <c r="H80" s="34"/>
      <c r="I80" s="13"/>
      <c r="J80" s="34"/>
      <c r="K80" s="13"/>
      <c r="L80" s="34"/>
      <c r="M80" s="12"/>
      <c r="N80" s="14"/>
      <c r="O80" s="10"/>
      <c r="P80" s="36"/>
    </row>
    <row r="81" spans="1:16" x14ac:dyDescent="0.2">
      <c r="A81" s="33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23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4"/>
      <c r="E96" s="34"/>
      <c r="F96" s="34"/>
      <c r="G96" s="34"/>
      <c r="H96" s="34"/>
      <c r="I96" s="13"/>
      <c r="J96" s="34"/>
      <c r="K96" s="13"/>
      <c r="L96" s="34"/>
      <c r="M96" s="12"/>
      <c r="N96" s="14"/>
      <c r="O96" s="10"/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/>
      <c r="C110" s="11"/>
      <c r="D110" s="34"/>
      <c r="E110" s="34"/>
      <c r="F110" s="34"/>
      <c r="G110" s="34"/>
      <c r="H110" s="34"/>
      <c r="I110" s="13"/>
      <c r="J110" s="34"/>
      <c r="K110" s="13"/>
      <c r="L110" s="34"/>
      <c r="M110" s="12"/>
      <c r="N110" s="14"/>
      <c r="O110" s="10"/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24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25</v>
      </c>
      <c r="O146" s="10">
        <v>45946</v>
      </c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25</v>
      </c>
      <c r="O152" s="10">
        <v>45946</v>
      </c>
      <c r="P152" s="37"/>
    </row>
    <row r="153" spans="1:16" x14ac:dyDescent="0.2">
      <c r="A153" s="31">
        <v>652</v>
      </c>
      <c r="B153" s="10"/>
      <c r="C153" s="11"/>
      <c r="D153" s="34"/>
      <c r="E153" s="34"/>
      <c r="F153" s="34"/>
      <c r="G153" s="34"/>
      <c r="H153" s="34"/>
      <c r="I153" s="13"/>
      <c r="J153" s="34"/>
      <c r="K153" s="13"/>
      <c r="L153" s="34"/>
      <c r="M153" s="12"/>
      <c r="N153" s="14"/>
      <c r="O153" s="10"/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2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topLeftCell="A106" workbookViewId="0">
      <selection activeCell="O138" sqref="O13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1</v>
      </c>
      <c r="U4" s="21">
        <f>T4/S4</f>
        <v>4.7169811320754715E-3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>
        <v>45948</v>
      </c>
      <c r="C129" s="11"/>
      <c r="D129" s="35">
        <v>9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J28" sqref="J2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2FC8-BD60-4951-B768-926CAA55780B}">
  <dimension ref="A1:U347"/>
  <sheetViews>
    <sheetView tabSelected="1" workbookViewId="0">
      <selection activeCell="J28" sqref="J2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E8F147E9-9081-42AA-9724-EBB57BA285AB}">
      <formula1>0</formula1>
    </dataValidation>
    <dataValidation type="date" operator="greaterThanOrEqual" allowBlank="1" showInputMessage="1" showErrorMessage="1" sqref="B2:B213 I2:I213 K2:K213 O2:O213" xr:uid="{4D2A3470-3EA3-4B5D-8CA1-B6FBA3AA7F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D7F7-B23C-474B-88D4-D63578D9A59B}">
  <dimension ref="A1:U347"/>
  <sheetViews>
    <sheetView workbookViewId="0">
      <selection activeCell="J28" sqref="J28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39AF1AF8-CC8F-47C8-A485-530A08CC31C1}">
      <formula1>45658</formula1>
    </dataValidation>
    <dataValidation type="whole" operator="greaterThanOrEqual" allowBlank="1" showInputMessage="1" showErrorMessage="1" sqref="A2:A213 D2:H213 J2:J213 L2:L213 P2:P213" xr:uid="{1078A38A-19E6-42A2-A935-63C0A705774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B57C-BEBB-4B11-A5DE-EEC1DB3FF609}">
  <dimension ref="A1:U347"/>
  <sheetViews>
    <sheetView workbookViewId="0">
      <selection activeCell="H10" sqref="H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994B96A-D9CE-4167-9891-403E74B7BEB9}">
      <formula1>0</formula1>
    </dataValidation>
    <dataValidation type="date" operator="greaterThanOrEqual" allowBlank="1" showInputMessage="1" showErrorMessage="1" sqref="B2:B213 I2:I213 K2:K213 O2:O213" xr:uid="{E8E3170D-CAD9-4B14-A78E-F16A1933BAEE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5B48B8-9C3E-4FDC-B156-3C5448BDAF96}"/>
</file>

<file path=customXml/itemProps2.xml><?xml version="1.0" encoding="utf-8"?>
<ds:datastoreItem xmlns:ds="http://schemas.openxmlformats.org/officeDocument/2006/customXml" ds:itemID="{7579DEA0-BEE8-4EA0-A81B-04E7E6DB1433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f09d0ae9-c6ff-4e57-bd1f-955be6ad47ac"/>
    <ds:schemaRef ds:uri="http://www.w3.org/XML/1998/namespace"/>
    <ds:schemaRef ds:uri="http://purl.org/dc/dcmitype/"/>
    <ds:schemaRef ds:uri="http://schemas.microsoft.com/office/2006/documentManagement/types"/>
    <ds:schemaRef ds:uri="d5486727-c7ef-48ef-8f67-294a70abf30d"/>
  </ds:schemaRefs>
</ds:datastoreItem>
</file>

<file path=customXml/itemProps3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2025-10-28T22:33:40Z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