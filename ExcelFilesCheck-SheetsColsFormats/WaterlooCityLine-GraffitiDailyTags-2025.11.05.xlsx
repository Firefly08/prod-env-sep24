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919" documentId="13_ncr:1_{396C4AB3-B9B8-4642-B625-64F39B46BC53}" xr6:coauthVersionLast="47" xr6:coauthVersionMax="47" xr10:uidLastSave="{BE966EE7-CE80-4EAB-8E05-943A5271B40D}"/>
  <bookViews>
    <workbookView xWindow="-120" yWindow="-120" windowWidth="29040" windowHeight="15720" tabRatio="823" firstSheet="1" activeTab="1" xr2:uid="{EF5C035C-41B0-4463-AED5-105A1C53EA14}"/>
  </bookViews>
  <sheets>
    <sheet name="Inspected" sheetId="11" state="hidden" r:id="rId1"/>
    <sheet name="WaterlooCity Line " sheetId="1" r:id="rId2"/>
    <sheet name="Repeat Attacks 1" sheetId="15" r:id="rId3"/>
    <sheet name="Repeat Attacks 2" sheetId="16" r:id="rId4"/>
    <sheet name="Repeat Attacks 3" sheetId="17" r:id="rId5"/>
    <sheet name="Repeat Attacks 4" sheetId="18" r:id="rId6"/>
    <sheet name="Repeat Attacks 5" sheetId="19" r:id="rId7"/>
    <sheet name="Repeat Attacks 6" sheetId="20" r:id="rId8"/>
    <sheet name="Repeat Attacks 7" sheetId="21" r:id="rId9"/>
    <sheet name="Repeat Attacks 8" sheetId="22" r:id="rId10"/>
    <sheet name="Repeat Attacks 9" sheetId="23" r:id="rId11"/>
    <sheet name="Repeat Attacks 10" sheetId="24" r:id="rId12"/>
    <sheet name="Repeat Attacks 11" sheetId="25" r:id="rId13"/>
    <sheet name="Repeat Attacks 12" sheetId="26" r:id="rId14"/>
  </sheets>
  <definedNames>
    <definedName name="_xlnm._FilterDatabase" localSheetId="2" hidden="1">'Repeat Attacks 1'!$A$1:$A$21</definedName>
    <definedName name="_xlnm._FilterDatabase" localSheetId="11" hidden="1">'Repeat Attacks 10'!$A$1:$A$21</definedName>
    <definedName name="_xlnm._FilterDatabase" localSheetId="12" hidden="1">'Repeat Attacks 11'!$A$1:$A$21</definedName>
    <definedName name="_xlnm._FilterDatabase" localSheetId="13" hidden="1">'Repeat Attacks 12'!$A$1:$A$21</definedName>
    <definedName name="_xlnm._FilterDatabase" localSheetId="3" hidden="1">'Repeat Attacks 2'!$A$1:$A$21</definedName>
    <definedName name="_xlnm._FilterDatabase" localSheetId="4" hidden="1">'Repeat Attacks 3'!$A$1:$A$21</definedName>
    <definedName name="_xlnm._FilterDatabase" localSheetId="5" hidden="1">'Repeat Attacks 4'!$A$1:$A$21</definedName>
    <definedName name="_xlnm._FilterDatabase" localSheetId="6" hidden="1">'Repeat Attacks 5'!$A$1:$A$21</definedName>
    <definedName name="_xlnm._FilterDatabase" localSheetId="7" hidden="1">'Repeat Attacks 6'!$A$1:$A$21</definedName>
    <definedName name="_xlnm._FilterDatabase" localSheetId="8" hidden="1">'Repeat Attacks 7'!$A$1:$A$21</definedName>
    <definedName name="_xlnm._FilterDatabase" localSheetId="9" hidden="1">'Repeat Attacks 8'!$A$1:$A$21</definedName>
    <definedName name="_xlnm._FilterDatabase" localSheetId="10" hidden="1">'Repeat Attacks 9'!$A$1:$A$21</definedName>
    <definedName name="_xlnm._FilterDatabase" localSheetId="1" hidden="1">'WaterlooCity Line '!$A$1:$A$21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6" l="1"/>
  <c r="U4" i="26" s="1"/>
  <c r="S4" i="26"/>
  <c r="T4" i="25"/>
  <c r="U4" i="25" s="1"/>
  <c r="S4" i="25"/>
  <c r="T4" i="24"/>
  <c r="U4" i="24" s="1"/>
  <c r="S4" i="24"/>
  <c r="U4" i="23"/>
  <c r="T4" i="23"/>
  <c r="S4" i="23"/>
  <c r="T4" i="22"/>
  <c r="U4" i="22" s="1"/>
  <c r="S4" i="22"/>
  <c r="T4" i="21"/>
  <c r="U4" i="21" s="1"/>
  <c r="S4" i="21"/>
  <c r="T4" i="20"/>
  <c r="U4" i="20" s="1"/>
  <c r="S4" i="20"/>
  <c r="U4" i="19"/>
  <c r="T4" i="19"/>
  <c r="S4" i="19"/>
  <c r="T4" i="18"/>
  <c r="U4" i="18" s="1"/>
  <c r="S4" i="18"/>
  <c r="T4" i="17"/>
  <c r="U4" i="17" s="1"/>
  <c r="S4" i="17"/>
  <c r="T4" i="16"/>
  <c r="U4" i="16" s="1"/>
  <c r="S4" i="16"/>
  <c r="T4" i="15"/>
  <c r="U4" i="15" s="1"/>
  <c r="S4" i="15"/>
  <c r="S4" i="1" l="1"/>
  <c r="T4" i="1"/>
  <c r="U4" i="1" l="1"/>
</calcChain>
</file>

<file path=xl/sharedStrings.xml><?xml version="1.0" encoding="utf-8"?>
<sst xmlns="http://schemas.openxmlformats.org/spreadsheetml/2006/main" count="302" uniqueCount="26">
  <si>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</si>
  <si>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</si>
  <si>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</si>
  <si>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</si>
  <si>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</si>
  <si>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</si>
  <si>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</si>
  <si>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</si>
  <si>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</si>
  <si>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</si>
  <si>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</si>
  <si>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</si>
  <si>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</si>
  <si>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</si>
  <si>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</si>
  <si>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</si>
  <si>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</si>
  <si>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</si>
  <si>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</si>
  <si>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</si>
  <si>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</si>
  <si>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</si>
  <si>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Completed</t>
  </si>
  <si>
    <t>% Completed</t>
  </si>
  <si>
    <t>Key</t>
  </si>
  <si>
    <t>Stopped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</si>
</sst>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164" fontId="2" fillId="0" borderId="7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top" wrapText="1" indent="1"/>
    </xf>
    <xf numFmtId="0" fontId="0" fillId="7" borderId="7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center" vertical="top" wrapText="1"/>
    </xf>
    <xf numFmtId="9" fontId="0" fillId="0" borderId="11" xfId="1" applyFont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 inden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vertical="center"/>
      <protection locked="0"/>
    </xf>
    <xf numFmtId="0" fontId="0" fillId="11" borderId="7" xfId="0" applyFill="1" applyBorder="1" applyAlignment="1">
      <alignment horizontal="left" vertical="top" wrapText="1" indent="1"/>
    </xf>
    <xf numFmtId="0" fontId="0" fillId="12" borderId="6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5" fillId="4" borderId="1" xfId="0" applyFont="1" applyFill="1" applyBorder="1" applyAlignment="1" applyProtection="1">
      <alignment horizontal="left" vertical="center" wrapText="1"/>
      <protection hidden="1"/>
    </xf>
    <xf numFmtId="0" fontId="5" fillId="5" borderId="1" xfId="0" applyFont="1" applyFill="1" applyBorder="1" applyAlignment="1" applyProtection="1">
      <alignment horizontal="center" vertical="center" wrapText="1"/>
      <protection hidden="1"/>
    </xf>
    <xf numFmtId="0" fontId="5" fillId="9" borderId="13" xfId="0" applyFont="1" applyFill="1" applyBorder="1" applyAlignment="1" applyProtection="1">
      <alignment horizontal="center" vertical="center" wrapText="1"/>
      <protection hidden="1"/>
    </xf>
    <xf numFmtId="0" fontId="5" fillId="10" borderId="13" xfId="0" applyFont="1" applyFill="1" applyBorder="1" applyAlignment="1" applyProtection="1">
      <alignment horizontal="center" vertical="center" wrapText="1"/>
      <protection hidden="1"/>
    </xf>
    <xf numFmtId="0" fontId="5" fillId="5" borderId="13" xfId="0" applyFont="1" applyFill="1" applyBorder="1" applyAlignment="1" applyProtection="1">
      <alignment horizontal="center" vertical="center" wrapText="1"/>
      <protection hidden="1"/>
    </xf>
    <xf numFmtId="0" fontId="5" fillId="5" borderId="14" xfId="0" applyFont="1" applyFill="1" applyBorder="1" applyAlignment="1" applyProtection="1">
      <alignment horizontal="center" vertical="center" wrapText="1"/>
      <protection hidden="1"/>
    </xf>
    <xf numFmtId="0" fontId="5" fillId="3" borderId="15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164" fontId="2" fillId="0" borderId="7" xfId="0" applyNumberFormat="1" applyFont="1" applyBorder="1" applyAlignment="1" applyProtection="1">
      <alignment horizontal="center" vertical="center"/>
      <protection locked="0"/>
    </xf>
    <xf numFmtId="2" fontId="5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5" fillId="9" borderId="13" xfId="0" applyNumberFormat="1" applyFont="1" applyFill="1" applyBorder="1" applyAlignment="1" applyProtection="1">
      <alignment horizontal="center" vertical="center" wrapText="1"/>
      <protection hidden="1"/>
    </xf>
    <xf numFmtId="14" fontId="2" fillId="0" borderId="7" xfId="0" applyNumberFormat="1" applyFont="1" applyBorder="1" applyAlignment="1" applyProtection="1">
      <alignment horizontal="center" vertical="center"/>
      <protection locked="0"/>
    </xf>
    <xf numFmtId="14" fontId="5" fillId="10" borderId="13" xfId="0" applyNumberFormat="1" applyFont="1" applyFill="1" applyBorder="1" applyAlignment="1" applyProtection="1">
      <alignment horizontal="center" vertical="center" wrapText="1"/>
      <protection hidden="1"/>
    </xf>
    <xf numFmtId="1" fontId="2" fillId="0" borderId="7" xfId="0" applyNumberFormat="1" applyFont="1" applyBorder="1" applyAlignment="1" applyProtection="1">
      <alignment horizontal="center" vertical="center"/>
      <protection locked="0"/>
    </xf>
    <xf numFmtId="1" fontId="2" fillId="0" borderId="6" xfId="0" applyNumberFormat="1" applyFont="1" applyBorder="1" applyAlignment="1" applyProtection="1">
      <alignment horizontal="center" vertical="center"/>
      <protection locked="0"/>
    </xf>
    <xf numFmtId="1" fontId="5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3" fillId="3" borderId="7" xfId="0" applyNumberFormat="1" applyFont="1" applyFill="1" applyBorder="1" applyAlignment="1">
      <alignment horizontal="left"/>
    </xf>
    <xf numFmtId="1" fontId="3" fillId="4" borderId="7" xfId="0" applyNumberFormat="1" applyFont="1" applyFill="1" applyBorder="1" applyAlignment="1">
      <alignment horizontal="left"/>
    </xf>
    <xf numFmtId="1" fontId="3" fillId="11" borderId="7" xfId="0" applyNumberFormat="1" applyFont="1" applyFill="1" applyBorder="1" applyAlignment="1">
      <alignment horizontal="left"/>
    </xf>
    <xf numFmtId="0" fontId="5" fillId="5" borderId="16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21" totalsRowShown="0" headerRowDxfId="233" tableBorderDxfId="232">
  <autoFilter ref="A1:P21" xr:uid="{9A30CA9B-DA8B-4A97-B359-BE83BEB9C023}"/>
  <tableColumns count="16">
    <tableColumn id="1" xr3:uid="{9409621A-FA97-4D44-A971-C80D75A85520}" name="Unit No." dataDxfId="231"/>
    <tableColumn id="2" xr3:uid="{767F9C47-9486-4409-B3DC-CF5F1DE5F6EA}" name="DATE" dataDxfId="230"/>
    <tableColumn id="3" xr3:uid="{EEB06000-F845-4A8C-BEB8-C277E6B81D6B}" name="Status" dataDxfId="229"/>
    <tableColumn id="4" xr3:uid="{C1AA4EE1-8014-48D1-A0DC-6239D1ED671A}" name="Number of cars affected by graffiti/shadows on this unit" dataDxfId="228"/>
    <tableColumn id="5" xr3:uid="{AFABA8DB-E3A8-4902-9E07-B8EF42042661}" name="Total Number of Tags found" dataDxfId="227"/>
    <tableColumn id="6" xr3:uid="{5207B806-6F84-4FBA-85A4-B030778D217A}" name="Total Tags Removed / Cleaned" dataDxfId="226"/>
    <tableColumn id="7" xr3:uid="{171DCA55-F134-44DC-BC23-EF5E4056C8B3}" name="Total Tags Not Cleaned on this Unit" dataDxfId="225"/>
    <tableColumn id="8" xr3:uid="{58D4A002-73FD-4B36-A17E-A0B9D61A1B83}" name="Car Number (s)  of Tags not cleaned (shadows)" dataDxfId="224"/>
    <tableColumn id="9" xr3:uid="{64F5DBE7-51DE-4A14-8F68-D05D22BE2408}" name="Date of 2nd visit to clean remaining tags" dataDxfId="223"/>
    <tableColumn id="10" xr3:uid="{F19B294F-662A-41CD-9B2C-B10C8D8A1888}" name="Number of tags removed" dataDxfId="222"/>
    <tableColumn id="11" xr3:uid="{A0FF4F57-E630-4CAA-A2F5-40B0A0B1DAF8}" name="Date of 3rd visit to clean remaining tags" dataDxfId="221"/>
    <tableColumn id="12" xr3:uid="{9D58AB19-BDFD-4E48-9B5B-20DC35141140}" name="Number of tags removed2" dataDxfId="220"/>
    <tableColumn id="13" xr3:uid="{52F656F6-5943-4A6C-940C-81A4A0F3DAD7}" name="Train Inspected and Fit for service    (Y/N)" dataDxfId="219"/>
    <tableColumn id="14" xr3:uid="{C32752A7-C4DC-4AA7-ADD0-C38A3A2BAD69}" name="Inspected by Supervisor/Manager (Name)" dataDxfId="218"/>
    <tableColumn id="15" xr3:uid="{9C95AF34-AFC6-4F4E-B691-68B01D1E8696}" name="Date of Completing all shadows (Tags) on this Unit excluding acid etched shadows" dataDxfId="217"/>
    <tableColumn id="16" xr3:uid="{3B10A84F-A784-43B5-A37B-A4DCC7D9125D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E003D4-8948-4E53-BF65-4D392D98D867}" name="TagsRA1" displayName="TagsRA1" ref="A1:P21" totalsRowShown="0" headerRowDxfId="215" tableBorderDxfId="214">
  <autoFilter ref="A1:P21" xr:uid="{9A30CA9B-DA8B-4A97-B359-BE83BEB9C023}"/>
  <tableColumns count="16">
    <tableColumn id="1" xr3:uid="{4EAF670E-A800-44A7-BEA5-1256F7CA66B8}" name="Unit No." dataDxfId="213"/>
    <tableColumn id="2" xr3:uid="{B275923B-9D65-41E8-879A-250B79AE2840}" name="DATE" dataDxfId="212"/>
    <tableColumn id="3" xr3:uid="{2DD311E1-5B14-4B5C-B1AE-37E8A7A03928}" name="Status" dataDxfId="211"/>
    <tableColumn id="4" xr3:uid="{3F8D189B-66B4-471A-887A-4A372D7FA004}" name="Number of cars affected by graffiti/shadows on this unit" dataDxfId="210"/>
    <tableColumn id="5" xr3:uid="{CC5BE90E-D100-4F86-970A-3D331B9516D3}" name="Total Number of Tags found" dataDxfId="209"/>
    <tableColumn id="6" xr3:uid="{DD2EF485-88D3-4EF7-BBE7-21F3009B8DEE}" name="Total Tags Removed / Cleaned" dataDxfId="208"/>
    <tableColumn id="7" xr3:uid="{F7AB8112-5C7D-409D-BDFB-115A7F16002C}" name="Total Tags Not Cleaned on this Unit" dataDxfId="207"/>
    <tableColumn id="8" xr3:uid="{1D77862D-63EF-410C-927C-AF89DFFA53F9}" name="Car Number (s)  of Tags not cleaned (shadows)" dataDxfId="206"/>
    <tableColumn id="9" xr3:uid="{97D646E8-3915-456E-A655-486E2D920BC8}" name="Date of 2nd visit to clean remaining tags" dataDxfId="205"/>
    <tableColumn id="10" xr3:uid="{60DCA7FE-CBA7-4E06-872F-731C959A5390}" name="Number of tags removed" dataDxfId="204"/>
    <tableColumn id="11" xr3:uid="{07A9582C-9D18-40C3-A94D-F462D09BC917}" name="Date of 3rd visit to clean remaining tags" dataDxfId="203"/>
    <tableColumn id="12" xr3:uid="{6DE2BD41-AAA5-49BB-A85C-B32325954372}" name="Number of tags removed2" dataDxfId="202"/>
    <tableColumn id="13" xr3:uid="{510A002E-32CA-40E3-8898-8AFCB98CC113}" name="Train Inspected and Fit for service    (Y/N)" dataDxfId="201"/>
    <tableColumn id="14" xr3:uid="{D6627240-C178-4946-8369-39A8292D0404}" name="Inspected by Supervisor/Manager (Name)" dataDxfId="200"/>
    <tableColumn id="15" xr3:uid="{86C45D2F-59EB-4409-B5E3-E75A05CAA46D}" name="Date of Completing all shadows (Tags) on this Unit excluding acid etched shadows" dataDxfId="199"/>
    <tableColumn id="16" xr3:uid="{A3CED306-1FD0-4BB1-8E2D-66F355CDCF27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89A847-F732-42E3-B8D8-8D0B09185F18}" name="TagsRA2" displayName="TagsRA2" ref="A1:P21" totalsRowShown="0" headerRowDxfId="197" tableBorderDxfId="196">
  <autoFilter ref="A1:P21" xr:uid="{9A30CA9B-DA8B-4A97-B359-BE83BEB9C023}"/>
  <tableColumns count="16">
    <tableColumn id="1" xr3:uid="{E2B05358-F1E9-49E6-BE08-893F2885FBB1}" name="Unit No." dataDxfId="195"/>
    <tableColumn id="2" xr3:uid="{45BEAAB5-C742-42DE-858C-659AD9900D8B}" name="DATE" dataDxfId="194"/>
    <tableColumn id="3" xr3:uid="{589F9C84-66F5-4312-A5E7-4794337152A3}" name="Status" dataDxfId="193"/>
    <tableColumn id="4" xr3:uid="{A7974682-F814-4EEF-B41A-9410BB45C6AB}" name="Number of cars affected by graffiti/shadows on this unit" dataDxfId="192"/>
    <tableColumn id="5" xr3:uid="{E4F51490-0E0C-4408-8031-FD134EEB9287}" name="Total Number of Tags found" dataDxfId="191"/>
    <tableColumn id="6" xr3:uid="{278BCD9B-5A1A-4E09-8A89-2214CA05CF14}" name="Total Tags Removed / Cleaned" dataDxfId="190"/>
    <tableColumn id="7" xr3:uid="{4AB77AD3-082A-4EC0-8683-189541E5BD13}" name="Total Tags Not Cleaned on this Unit" dataDxfId="189"/>
    <tableColumn id="8" xr3:uid="{6304BFE5-8FF6-4B26-9E65-6EC0A81508A3}" name="Car Number (s)  of Tags not cleaned (shadows)" dataDxfId="188"/>
    <tableColumn id="9" xr3:uid="{351068A2-2071-4CD0-B820-00FE3F9D9F3C}" name="Date of 2nd visit to clean remaining tags" dataDxfId="187"/>
    <tableColumn id="10" xr3:uid="{2E75D857-FC79-46D5-9919-8B138E8EF4DD}" name="Number of tags removed" dataDxfId="186"/>
    <tableColumn id="11" xr3:uid="{387043B5-83F7-47E5-AF25-F2B90B590B9E}" name="Date of 3rd visit to clean remaining tags" dataDxfId="185"/>
    <tableColumn id="12" xr3:uid="{5049FA2E-7BBF-4920-B6A0-0A490CB84209}" name="Number of tags removed2" dataDxfId="184"/>
    <tableColumn id="13" xr3:uid="{F2785189-0521-4742-9A1B-8CAB19598282}" name="Train Inspected and Fit for service    (Y/N)" dataDxfId="183"/>
    <tableColumn id="14" xr3:uid="{41EDCDF6-B089-48A5-A14E-A374F99C7B07}" name="Inspected by Supervisor/Manager (Name)" dataDxfId="182"/>
    <tableColumn id="15" xr3:uid="{BC422152-8DD1-4D68-96B7-AAE8B47C9763}" name="Date of Completing all shadows (Tags) on this Unit excluding acid etched shadows" dataDxfId="181"/>
    <tableColumn id="16" xr3:uid="{8CD5ECF9-955B-4743-85AF-B891C1037E4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AD0728-61B2-4458-96D4-B83A205A64D1}" name="TagsRA3" displayName="TagsRA3" ref="A1:P21" totalsRowShown="0" headerRowDxfId="179" tableBorderDxfId="178">
  <autoFilter ref="A1:P21" xr:uid="{9A30CA9B-DA8B-4A97-B359-BE83BEB9C023}"/>
  <tableColumns count="16">
    <tableColumn id="1" xr3:uid="{B5D1D9D0-B27C-48CB-AA35-3D2F87874245}" name="Unit No." dataDxfId="177"/>
    <tableColumn id="2" xr3:uid="{4E2FD034-40E4-4629-90F9-273A004C8BE0}" name="DATE" dataDxfId="176"/>
    <tableColumn id="3" xr3:uid="{80F41D7B-DF95-4F95-B059-0CE2A01D6248}" name="Status" dataDxfId="175"/>
    <tableColumn id="4" xr3:uid="{DE6104B7-B528-4679-B187-311D56ADC931}" name="Number of cars affected by graffiti/shadows on this unit" dataDxfId="174"/>
    <tableColumn id="5" xr3:uid="{CE8F7A98-72AC-4479-86CF-B88197600BD5}" name="Total Number of Tags found" dataDxfId="173"/>
    <tableColumn id="6" xr3:uid="{57731AE7-8617-4F2C-9B7C-375811ADF271}" name="Total Tags Removed / Cleaned" dataDxfId="172"/>
    <tableColumn id="7" xr3:uid="{BE8152EE-FF07-41F5-807A-5A045DAB21EB}" name="Total Tags Not Cleaned on this Unit" dataDxfId="171"/>
    <tableColumn id="8" xr3:uid="{D7C3C2CB-D9C6-4663-8FB8-F0C2FCA41FD1}" name="Car Number (s)  of Tags not cleaned (shadows)" dataDxfId="170"/>
    <tableColumn id="9" xr3:uid="{984222E8-6AD5-466C-9D21-E9E72EA77795}" name="Date of 2nd visit to clean remaining tags" dataDxfId="169"/>
    <tableColumn id="10" xr3:uid="{5E6E4AA0-E784-476E-A454-61E424B247EF}" name="Number of tags removed" dataDxfId="168"/>
    <tableColumn id="11" xr3:uid="{FCF29713-7559-4387-8EB8-3F3450869268}" name="Date of 3rd visit to clean remaining tags" dataDxfId="167"/>
    <tableColumn id="12" xr3:uid="{FFA1595E-1EEA-4A41-A438-73DA472F7361}" name="Number of tags removed2" dataDxfId="166"/>
    <tableColumn id="13" xr3:uid="{DDC71481-B723-4126-8F56-67ABE8ECFF4B}" name="Train Inspected and Fit for service    (Y/N)" dataDxfId="165"/>
    <tableColumn id="14" xr3:uid="{1DE838A0-36A6-4742-BAA7-B14C4F2D2F86}" name="Inspected by Supervisor/Manager (Name)" dataDxfId="164"/>
    <tableColumn id="15" xr3:uid="{768E3336-E152-4F42-AB0E-EB6831E4BCC0}" name="Date of Completing all shadows (Tags) on this Unit excluding acid etched shadows" dataDxfId="163"/>
    <tableColumn id="16" xr3:uid="{C572E23D-FE2F-4F02-B311-5705443ED2F4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C90D87-A2AD-43E9-9CC3-C2FF2223E98A}" name="TagsRA4" displayName="TagsRA4" ref="A1:P21" totalsRowShown="0" headerRowDxfId="161" tableBorderDxfId="160">
  <autoFilter ref="A1:P21" xr:uid="{9A30CA9B-DA8B-4A97-B359-BE83BEB9C023}"/>
  <tableColumns count="16">
    <tableColumn id="1" xr3:uid="{262379F9-E169-42D1-BA41-F592BDFD46D7}" name="Unit No." dataDxfId="159"/>
    <tableColumn id="2" xr3:uid="{82E1A085-833E-47CC-8DC5-565DB2EB3053}" name="DATE" dataDxfId="158"/>
    <tableColumn id="3" xr3:uid="{C59F1007-05C6-4895-A45A-61C53C1861EC}" name="Status" dataDxfId="157"/>
    <tableColumn id="4" xr3:uid="{C5D5C99F-00C8-462F-970F-8C7106F020F9}" name="Number of cars affected by graffiti/shadows on this unit" dataDxfId="156"/>
    <tableColumn id="5" xr3:uid="{B3249B7F-3178-4C5C-B2C4-A237F027A5D5}" name="Total Number of Tags found" dataDxfId="155"/>
    <tableColumn id="6" xr3:uid="{4B3B70E8-3DF4-4277-B2FC-F73595E4D7BE}" name="Total Tags Removed / Cleaned" dataDxfId="154"/>
    <tableColumn id="7" xr3:uid="{1A5298CF-209C-4AC0-8DF8-641FCE2B49C8}" name="Total Tags Not Cleaned on this Unit" dataDxfId="153"/>
    <tableColumn id="8" xr3:uid="{DBE1323F-4857-45BF-84E3-82CBF7E8185E}" name="Car Number (s)  of Tags not cleaned (shadows)" dataDxfId="152"/>
    <tableColumn id="9" xr3:uid="{57DA4F55-2622-416C-BCC7-1BEDC19EA659}" name="Date of 2nd visit to clean remaining tags" dataDxfId="151"/>
    <tableColumn id="10" xr3:uid="{17BF2C7E-0ADC-455C-BB7B-E3E3B8965B51}" name="Number of tags removed" dataDxfId="150"/>
    <tableColumn id="11" xr3:uid="{50FD1870-2215-466D-AF37-F7BE83FDD2BC}" name="Date of 3rd visit to clean remaining tags" dataDxfId="149"/>
    <tableColumn id="12" xr3:uid="{3FB98BE1-645A-48A8-BE20-2ECFC09959EE}" name="Number of tags removed2" dataDxfId="148"/>
    <tableColumn id="13" xr3:uid="{51EEEFD2-EAEA-4612-B48D-895EE0AFCB2C}" name="Train Inspected and Fit for service    (Y/N)" dataDxfId="147"/>
    <tableColumn id="14" xr3:uid="{4E52483C-08C8-4428-B4AB-13DA596B9E0A}" name="Inspected by Supervisor/Manager (Name)" dataDxfId="146"/>
    <tableColumn id="15" xr3:uid="{18911D79-0B3A-4CFB-9666-60FB3565A157}" name="Date of Completing all shadows (Tags) on this Unit excluding acid etched shadows" dataDxfId="145"/>
    <tableColumn id="16" xr3:uid="{E8AE6E12-D3A0-4F93-8A52-7ED6DB78C011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2173AB3-7262-4907-AAC2-951ED793354C}" name="TagsRA5" displayName="TagsRA5" ref="A1:P21" totalsRowShown="0" headerRowDxfId="143" tableBorderDxfId="142">
  <autoFilter ref="A1:P21" xr:uid="{9A30CA9B-DA8B-4A97-B359-BE83BEB9C023}"/>
  <tableColumns count="16">
    <tableColumn id="1" xr3:uid="{A0AE3C67-964D-4E6D-B93F-CDD304DA1BB5}" name="Unit No." dataDxfId="141"/>
    <tableColumn id="2" xr3:uid="{AC0BEA28-E12F-4E42-A2F0-66CF2B6A2D6F}" name="DATE" dataDxfId="140"/>
    <tableColumn id="3" xr3:uid="{1EDA6932-1470-4654-AFC1-D6C0D0EC5DCB}" name="Status" dataDxfId="139"/>
    <tableColumn id="4" xr3:uid="{ACD9E5FC-6EB7-48CC-8931-C5672A07D46D}" name="Number of cars affected by graffiti/shadows on this unit" dataDxfId="138"/>
    <tableColumn id="5" xr3:uid="{BC3688CC-D072-43B8-97CC-969E6F781D16}" name="Total Number of Tags found" dataDxfId="137"/>
    <tableColumn id="6" xr3:uid="{46219292-123D-4FA4-9B54-5EACE1C53B37}" name="Total Tags Removed / Cleaned" dataDxfId="136"/>
    <tableColumn id="7" xr3:uid="{AFE90A51-D011-43E9-98E7-B1A4A586BF32}" name="Total Tags Not Cleaned on this Unit" dataDxfId="135"/>
    <tableColumn id="8" xr3:uid="{3BE3D63A-C1D9-46FD-884C-E4C9CB55985D}" name="Car Number (s)  of Tags not cleaned (shadows)" dataDxfId="134"/>
    <tableColumn id="9" xr3:uid="{8FF3757D-ED67-4AAA-97B4-0A78D6EBB8DE}" name="Date of 2nd visit to clean remaining tags" dataDxfId="133"/>
    <tableColumn id="10" xr3:uid="{A18D93C4-05B6-4F51-9D0A-C15E5E5454D9}" name="Number of tags removed" dataDxfId="132"/>
    <tableColumn id="11" xr3:uid="{9ACA9F18-BE51-4FBD-BF79-816BFE642ABB}" name="Date of 3rd visit to clean remaining tags" dataDxfId="131"/>
    <tableColumn id="12" xr3:uid="{B1875C31-F8E8-4680-8524-85D702B25FA5}" name="Number of tags removed2" dataDxfId="130"/>
    <tableColumn id="13" xr3:uid="{3BF3B828-0801-4367-BAF5-5D66C20C01CB}" name="Train Inspected and Fit for service    (Y/N)" dataDxfId="129"/>
    <tableColumn id="14" xr3:uid="{A3F648BF-D649-49D2-98B5-70FCDE159587}" name="Inspected by Supervisor/Manager (Name)" dataDxfId="128"/>
    <tableColumn id="15" xr3:uid="{5D56A10E-EDF9-4F8F-89B8-4315DF1D4BDD}" name="Date of Completing all shadows (Tags) on this Unit excluding acid etched shadows" dataDxfId="127"/>
    <tableColumn id="16" xr3:uid="{FBFB461F-155A-49DE-9854-C1C298ADBBB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966723A-7084-4AD3-B753-75D46F01D9BB}" name="TagsRA6" displayName="TagsRA6" ref="A1:P21" totalsRowShown="0" headerRowDxfId="125" tableBorderDxfId="124">
  <autoFilter ref="A1:P21" xr:uid="{9A30CA9B-DA8B-4A97-B359-BE83BEB9C023}"/>
  <tableColumns count="16">
    <tableColumn id="1" xr3:uid="{5CB8B053-DCD6-4A01-8A28-DF6B9AD6BC06}" name="Unit No." dataDxfId="123"/>
    <tableColumn id="2" xr3:uid="{555D2E64-1E85-455E-BBCC-0D97415EB4B9}" name="DATE" dataDxfId="122"/>
    <tableColumn id="3" xr3:uid="{0D819AE4-FABF-4EED-B952-D2962CE122AD}" name="Status" dataDxfId="121"/>
    <tableColumn id="4" xr3:uid="{FC229F6B-AE02-4DB3-A7DE-866645814299}" name="Number of cars affected by graffiti/shadows on this unit" dataDxfId="120"/>
    <tableColumn id="5" xr3:uid="{59C4CAAF-A67F-4B4A-806C-A386E86F13DA}" name="Total Number of Tags found" dataDxfId="119"/>
    <tableColumn id="6" xr3:uid="{4E58862C-083E-45D5-A7D8-59023EDC8E52}" name="Total Tags Removed / Cleaned" dataDxfId="118"/>
    <tableColumn id="7" xr3:uid="{AFA05DE0-9F49-4479-862D-F32DBA7FB362}" name="Total Tags Not Cleaned on this Unit" dataDxfId="117"/>
    <tableColumn id="8" xr3:uid="{6FD382FA-91CE-4023-AF74-122DB57B3035}" name="Car Number (s)  of Tags not cleaned (shadows)" dataDxfId="116"/>
    <tableColumn id="9" xr3:uid="{86EF1C13-47DD-4AC4-9B39-E75FB531CEE7}" name="Date of 2nd visit to clean remaining tags" dataDxfId="115"/>
    <tableColumn id="10" xr3:uid="{4FB92816-0F56-478E-8ADA-ED29E4CECF36}" name="Number of tags removed" dataDxfId="114"/>
    <tableColumn id="11" xr3:uid="{D511FCEE-D00F-4E23-B616-F580E4225B97}" name="Date of 3rd visit to clean remaining tags" dataDxfId="113"/>
    <tableColumn id="12" xr3:uid="{DDB9E838-7F21-434A-BB43-E02ACF0B1066}" name="Number of tags removed2" dataDxfId="112"/>
    <tableColumn id="13" xr3:uid="{10D48AB8-7B57-48ED-B3D2-886FFAE2A3A5}" name="Train Inspected and Fit for service    (Y/N)" dataDxfId="111"/>
    <tableColumn id="14" xr3:uid="{4EBD9410-2738-4405-BC2F-4C300E394CC1}" name="Inspected by Supervisor/Manager (Name)" dataDxfId="110"/>
    <tableColumn id="15" xr3:uid="{7B98ACDF-78D4-4A9B-BE22-EC521E1933C2}" name="Date of Completing all shadows (Tags) on this Unit excluding acid etched shadows" dataDxfId="109"/>
    <tableColumn id="16" xr3:uid="{C4B9916D-C26E-4918-B3B6-2194A9A3B952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1C40ED-3CBE-4F87-AB2F-EE9638F8A262}" name="TagsRA7" displayName="TagsRA7" ref="A1:P21" totalsRowShown="0" headerRowDxfId="107" tableBorderDxfId="106">
  <autoFilter ref="A1:P21" xr:uid="{9A30CA9B-DA8B-4A97-B359-BE83BEB9C023}"/>
  <tableColumns count="16">
    <tableColumn id="1" xr3:uid="{6A63942B-70EA-49B5-BD60-843FECF9316F}" name="Unit No." dataDxfId="105"/>
    <tableColumn id="2" xr3:uid="{0F39257F-CB3C-4DEE-82B3-E2B1812C30B4}" name="DATE" dataDxfId="104"/>
    <tableColumn id="3" xr3:uid="{43AEC4D1-9F47-4514-B259-2B27031B3E79}" name="Status" dataDxfId="103"/>
    <tableColumn id="4" xr3:uid="{F32D6D87-0D88-4D9F-AFDA-795A646135A8}" name="Number of cars affected by graffiti/shadows on this unit" dataDxfId="102"/>
    <tableColumn id="5" xr3:uid="{C42197E3-F912-485F-A03B-51B1F89A53E7}" name="Total Number of Tags found" dataDxfId="101"/>
    <tableColumn id="6" xr3:uid="{482D141F-E871-4D18-A86E-674FCC2D61D3}" name="Total Tags Removed / Cleaned" dataDxfId="100"/>
    <tableColumn id="7" xr3:uid="{CF0CE0D4-0601-41F3-BA00-B9696EBE4F53}" name="Total Tags Not Cleaned on this Unit" dataDxfId="99"/>
    <tableColumn id="8" xr3:uid="{87A96217-44E1-4822-939A-35E422DA5517}" name="Car Number (s)  of Tags not cleaned (shadows)" dataDxfId="98"/>
    <tableColumn id="9" xr3:uid="{C839F3E5-5B8A-4331-A098-4C4D9B98A702}" name="Date of 2nd visit to clean remaining tags" dataDxfId="97"/>
    <tableColumn id="10" xr3:uid="{F861C255-6507-4BA2-95B4-433E5058E711}" name="Number of tags removed" dataDxfId="96"/>
    <tableColumn id="11" xr3:uid="{DAE5E5C7-18F9-4A4C-A217-C2511B8735F5}" name="Date of 3rd visit to clean remaining tags" dataDxfId="95"/>
    <tableColumn id="12" xr3:uid="{6FB7C584-8818-4C48-BC45-F3D22C0EDF1E}" name="Number of tags removed2" dataDxfId="94"/>
    <tableColumn id="13" xr3:uid="{5C841EA4-4A4E-46DF-AF2D-66137231DF31}" name="Train Inspected and Fit for service    (Y/N)" dataDxfId="93"/>
    <tableColumn id="14" xr3:uid="{457FABAD-61E0-45C8-9A34-5807DD7055E3}" name="Inspected by Supervisor/Manager (Name)" dataDxfId="92"/>
    <tableColumn id="15" xr3:uid="{D3380317-DDD3-4A7A-BFF7-11A502405E4F}" name="Date of Completing all shadows (Tags) on this Unit excluding acid etched shadows" dataDxfId="91"/>
    <tableColumn id="16" xr3:uid="{23A84F23-B302-49E9-B93D-65B89955381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FCA150A-AD3B-4E5F-A944-DD8101FF16FE}" name="TagsRA8" displayName="TagsRA8" ref="A1:P21" totalsRowShown="0" headerRowDxfId="89" tableBorderDxfId="88">
  <autoFilter ref="A1:P21" xr:uid="{9A30CA9B-DA8B-4A97-B359-BE83BEB9C023}"/>
  <tableColumns count="16">
    <tableColumn id="1" xr3:uid="{1694C24A-76C7-4F61-81AD-0BA321F3CDCD}" name="Unit No." dataDxfId="87"/>
    <tableColumn id="2" xr3:uid="{943491A7-B041-41E6-88EA-C5B9F34C3CBF}" name="DATE" dataDxfId="86"/>
    <tableColumn id="3" xr3:uid="{5F13AEE8-CC17-4DB4-B261-DAB23C315ED4}" name="Status" dataDxfId="85"/>
    <tableColumn id="4" xr3:uid="{FC3AA959-9B2F-4670-8EAC-B74A9E9CCBD4}" name="Number of cars affected by graffiti/shadows on this unit" dataDxfId="84"/>
    <tableColumn id="5" xr3:uid="{453461C3-6558-4198-9FB2-20CD4AEE1B44}" name="Total Number of Tags found" dataDxfId="83"/>
    <tableColumn id="6" xr3:uid="{6C2082D9-41DD-48EC-9A61-E1F875F4C074}" name="Total Tags Removed / Cleaned" dataDxfId="82"/>
    <tableColumn id="7" xr3:uid="{1C149C1E-A125-4BE0-A4E0-88281EAAE653}" name="Total Tags Not Cleaned on this Unit" dataDxfId="81"/>
    <tableColumn id="8" xr3:uid="{3DFCBD50-92F1-4F95-901C-F871FCE4D3C4}" name="Car Number (s)  of Tags not cleaned (shadows)" dataDxfId="80"/>
    <tableColumn id="9" xr3:uid="{1EC98357-37A1-44F0-AC54-EC3D1B3DF7BC}" name="Date of 2nd visit to clean remaining tags" dataDxfId="79"/>
    <tableColumn id="10" xr3:uid="{B93680FA-FF91-49A4-A6CF-AF53DE9879AC}" name="Number of tags removed" dataDxfId="78"/>
    <tableColumn id="11" xr3:uid="{09E80132-5643-41EE-A4EE-FD9D6133C66A}" name="Date of 3rd visit to clean remaining tags" dataDxfId="77"/>
    <tableColumn id="12" xr3:uid="{D8F59937-D167-4CC9-AC7E-92F5B7CB99FD}" name="Number of tags removed2" dataDxfId="76"/>
    <tableColumn id="13" xr3:uid="{76938E5D-E9D7-4A40-9270-D9826C3C9E65}" name="Train Inspected and Fit for service    (Y/N)" dataDxfId="75"/>
    <tableColumn id="14" xr3:uid="{62AD6A81-6C78-4F6C-BF64-560A223EC502}" name="Inspected by Supervisor/Manager (Name)" dataDxfId="74"/>
    <tableColumn id="15" xr3:uid="{748FA112-1257-431A-858D-445B58E4B9D3}" name="Date of Completing all shadows (Tags) on this Unit excluding acid etched shadows" dataDxfId="73"/>
    <tableColumn id="16" xr3:uid="{655A65B2-0F81-4837-A3ED-73D4162CB82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20F7B22-2032-44AC-88FE-CF21FB6359E2}" name="TagsRA9" displayName="TagsRA9" ref="A1:P21" totalsRowShown="0" headerRowDxfId="71" tableBorderDxfId="70">
  <autoFilter ref="A1:P21" xr:uid="{9A30CA9B-DA8B-4A97-B359-BE83BEB9C023}"/>
  <tableColumns count="16">
    <tableColumn id="1" xr3:uid="{7A7AC3B5-8514-40E5-A60A-D7D7A516EA12}" name="Unit No." dataDxfId="69"/>
    <tableColumn id="2" xr3:uid="{2D143179-9544-4691-BC11-C9E57C4DDD17}" name="DATE" dataDxfId="68"/>
    <tableColumn id="3" xr3:uid="{BCA49F9E-E284-4B82-AF64-B192E025DA87}" name="Status" dataDxfId="67"/>
    <tableColumn id="4" xr3:uid="{F7F513DA-2474-46A3-9D22-80751DC8D3AE}" name="Number of cars affected by graffiti/shadows on this unit" dataDxfId="66"/>
    <tableColumn id="5" xr3:uid="{D5C53A2D-D7BC-45EC-BC4D-515144378A3B}" name="Total Number of Tags found" dataDxfId="65"/>
    <tableColumn id="6" xr3:uid="{A61C9BA8-CA11-4CAA-B46A-3BBF0154C917}" name="Total Tags Removed / Cleaned" dataDxfId="64"/>
    <tableColumn id="7" xr3:uid="{E206CA2F-02D1-43D3-8C3B-C0966AB7B2BF}" name="Total Tags Not Cleaned on this Unit" dataDxfId="63"/>
    <tableColumn id="8" xr3:uid="{318D946A-F195-4F21-80B4-A7BC6444A01B}" name="Car Number (s)  of Tags not cleaned (shadows)" dataDxfId="62"/>
    <tableColumn id="9" xr3:uid="{8DF72752-3DAE-4F32-BB89-A1D2E9698426}" name="Date of 2nd visit to clean remaining tags" dataDxfId="61"/>
    <tableColumn id="10" xr3:uid="{1C3A8F6E-86DE-44B0-8E18-69FA05F60F13}" name="Number of tags removed" dataDxfId="60"/>
    <tableColumn id="11" xr3:uid="{7303B3D6-819D-4F17-BCA8-42E13D6F8111}" name="Date of 3rd visit to clean remaining tags" dataDxfId="59"/>
    <tableColumn id="12" xr3:uid="{B204D2A4-40F7-4DC3-9249-DAE8C4AFB703}" name="Number of tags removed2" dataDxfId="58"/>
    <tableColumn id="13" xr3:uid="{05B859C2-8683-4DC5-9B93-525787471CFC}" name="Train Inspected and Fit for service    (Y/N)" dataDxfId="57"/>
    <tableColumn id="14" xr3:uid="{B9E6B73E-19CB-42F6-89EA-A843EF344585}" name="Inspected by Supervisor/Manager (Name)" dataDxfId="56"/>
    <tableColumn id="15" xr3:uid="{E6256DC7-7403-44A2-B104-6FE6F358E4C1}" name="Date of Completing all shadows (Tags) on this Unit excluding acid etched shadows" dataDxfId="55"/>
    <tableColumn id="16" xr3:uid="{A17EF95E-43B1-4E7E-8F15-66D9C7A29368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483338D-BB2B-44B3-97C6-AD47BBF401C0}" name="TagsRA10" displayName="TagsRA10" ref="A1:P21" totalsRowShown="0" headerRowDxfId="53" tableBorderDxfId="52">
  <autoFilter ref="A1:P21" xr:uid="{9A30CA9B-DA8B-4A97-B359-BE83BEB9C023}"/>
  <tableColumns count="16">
    <tableColumn id="1" xr3:uid="{41AF6F07-494C-498F-B7A9-78C9894902EF}" name="Unit No." dataDxfId="51"/>
    <tableColumn id="2" xr3:uid="{ADE769A3-8AE4-49F0-8421-33EF001D0771}" name="DATE" dataDxfId="50"/>
    <tableColumn id="3" xr3:uid="{D74DC844-FAC0-47DA-9A14-AA6E09565D6F}" name="Status" dataDxfId="49"/>
    <tableColumn id="4" xr3:uid="{BC9D3A3D-4470-4C3E-8FC0-FD397E3594C5}" name="Number of cars affected by graffiti/shadows on this unit" dataDxfId="48"/>
    <tableColumn id="5" xr3:uid="{44A2FAA9-49F5-4182-A300-336B1595FFD8}" name="Total Number of Tags found" dataDxfId="47"/>
    <tableColumn id="6" xr3:uid="{82FEC0B7-485F-461C-B6AD-BE3F18B7E91D}" name="Total Tags Removed / Cleaned" dataDxfId="46"/>
    <tableColumn id="7" xr3:uid="{0CB8BCEB-6DD7-43C8-AE70-4444E335D4D4}" name="Total Tags Not Cleaned on this Unit" dataDxfId="45"/>
    <tableColumn id="8" xr3:uid="{81021F8A-EE92-4494-AF4B-1B7D24D796F3}" name="Car Number (s)  of Tags not cleaned (shadows)" dataDxfId="44"/>
    <tableColumn id="9" xr3:uid="{18EEA3F6-7A2A-4D7D-B3B5-B22594CE2E0B}" name="Date of 2nd visit to clean remaining tags" dataDxfId="43"/>
    <tableColumn id="10" xr3:uid="{8556A0E9-3409-459B-A788-7F7C1E5D6CE6}" name="Number of tags removed" dataDxfId="42"/>
    <tableColumn id="11" xr3:uid="{9092F604-6DB8-4D46-AA17-0FAD7011D6EB}" name="Date of 3rd visit to clean remaining tags" dataDxfId="41"/>
    <tableColumn id="12" xr3:uid="{35264968-ABEE-4A12-AE75-D551BC055958}" name="Number of tags removed2" dataDxfId="40"/>
    <tableColumn id="13" xr3:uid="{17814248-F4A8-490B-B012-0247BB4EC60D}" name="Train Inspected and Fit for service    (Y/N)" dataDxfId="39"/>
    <tableColumn id="14" xr3:uid="{5FE09387-85E8-4E29-9341-0FF271D90EC9}" name="Inspected by Supervisor/Manager (Name)" dataDxfId="38"/>
    <tableColumn id="15" xr3:uid="{A4F0ED02-15FC-4DCC-9662-8F5918162A7E}" name="Date of Completing all shadows (Tags) on this Unit excluding acid etched shadows" dataDxfId="37"/>
    <tableColumn id="16" xr3:uid="{DC2914A7-3CE8-41F2-8B82-11957E8278A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E2BAD08-9064-46ED-BAA9-0EAFC3A7A7BC}" name="TagsRA11" displayName="TagsRA11" ref="A1:P21" totalsRowShown="0" headerRowDxfId="35" tableBorderDxfId="34">
  <autoFilter ref="A1:P21" xr:uid="{9A30CA9B-DA8B-4A97-B359-BE83BEB9C023}"/>
  <tableColumns count="16">
    <tableColumn id="1" xr3:uid="{29C83785-16C9-4C0D-9A6A-39CBC311D8BA}" name="Unit No." dataDxfId="33"/>
    <tableColumn id="2" xr3:uid="{3F3DACA0-869E-4AC3-B915-9B597F76DD2E}" name="DATE" dataDxfId="32"/>
    <tableColumn id="3" xr3:uid="{49655A33-63A8-4E40-A1A5-E9C85D31724D}" name="Status" dataDxfId="31"/>
    <tableColumn id="4" xr3:uid="{29611C8B-C602-4795-992E-46D85B2DAC89}" name="Number of cars affected by graffiti/shadows on this unit" dataDxfId="30"/>
    <tableColumn id="5" xr3:uid="{8E1536F6-4846-4150-909B-7600D6F1E55E}" name="Total Number of Tags found" dataDxfId="29"/>
    <tableColumn id="6" xr3:uid="{CE5DC4B6-5C8E-45E4-AB32-12C41677DA25}" name="Total Tags Removed / Cleaned" dataDxfId="28"/>
    <tableColumn id="7" xr3:uid="{60DDFDE4-489E-496A-A626-1D179A803A02}" name="Total Tags Not Cleaned on this Unit" dataDxfId="27"/>
    <tableColumn id="8" xr3:uid="{94CFAD3D-1667-4B97-B2B8-12E963DD2A96}" name="Car Number (s)  of Tags not cleaned (shadows)" dataDxfId="26"/>
    <tableColumn id="9" xr3:uid="{08F70246-B8F9-43C5-8F38-7DE024A04864}" name="Date of 2nd visit to clean remaining tags" dataDxfId="25"/>
    <tableColumn id="10" xr3:uid="{933C1351-98CB-4225-B000-077EEC8B6907}" name="Number of tags removed" dataDxfId="24"/>
    <tableColumn id="11" xr3:uid="{88EB4E07-2033-48F8-A696-80145212F1BA}" name="Date of 3rd visit to clean remaining tags" dataDxfId="23"/>
    <tableColumn id="12" xr3:uid="{2E25FD1D-A890-4AF4-A58C-69A3F836B69F}" name="Number of tags removed2" dataDxfId="22"/>
    <tableColumn id="13" xr3:uid="{CA5D87F5-1B6B-4B59-ABB6-746B156537B2}" name="Train Inspected and Fit for service    (Y/N)" dataDxfId="21"/>
    <tableColumn id="14" xr3:uid="{0F12C878-D1ED-4FF4-8180-B41CC6C7FD48}" name="Inspected by Supervisor/Manager (Name)" dataDxfId="20"/>
    <tableColumn id="15" xr3:uid="{A26165D1-BC98-44F2-A5D2-2162402ED499}" name="Date of Completing all shadows (Tags) on this Unit excluding acid etched shadows" dataDxfId="19"/>
    <tableColumn id="16" xr3:uid="{8B5EE701-B8F8-438C-A318-C7BA2287DFD8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1AF1D75-7CD3-4332-B906-43CA2F0DF551}" name="TagsRA12" displayName="TagsRA12" ref="A1:P21" totalsRowShown="0" headerRowDxfId="17" tableBorderDxfId="16">
  <autoFilter ref="A1:P21" xr:uid="{9A30CA9B-DA8B-4A97-B359-BE83BEB9C023}"/>
  <tableColumns count="16">
    <tableColumn id="1" xr3:uid="{4952D93C-0718-437F-B5A5-93A3A5716769}" name="Unit No." dataDxfId="15"/>
    <tableColumn id="2" xr3:uid="{E1277FE1-E954-461C-8DF1-902A52A10B2D}" name="DATE" dataDxfId="14"/>
    <tableColumn id="3" xr3:uid="{61FBBB2B-3C23-42EB-BF5D-E7B3DA693646}" name="Status" dataDxfId="13"/>
    <tableColumn id="4" xr3:uid="{BD865A16-4A3C-41DC-8FC1-4B23E438FA88}" name="Number of cars affected by graffiti/shadows on this unit" dataDxfId="12"/>
    <tableColumn id="5" xr3:uid="{428D2D17-3733-4DC3-A8F7-8482681BE269}" name="Total Number of Tags found" dataDxfId="11"/>
    <tableColumn id="6" xr3:uid="{63274653-3B1C-4BD4-B8A9-FEB4811DAB4E}" name="Total Tags Removed / Cleaned" dataDxfId="10"/>
    <tableColumn id="7" xr3:uid="{1355B996-3BB4-4A2D-A939-F07E84A5ACDA}" name="Total Tags Not Cleaned on this Unit" dataDxfId="9"/>
    <tableColumn id="8" xr3:uid="{ADB89513-2D28-47A2-9BC4-7EE3C2B036CA}" name="Car Number (s)  of Tags not cleaned (shadows)" dataDxfId="8"/>
    <tableColumn id="9" xr3:uid="{1395396F-4C32-4FB0-A0C5-C4164C60F491}" name="Date of 2nd visit to clean remaining tags" dataDxfId="7"/>
    <tableColumn id="10" xr3:uid="{748A7BF9-780B-49C3-B95D-8557ACB2CCA9}" name="Number of tags removed" dataDxfId="6"/>
    <tableColumn id="11" xr3:uid="{0A84BBB1-5859-40D7-B450-CEEEC5CE913C}" name="Date of 3rd visit to clean remaining tags" dataDxfId="5"/>
    <tableColumn id="12" xr3:uid="{DC657646-81CC-4D6E-8674-8AED786D853B}" name="Number of tags removed2" dataDxfId="4"/>
    <tableColumn id="13" xr3:uid="{FBB5729E-E55E-4E00-8589-D5868EB2FDF9}" name="Train Inspected and Fit for service    (Y/N)" dataDxfId="3"/>
    <tableColumn id="14" xr3:uid="{120BF230-2750-4D61-A4DB-C2C9A16D88E0}" name="Inspected by Supervisor/Manager (Name)" dataDxfId="2"/>
    <tableColumn id="15" xr3:uid="{453ABEB0-32A2-4735-95A9-E8A08FE55CC8}" name="Date of Completing all shadows (Tags) on this Unit excluding acid etched shadows" dataDxfId="1"/>
    <tableColumn id="16" xr3:uid="{784A390F-0778-414E-907C-CA835F8092A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24"/>
  <sheetViews>
    <sheetView showGridLines="0" tabSelected="1" workbookViewId="0">
      <selection activeCell="H14" sqref="H14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algorithmName="SHA-512" hashValue="4DDxA8sEwbJSsg6wFthf1Y5/AJ9h2wFcO/JdTncLt0Au3wHpJrEXCA/5Crnxrz5CvPsUm1eCsEymbPHdg59b0Q==" saltValue="oYUM8yS3GI97Z1F2OXNz9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 D2:D21 E2:E21 F2:F21 G2:G21 H2:H21 J2:J21 L2:L21 P2:P21" xr:uid="{F25BB4C9-FB6E-4E5A-91B1-2474438177CC}">
      <formula1>0</formula1>
    </dataValidation>
    <dataValidation type="date" operator="greaterThanOrEqual" allowBlank="1" showInputMessage="1" showErrorMessage="1" sqref="B2:B21 I2:I21 K2:K21 O2:O21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M2:M21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BECB-192B-4CB9-80E0-5C1874D9A5E8}">
  <dimension ref="A1:U24"/>
  <sheetViews>
    <sheetView showGridLines="0" workbookViewId="0">
      <selection activeCell="D28" sqref="D28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 I2:I21 K2:K21 O2:O21" xr:uid="{1CBA6F99-19FA-4345-B771-B69F2AC5A372}">
      <formula1>45658</formula1>
    </dataValidation>
    <dataValidation type="whole" operator="greaterThanOrEqual" allowBlank="1" showInputMessage="1" showErrorMessage="1" sqref="A2:A21 D2:H21 J2:J21 L2:L21 P2:P21" xr:uid="{96B36811-B31F-49FA-93B7-F3A322F578FC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457BBD-F6C7-425C-9A53-6063C1D125F2}">
          <x14:formula1>
            <xm:f>Inspected!$D$1</xm:f>
          </x14:formula1>
          <xm:sqref>C2:C21</xm:sqref>
        </x14:dataValidation>
        <x14:dataValidation type="list" allowBlank="1" showInputMessage="1" showErrorMessage="1" xr:uid="{0F3169FE-1A2E-48A8-802B-4DC757E45F6C}">
          <x14:formula1>
            <xm:f>Inspected!$A$1:$A$2</xm:f>
          </x14:formula1>
          <xm:sqref>M2:M21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6DB1-9BB4-4841-914D-5A5ECB90871B}">
  <dimension ref="A1:U24"/>
  <sheetViews>
    <sheetView showGridLines="0" workbookViewId="0">
      <selection activeCell="F8" sqref="F8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 D2:H21 J2:J21 L2:L21 P2:P21" xr:uid="{D2BE06DA-C1B7-4566-B627-D67672E06A69}">
      <formula1>0</formula1>
    </dataValidation>
    <dataValidation type="date" operator="greaterThanOrEqual" allowBlank="1" showInputMessage="1" showErrorMessage="1" sqref="B2:B21 I2:I21 K2:K21 O2:O21" xr:uid="{D36AFF85-221F-4D6E-912D-4A2D833C0B20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EA3893-0D16-45B2-974A-BD34389D1585}">
          <x14:formula1>
            <xm:f>Inspected!$A$1:$A$2</xm:f>
          </x14:formula1>
          <xm:sqref>M2:M21</xm:sqref>
        </x14:dataValidation>
        <x14:dataValidation type="list" allowBlank="1" showInputMessage="1" showErrorMessage="1" xr:uid="{3C54CFBD-AD69-468A-853F-D438177E7ACC}">
          <x14:formula1>
            <xm:f>Inspected!$D$1</xm:f>
          </x14:formula1>
          <xm:sqref>C2:C21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D1E6-5C2E-4101-A3A8-65DB53030B1E}">
  <dimension ref="A1:U24"/>
  <sheetViews>
    <sheetView showGridLines="0" workbookViewId="0">
      <selection activeCell="H13" sqref="H13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 I2:I21 K2:K21 O2:O21" xr:uid="{36FE4729-976B-4324-B02A-4E55C06CB6FB}">
      <formula1>45658</formula1>
    </dataValidation>
    <dataValidation type="whole" operator="greaterThanOrEqual" allowBlank="1" showInputMessage="1" showErrorMessage="1" sqref="A2:A21 D2:H21 J2:J21 L2:L21 P2:P21" xr:uid="{4F15E89A-EE3F-4F0C-8568-7D30F2C0433A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F01390-C3EB-4081-9010-7AA0B1251992}">
          <x14:formula1>
            <xm:f>Inspected!$D$1</xm:f>
          </x14:formula1>
          <xm:sqref>C2:C21</xm:sqref>
        </x14:dataValidation>
        <x14:dataValidation type="list" allowBlank="1" showInputMessage="1" showErrorMessage="1" xr:uid="{B36D85E2-5E28-4C72-9670-3D022AEFBE28}">
          <x14:formula1>
            <xm:f>Inspected!$A$1:$A$2</xm:f>
          </x14:formula1>
          <xm:sqref>M2:M21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B266-30CA-427E-A50A-C0AD6E34F226}">
  <dimension ref="A1:U24"/>
  <sheetViews>
    <sheetView showGridLines="0" workbookViewId="0">
      <selection activeCell="G13" sqref="G13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 D2:H21 J2:J21 L2:L21 P2:P21" xr:uid="{735388C3-3A50-4F33-B1B8-88DD6AB1AB11}">
      <formula1>0</formula1>
    </dataValidation>
    <dataValidation type="date" operator="greaterThanOrEqual" allowBlank="1" showInputMessage="1" showErrorMessage="1" sqref="B2:B21 I2:I21 K2:K21 O2:O21" xr:uid="{B96FA8F5-F4F5-4C9D-A7D1-A68C8EF3AED3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787BE3-B298-4CEC-B674-A41F109DFDE0}">
          <x14:formula1>
            <xm:f>Inspected!$A$1:$A$2</xm:f>
          </x14:formula1>
          <xm:sqref>M2:M21</xm:sqref>
        </x14:dataValidation>
        <x14:dataValidation type="list" allowBlank="1" showInputMessage="1" showErrorMessage="1" xr:uid="{96EC526E-2C08-4417-910C-E3B733F29E44}">
          <x14:formula1>
            <xm:f>Inspected!$D$1</xm:f>
          </x14:formula1>
          <xm:sqref>C2:C21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6300-BFF8-4763-AD47-5E2E15A8A7C2}">
  <dimension ref="A1:U24"/>
  <sheetViews>
    <sheetView showGridLines="0" workbookViewId="0">
      <selection activeCell="I10" sqref="I10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 I2:I21 K2:K21 O2:O21" xr:uid="{9E98FAA8-D39F-43A4-8D48-C5B7B78317BF}">
      <formula1>45658</formula1>
    </dataValidation>
    <dataValidation type="whole" operator="greaterThanOrEqual" allowBlank="1" showInputMessage="1" showErrorMessage="1" sqref="A2:A21 D2:H21 J2:J21 L2:L21 P2:P21" xr:uid="{08754C04-C0C7-4968-B357-878427E518EE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381063-592D-4481-A0AD-6A9C271660F2}">
          <x14:formula1>
            <xm:f>Inspected!$D$1</xm:f>
          </x14:formula1>
          <xm:sqref>C2:C21</xm:sqref>
        </x14:dataValidation>
        <x14:dataValidation type="list" allowBlank="1" showInputMessage="1" showErrorMessage="1" xr:uid="{5F6EB1A5-B7B8-42BD-A7CC-52F75AC3D2B9}">
          <x14:formula1>
            <xm:f>Inspected!$A$1:$A$2</xm:f>
          </x14:formula1>
          <xm:sqref>M2:M21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C46F-324B-4667-BB97-A7EAD1CCE122}">
  <dimension ref="A1:U24"/>
  <sheetViews>
    <sheetView showGridLines="0" workbookViewId="0">
      <selection activeCell="J9" sqref="J9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 D2:H21 J2:J21 L2:L21 P2:P21" xr:uid="{BFEA846A-F21C-4DA7-9C8B-55DA63C0B0EE}">
      <formula1>0</formula1>
    </dataValidation>
    <dataValidation type="date" operator="greaterThanOrEqual" allowBlank="1" showInputMessage="1" showErrorMessage="1" sqref="B2:B21 I2:I21 K2:K21 O2:O21" xr:uid="{A3A1D9A2-6B8D-41C4-B703-C4FC196002D9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1A7DB8-FFB3-4EC8-A70E-4E6502FB24C4}">
          <x14:formula1>
            <xm:f>Inspected!$A$1:$A$2</xm:f>
          </x14:formula1>
          <xm:sqref>M2:M21</xm:sqref>
        </x14:dataValidation>
        <x14:dataValidation type="list" allowBlank="1" showInputMessage="1" showErrorMessage="1" xr:uid="{02470F50-DDDC-4BCC-B4FB-64F71E6B4953}">
          <x14:formula1>
            <xm:f>Inspected!$D$1</xm:f>
          </x14:formula1>
          <xm:sqref>C2:C21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6C98-FCE8-4B2D-810D-6CF9F128FF5F}">
  <dimension ref="A1:U24"/>
  <sheetViews>
    <sheetView showGridLines="0" workbookViewId="0">
      <selection activeCell="J5" sqref="J5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 I2:I21 K2:K21 O2:O21" xr:uid="{769E1A1A-EC3D-4E25-98D7-EA270B4E918E}">
      <formula1>45658</formula1>
    </dataValidation>
    <dataValidation type="whole" operator="greaterThanOrEqual" allowBlank="1" showInputMessage="1" showErrorMessage="1" sqref="A2:A21 D2:H21 J2:J21 L2:L21 P2:P21" xr:uid="{2BFD3370-57A6-4BA1-8BEB-E136DF66BA6F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408ECA-388F-4D12-9E99-12D7381B90C8}">
          <x14:formula1>
            <xm:f>Inspected!$D$1</xm:f>
          </x14:formula1>
          <xm:sqref>C2:C21</xm:sqref>
        </x14:dataValidation>
        <x14:dataValidation type="list" allowBlank="1" showInputMessage="1" showErrorMessage="1" xr:uid="{61FE6731-E9D3-4F1C-9AFB-B0B4F7B83701}">
          <x14:formula1>
            <xm:f>Inspected!$A$1:$A$2</xm:f>
          </x14:formula1>
          <xm:sqref>M2:M21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BA13-B29A-452D-A1C1-58A035BB4921}">
  <dimension ref="A1:U24"/>
  <sheetViews>
    <sheetView showGridLines="0" workbookViewId="0">
      <selection activeCell="I7" sqref="I7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 D2:H21 J2:J21 L2:L21 P2:P21" xr:uid="{208B6044-7CB9-43C1-AE1F-8EB303A3843A}">
      <formula1>0</formula1>
    </dataValidation>
    <dataValidation type="date" operator="greaterThanOrEqual" allowBlank="1" showInputMessage="1" showErrorMessage="1" sqref="B2:B21 I2:I21 K2:K21 O2:O21" xr:uid="{C374D913-9827-47B7-8FDD-513244DA663D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D98F85-D099-437F-B037-4FF528D9EBD4}">
          <x14:formula1>
            <xm:f>Inspected!$A$1:$A$2</xm:f>
          </x14:formula1>
          <xm:sqref>M2:M21</xm:sqref>
        </x14:dataValidation>
        <x14:dataValidation type="list" allowBlank="1" showInputMessage="1" showErrorMessage="1" xr:uid="{FAFA59AD-8B42-4C5C-B8E6-45030C780775}">
          <x14:formula1>
            <xm:f>Inspected!$D$1</xm:f>
          </x14:formula1>
          <xm:sqref>C2:C21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8280-1CE2-4784-B573-9E1C8B93D1AA}">
  <dimension ref="A1:U24"/>
  <sheetViews>
    <sheetView showGridLines="0" workbookViewId="0">
      <selection activeCell="J8" sqref="J7:J8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 I2:I21 K2:K21 O2:O21" xr:uid="{CC97FC99-B2A2-4F8F-BFF5-C8AED008D06B}">
      <formula1>45658</formula1>
    </dataValidation>
    <dataValidation type="whole" operator="greaterThanOrEqual" allowBlank="1" showInputMessage="1" showErrorMessage="1" sqref="A2:A21 D2:H21 J2:J21 L2:L21 P2:P21" xr:uid="{2087E520-1BBF-4BF6-8F53-101877658F0C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1FDC07-E2A8-4BC0-B66E-DA4027F3B270}">
          <x14:formula1>
            <xm:f>Inspected!$D$1</xm:f>
          </x14:formula1>
          <xm:sqref>C2:C21</xm:sqref>
        </x14:dataValidation>
        <x14:dataValidation type="list" allowBlank="1" showInputMessage="1" showErrorMessage="1" xr:uid="{6F0943A4-F8CA-4EB3-B4F3-7B4A255F21D6}">
          <x14:formula1>
            <xm:f>Inspected!$A$1:$A$2</xm:f>
          </x14:formula1>
          <xm:sqref>M2:M21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B507-ACF3-4C03-900E-2F562504B876}">
  <dimension ref="A1:U24"/>
  <sheetViews>
    <sheetView showGridLines="0" workbookViewId="0">
      <selection activeCell="J5" sqref="J5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 D2:H21 J2:J21 L2:L21 P2:P21" xr:uid="{EA47C6FD-C691-4248-B19F-A6F60E478368}">
      <formula1>0</formula1>
    </dataValidation>
    <dataValidation type="date" operator="greaterThanOrEqual" allowBlank="1" showInputMessage="1" showErrorMessage="1" sqref="B2:B21 I2:I21 K2:K21 O2:O21" xr:uid="{874E44D6-8B26-4FED-BC6F-379CA016426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4A8036-1B80-40E5-A224-AF046A578C40}">
          <x14:formula1>
            <xm:f>Inspected!$A$1:$A$2</xm:f>
          </x14:formula1>
          <xm:sqref>M2:M21</xm:sqref>
        </x14:dataValidation>
        <x14:dataValidation type="list" allowBlank="1" showInputMessage="1" showErrorMessage="1" xr:uid="{EEBE0821-141C-415B-B709-E5AE10584DA7}">
          <x14:formula1>
            <xm:f>Inspected!$D$1</xm:f>
          </x14:formula1>
          <xm:sqref>C2:C21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3C96-BCAB-4752-8091-03814DDA494A}">
  <dimension ref="A1:U24"/>
  <sheetViews>
    <sheetView showGridLines="0" workbookViewId="0">
      <selection activeCell="M19" sqref="M19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 I2:I21 K2:K21 O2:O21" xr:uid="{F25178BB-4CA2-4617-9946-3214E9272105}">
      <formula1>45658</formula1>
    </dataValidation>
    <dataValidation type="whole" operator="greaterThanOrEqual" allowBlank="1" showInputMessage="1" showErrorMessage="1" sqref="A2:A21 D2:H21 J2:J21 L2:L21 P2:P21" xr:uid="{0E80A8F7-EFDB-4D37-B05D-F27D509E4045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18BE22-1976-4FB7-AFFF-875F355D8914}">
          <x14:formula1>
            <xm:f>Inspected!$D$1</xm:f>
          </x14:formula1>
          <xm:sqref>C2:C21</xm:sqref>
        </x14:dataValidation>
        <x14:dataValidation type="list" allowBlank="1" showInputMessage="1" showErrorMessage="1" xr:uid="{8CFF8109-537B-40D8-8433-5BC87BF32DCE}">
          <x14:formula1>
            <xm:f>Inspected!$A$1:$A$2</xm:f>
          </x14:formula1>
          <xm:sqref>M2:M21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C890-316F-4E72-87F2-2F33EAD0865C}">
  <dimension ref="A1:U24"/>
  <sheetViews>
    <sheetView showGridLines="0" workbookViewId="0">
      <selection activeCell="J10" sqref="J10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29" customWidth="1"/>
    <col min="5" max="5" width="11.140625" style="18" customWidth="1"/>
    <col min="6" max="6" width="13.85546875" style="18" customWidth="1"/>
    <col min="7" max="7" width="13.140625" style="18" customWidth="1"/>
    <col min="8" max="8" width="17.85546875" style="18" customWidth="1"/>
    <col min="9" max="9" width="14.42578125" style="3" customWidth="1"/>
    <col min="10" max="10" width="11" style="18" customWidth="1"/>
    <col min="11" max="11" width="15.42578125" style="3" customWidth="1"/>
    <col min="12" max="12" width="13" style="18" customWidth="1"/>
    <col min="13" max="13" width="16" style="18" customWidth="1"/>
    <col min="14" max="14" width="15.5703125" style="1" customWidth="1"/>
    <col min="15" max="15" width="30.140625" style="18" customWidth="1"/>
    <col min="16" max="16" width="25.85546875" style="18" customWidth="1"/>
    <col min="17" max="16384" width="19.140625" style="1"/>
  </cols>
  <sheetData>
    <row r="1" spans="1:21" ht="45.75" thickBot="1" x14ac:dyDescent="0.3">
      <c r="A1" s="26" t="s">
        <v>3</v>
      </c>
      <c r="B1" s="19" t="s">
        <v>4</v>
      </c>
      <c r="C1" s="19" t="s">
        <v>5</v>
      </c>
      <c r="D1" s="28" t="s">
        <v>6</v>
      </c>
      <c r="E1" s="20" t="s">
        <v>7</v>
      </c>
      <c r="F1" s="20" t="s">
        <v>8</v>
      </c>
      <c r="G1" s="20" t="s">
        <v>9</v>
      </c>
      <c r="H1" s="35" t="s">
        <v>10</v>
      </c>
      <c r="I1" s="30" t="s">
        <v>11</v>
      </c>
      <c r="J1" s="21" t="s">
        <v>12</v>
      </c>
      <c r="K1" s="32" t="s">
        <v>13</v>
      </c>
      <c r="L1" s="22" t="s">
        <v>14</v>
      </c>
      <c r="M1" s="23" t="s">
        <v>15</v>
      </c>
      <c r="N1" s="39" t="s">
        <v>16</v>
      </c>
      <c r="O1" s="24" t="s">
        <v>17</v>
      </c>
      <c r="P1" s="25" t="s">
        <v>18</v>
      </c>
    </row>
    <row r="2" spans="1:21" ht="15" customHeight="1" x14ac:dyDescent="0.3">
      <c r="A2" s="36">
        <v>65501</v>
      </c>
      <c r="B2" s="27"/>
      <c r="C2" s="4"/>
      <c r="D2" s="33"/>
      <c r="E2" s="33"/>
      <c r="F2" s="33"/>
      <c r="G2" s="33"/>
      <c r="H2" s="33"/>
      <c r="I2" s="31"/>
      <c r="J2" s="33"/>
      <c r="K2" s="31"/>
      <c r="L2" s="33"/>
      <c r="M2" s="13"/>
      <c r="N2" s="14"/>
      <c r="O2" s="27"/>
      <c r="P2" s="34"/>
      <c r="R2" s="40" t="s">
        <v>19</v>
      </c>
      <c r="S2" s="41"/>
      <c r="T2" s="41"/>
      <c r="U2" s="42"/>
    </row>
    <row r="3" spans="1:21" ht="15" customHeight="1" x14ac:dyDescent="0.3">
      <c r="A3" s="36">
        <v>65502</v>
      </c>
      <c r="B3" s="27"/>
      <c r="C3" s="4"/>
      <c r="D3" s="33"/>
      <c r="E3" s="33"/>
      <c r="F3" s="33"/>
      <c r="G3" s="33"/>
      <c r="H3" s="33"/>
      <c r="I3" s="31"/>
      <c r="J3" s="33"/>
      <c r="K3" s="31"/>
      <c r="L3" s="33"/>
      <c r="M3" s="13"/>
      <c r="N3" s="14"/>
      <c r="O3" s="27"/>
      <c r="P3" s="34"/>
      <c r="R3" s="5" t="s">
        <v>20</v>
      </c>
      <c r="S3" s="6" t="s">
        <v>21</v>
      </c>
      <c r="T3" s="7" t="s">
        <v>22</v>
      </c>
      <c r="U3" s="8" t="s">
        <v>23</v>
      </c>
    </row>
    <row r="4" spans="1:21" ht="15" customHeight="1" thickBot="1" x14ac:dyDescent="0.35">
      <c r="A4" s="37">
        <v>65503</v>
      </c>
      <c r="B4" s="27"/>
      <c r="C4" s="4"/>
      <c r="D4" s="33"/>
      <c r="E4" s="33"/>
      <c r="F4" s="33"/>
      <c r="G4" s="33"/>
      <c r="H4" s="33"/>
      <c r="I4" s="31"/>
      <c r="J4" s="33"/>
      <c r="K4" s="31"/>
      <c r="L4" s="33"/>
      <c r="M4" s="13"/>
      <c r="N4" s="14"/>
      <c r="O4" s="27"/>
      <c r="P4" s="34"/>
      <c r="R4" s="9">
        <v>36</v>
      </c>
      <c r="S4" s="10">
        <f>R4*2</f>
        <v>72</v>
      </c>
      <c r="T4" s="10">
        <f>COUNTA(O:O)-1</f>
        <v>0</v>
      </c>
      <c r="U4" s="11">
        <f>T4/S4</f>
        <v>0</v>
      </c>
    </row>
    <row r="5" spans="1:21" ht="15" customHeight="1" x14ac:dyDescent="0.3">
      <c r="A5" s="36">
        <v>65504</v>
      </c>
      <c r="B5" s="27"/>
      <c r="C5" s="4"/>
      <c r="D5" s="33"/>
      <c r="E5" s="33"/>
      <c r="F5" s="33"/>
      <c r="G5" s="33"/>
      <c r="H5" s="33"/>
      <c r="I5" s="31"/>
      <c r="J5" s="33"/>
      <c r="K5" s="31"/>
      <c r="L5" s="33"/>
      <c r="M5" s="13"/>
      <c r="N5" s="14"/>
      <c r="O5" s="27"/>
      <c r="P5" s="34"/>
    </row>
    <row r="6" spans="1:21" ht="15" customHeight="1" x14ac:dyDescent="0.3">
      <c r="A6" s="36">
        <v>65505</v>
      </c>
      <c r="B6" s="27"/>
      <c r="C6" s="4"/>
      <c r="D6" s="33"/>
      <c r="E6" s="33"/>
      <c r="F6" s="33"/>
      <c r="G6" s="33"/>
      <c r="H6" s="33"/>
      <c r="I6" s="31"/>
      <c r="J6" s="33"/>
      <c r="K6" s="31"/>
      <c r="L6" s="33"/>
      <c r="M6" s="13"/>
      <c r="N6" s="14"/>
      <c r="O6" s="27"/>
      <c r="P6" s="34"/>
    </row>
    <row r="7" spans="1:21" ht="15" customHeight="1" x14ac:dyDescent="0.3">
      <c r="A7" s="36">
        <v>65506</v>
      </c>
      <c r="B7" s="27"/>
      <c r="C7" s="4"/>
      <c r="D7" s="33"/>
      <c r="E7" s="33"/>
      <c r="F7" s="33"/>
      <c r="G7" s="33"/>
      <c r="H7" s="33"/>
      <c r="I7" s="31"/>
      <c r="J7" s="33"/>
      <c r="K7" s="31"/>
      <c r="L7" s="33"/>
      <c r="M7" s="13"/>
      <c r="N7" s="14"/>
      <c r="O7" s="27"/>
      <c r="P7" s="34"/>
    </row>
    <row r="8" spans="1:21" ht="15" customHeight="1" x14ac:dyDescent="0.3">
      <c r="A8" s="36">
        <v>65507</v>
      </c>
      <c r="B8" s="27"/>
      <c r="C8" s="4"/>
      <c r="D8" s="33"/>
      <c r="E8" s="33"/>
      <c r="F8" s="33"/>
      <c r="G8" s="33"/>
      <c r="H8" s="33"/>
      <c r="I8" s="31"/>
      <c r="J8" s="33"/>
      <c r="K8" s="31"/>
      <c r="L8" s="33"/>
      <c r="M8" s="13"/>
      <c r="N8" s="14"/>
      <c r="O8" s="27"/>
      <c r="P8" s="34"/>
    </row>
    <row r="9" spans="1:21" ht="15" customHeight="1" x14ac:dyDescent="0.3">
      <c r="A9" s="36">
        <v>65508</v>
      </c>
      <c r="B9" s="27"/>
      <c r="C9" s="4"/>
      <c r="D9" s="33"/>
      <c r="E9" s="33"/>
      <c r="F9" s="33"/>
      <c r="G9" s="33"/>
      <c r="H9" s="33"/>
      <c r="I9" s="31"/>
      <c r="J9" s="33"/>
      <c r="K9" s="31"/>
      <c r="L9" s="33"/>
      <c r="M9" s="13"/>
      <c r="N9" s="14"/>
      <c r="O9" s="27"/>
      <c r="P9" s="34"/>
    </row>
    <row r="10" spans="1:21" ht="15" customHeight="1" x14ac:dyDescent="0.3">
      <c r="A10" s="36">
        <v>65509</v>
      </c>
      <c r="B10" s="27"/>
      <c r="C10" s="4"/>
      <c r="D10" s="33"/>
      <c r="E10" s="33"/>
      <c r="F10" s="33"/>
      <c r="G10" s="33"/>
      <c r="H10" s="33"/>
      <c r="I10" s="31"/>
      <c r="J10" s="33"/>
      <c r="K10" s="31"/>
      <c r="L10" s="33"/>
      <c r="M10" s="13"/>
      <c r="N10" s="14"/>
      <c r="O10" s="27"/>
      <c r="P10" s="34"/>
    </row>
    <row r="11" spans="1:21" ht="15" customHeight="1" x14ac:dyDescent="0.3">
      <c r="A11" s="36">
        <v>65510</v>
      </c>
      <c r="B11" s="27"/>
      <c r="C11" s="4"/>
      <c r="D11" s="33"/>
      <c r="E11" s="33"/>
      <c r="F11" s="33"/>
      <c r="G11" s="33"/>
      <c r="H11" s="33"/>
      <c r="I11" s="31"/>
      <c r="J11" s="33"/>
      <c r="K11" s="31"/>
      <c r="L11" s="33"/>
      <c r="M11" s="13"/>
      <c r="N11" s="14"/>
      <c r="O11" s="27"/>
      <c r="P11" s="34"/>
    </row>
    <row r="12" spans="1:21" ht="15" customHeight="1" x14ac:dyDescent="0.3">
      <c r="A12" s="36">
        <v>67501</v>
      </c>
      <c r="B12" s="27"/>
      <c r="C12" s="4"/>
      <c r="D12" s="33"/>
      <c r="E12" s="33"/>
      <c r="F12" s="33"/>
      <c r="G12" s="33"/>
      <c r="H12" s="33"/>
      <c r="I12" s="31"/>
      <c r="J12" s="33"/>
      <c r="K12" s="31"/>
      <c r="L12" s="33"/>
      <c r="M12" s="13"/>
      <c r="N12" s="14"/>
      <c r="O12" s="27"/>
      <c r="P12" s="34"/>
      <c r="R12" s="2"/>
    </row>
    <row r="13" spans="1:21" ht="15" customHeight="1" x14ac:dyDescent="0.3">
      <c r="A13" s="36">
        <v>67502</v>
      </c>
      <c r="B13" s="27"/>
      <c r="C13" s="4"/>
      <c r="D13" s="33"/>
      <c r="E13" s="33"/>
      <c r="F13" s="33"/>
      <c r="G13" s="33"/>
      <c r="H13" s="33"/>
      <c r="I13" s="31"/>
      <c r="J13" s="33"/>
      <c r="K13" s="31"/>
      <c r="L13" s="33"/>
      <c r="M13" s="13"/>
      <c r="N13" s="14"/>
      <c r="O13" s="27"/>
      <c r="P13" s="34"/>
    </row>
    <row r="14" spans="1:21" ht="15" customHeight="1" x14ac:dyDescent="0.3">
      <c r="A14" s="36">
        <v>67503</v>
      </c>
      <c r="B14" s="27"/>
      <c r="C14" s="4"/>
      <c r="D14" s="33"/>
      <c r="E14" s="33"/>
      <c r="F14" s="33"/>
      <c r="G14" s="33"/>
      <c r="H14" s="33"/>
      <c r="I14" s="31"/>
      <c r="J14" s="33"/>
      <c r="K14" s="31"/>
      <c r="L14" s="33"/>
      <c r="M14" s="13"/>
      <c r="N14" s="14"/>
      <c r="O14" s="27"/>
      <c r="P14" s="34"/>
      <c r="R14" s="2"/>
    </row>
    <row r="15" spans="1:21" ht="15" customHeight="1" x14ac:dyDescent="0.3">
      <c r="A15" s="36">
        <v>67504</v>
      </c>
      <c r="B15" s="27"/>
      <c r="C15" s="4"/>
      <c r="D15" s="33"/>
      <c r="E15" s="33"/>
      <c r="F15" s="33"/>
      <c r="G15" s="33"/>
      <c r="H15" s="33"/>
      <c r="I15" s="31"/>
      <c r="J15" s="33"/>
      <c r="K15" s="31"/>
      <c r="L15" s="33"/>
      <c r="M15" s="13"/>
      <c r="N15" s="14"/>
      <c r="O15" s="27"/>
      <c r="P15" s="34"/>
    </row>
    <row r="16" spans="1:21" ht="15" customHeight="1" x14ac:dyDescent="0.3">
      <c r="A16" s="38">
        <v>67505</v>
      </c>
      <c r="B16" s="27"/>
      <c r="C16" s="4"/>
      <c r="D16" s="33"/>
      <c r="E16" s="33"/>
      <c r="F16" s="33"/>
      <c r="G16" s="33"/>
      <c r="H16" s="33"/>
      <c r="I16" s="31"/>
      <c r="J16" s="33"/>
      <c r="K16" s="31"/>
      <c r="L16" s="33"/>
      <c r="M16" s="13"/>
      <c r="N16" s="14"/>
      <c r="O16" s="27"/>
      <c r="P16" s="34"/>
    </row>
    <row r="17" spans="1:16" ht="15" customHeight="1" x14ac:dyDescent="0.3">
      <c r="A17" s="36">
        <v>67506</v>
      </c>
      <c r="B17" s="27"/>
      <c r="C17" s="4"/>
      <c r="D17" s="33"/>
      <c r="E17" s="33"/>
      <c r="F17" s="33"/>
      <c r="G17" s="33"/>
      <c r="H17" s="33"/>
      <c r="I17" s="31"/>
      <c r="J17" s="33"/>
      <c r="K17" s="31"/>
      <c r="L17" s="33"/>
      <c r="M17" s="13"/>
      <c r="N17" s="14"/>
      <c r="O17" s="27"/>
      <c r="P17" s="34"/>
    </row>
    <row r="18" spans="1:16" ht="15" customHeight="1" x14ac:dyDescent="0.3">
      <c r="A18" s="38">
        <v>67507</v>
      </c>
      <c r="B18" s="27"/>
      <c r="C18" s="4"/>
      <c r="D18" s="33"/>
      <c r="E18" s="33"/>
      <c r="F18" s="33"/>
      <c r="G18" s="33"/>
      <c r="H18" s="33"/>
      <c r="I18" s="31"/>
      <c r="J18" s="33"/>
      <c r="K18" s="31"/>
      <c r="L18" s="33"/>
      <c r="M18" s="13"/>
      <c r="N18" s="14"/>
      <c r="O18" s="27"/>
      <c r="P18" s="34"/>
    </row>
    <row r="19" spans="1:16" ht="15" customHeight="1" x14ac:dyDescent="0.3">
      <c r="A19" s="36">
        <v>67508</v>
      </c>
      <c r="B19" s="27"/>
      <c r="C19" s="4"/>
      <c r="D19" s="33"/>
      <c r="E19" s="33"/>
      <c r="F19" s="33"/>
      <c r="G19" s="33"/>
      <c r="H19" s="33"/>
      <c r="I19" s="31"/>
      <c r="J19" s="33"/>
      <c r="K19" s="31"/>
      <c r="L19" s="33"/>
      <c r="M19" s="13"/>
      <c r="N19" s="14"/>
      <c r="O19" s="27"/>
      <c r="P19" s="34"/>
    </row>
    <row r="20" spans="1:16" ht="15" customHeight="1" x14ac:dyDescent="0.3">
      <c r="A20" s="36">
        <v>67509</v>
      </c>
      <c r="B20" s="27"/>
      <c r="C20" s="4"/>
      <c r="D20" s="33"/>
      <c r="E20" s="33"/>
      <c r="F20" s="33"/>
      <c r="G20" s="33"/>
      <c r="H20" s="33"/>
      <c r="I20" s="31"/>
      <c r="J20" s="33"/>
      <c r="K20" s="31"/>
      <c r="L20" s="33"/>
      <c r="M20" s="13"/>
      <c r="N20" s="14"/>
      <c r="O20" s="27"/>
      <c r="P20" s="34"/>
    </row>
    <row r="21" spans="1:16" ht="15" customHeight="1" x14ac:dyDescent="0.3">
      <c r="A21" s="37">
        <v>67510</v>
      </c>
      <c r="B21" s="27"/>
      <c r="C21" s="4"/>
      <c r="D21" s="33"/>
      <c r="E21" s="33"/>
      <c r="F21" s="33"/>
      <c r="G21" s="33"/>
      <c r="H21" s="33"/>
      <c r="I21" s="31"/>
      <c r="J21" s="33"/>
      <c r="K21" s="31"/>
      <c r="L21" s="33"/>
      <c r="M21" s="13"/>
      <c r="N21" s="14"/>
      <c r="O21" s="27"/>
      <c r="P21" s="34"/>
    </row>
    <row r="23" spans="1:16" x14ac:dyDescent="0.25">
      <c r="A23" s="16" t="s">
        <v>24</v>
      </c>
      <c r="B23" s="17"/>
    </row>
    <row r="24" spans="1:16" ht="30" x14ac:dyDescent="0.25">
      <c r="A24" s="15"/>
      <c r="B24" s="12" t="s">
        <v>25</v>
      </c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 D2:H21 J2:J21 L2:L21 P2:P21" xr:uid="{1BA7C97D-3D6D-47A2-B9BC-3EB15A638A8E}">
      <formula1>0</formula1>
    </dataValidation>
    <dataValidation type="date" operator="greaterThanOrEqual" allowBlank="1" showInputMessage="1" showErrorMessage="1" sqref="B2:B21 I2:I21 K2:K21 O2:O21" xr:uid="{0178B941-D701-4229-A586-00980FD45D5F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015D00-1686-4C9F-9B2E-42DCBC2F66E6}">
          <x14:formula1>
            <xm:f>Inspected!$A$1:$A$2</xm:f>
          </x14:formula1>
          <xm:sqref>M2:M21</xm:sqref>
        </x14:dataValidation>
        <x14:dataValidation type="list" allowBlank="1" showInputMessage="1" showErrorMessage="1" xr:uid="{804A6DF8-561C-421C-8FFE-7935BB3E7CA2}">
          <x14:formula1>
            <xm:f>Inspected!$D$1</xm:f>
          </x14:formula1>
          <xm:sqref>C2:C21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3834C0-E432-439C-BE5B-793F0CCD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f09d0ae9-c6ff-4e57-bd1f-955be6ad47ac"/>
    <ds:schemaRef ds:uri="http://schemas.microsoft.com/office/2006/metadata/properties"/>
    <ds:schemaRef ds:uri="http://schemas.microsoft.com/office/infopath/2007/PartnerControls"/>
    <ds:schemaRef ds:uri="d5486727-c7ef-48ef-8f67-294a70abf30d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WaterlooCity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2025-11-06T15:28:51Z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