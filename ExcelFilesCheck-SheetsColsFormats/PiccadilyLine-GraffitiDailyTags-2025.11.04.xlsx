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162" documentId="13_ncr:1_{6FEECE66-B25E-42D1-A6E7-D62EAA2D7977}" xr6:coauthVersionLast="47" xr6:coauthVersionMax="47" xr10:uidLastSave="{FFF19302-F897-44A4-A15C-F6F8FE258FBA}"/>
  <bookViews>
    <workbookView xWindow="1950" yWindow="705" windowWidth="25920" windowHeight="14775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<sst xmlns="http://schemas.openxmlformats.org/spreadsheetml/2006/main" count="338" uniqueCount="31">
  <si>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</si>
  <si>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</si>
  <si>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</si>
  <si>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</si>
  <si>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</si>
  <si>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</si>
  <si>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</si>
  <si>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</si>
  <si>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</si>
  <si>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</si>
  <si>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</si>
  <si>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</si>
  <si>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</si>
  <si>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</si>
  <si>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</si>
  <si>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</si>
  <si>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</si>
  <si>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</si>
  <si>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</si>
  <si>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</si>
  <si>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</si>
  <si>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Completed</t>
  </si>
  <si>
    <t>Y</t>
  </si>
  <si>
    <t>Henry</t>
  </si>
  <si>
    <t xml:space="preserve">completed </t>
  </si>
  <si>
    <t>Pavlina</t>
  </si>
  <si>
    <t>completed</t>
  </si>
  <si>
    <t>Sevi</t>
  </si>
  <si>
    <t>Catalin</t>
  </si>
  <si>
    <t>y</t>
  </si>
  <si>
    <t>Tomasz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</si>
</sst>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>
    <filterColumn colId="13">
      <filters blank="1">
        <filter val="Catalin"/>
        <filter val="Pavlina"/>
        <filter val="Sevi"/>
        <filter val="Tomasz"/>
      </filters>
    </filterColumn>
  </autoFilter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>
    <filterColumn colId="13">
      <filters blank="1">
        <filter val="Sevi"/>
      </filters>
    </filterColumn>
  </autoFilter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6AC0C5-8E4F-4E08-B023-D145701B6BC3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D36E9306-7CF4-4A25-8749-635272C19836}" name="Unit No." dataDxfId="51"/>
    <tableColumn id="2" xr3:uid="{2527A2D7-51ED-48A9-8792-902504D8114A}" name="DATE" dataDxfId="50"/>
    <tableColumn id="3" xr3:uid="{FDF37A0D-4F66-457B-B928-842847F3C5D5}" name="Status" dataDxfId="49"/>
    <tableColumn id="4" xr3:uid="{6A596479-6337-4C45-A71F-C4CC71EDD573}" name="Number of cars affected by graffiti/shadows on this unit" dataDxfId="48"/>
    <tableColumn id="5" xr3:uid="{49428D3A-2E5F-4BB5-8D70-86E828E9CE74}" name="Total Number of Tags found" dataDxfId="47"/>
    <tableColumn id="6" xr3:uid="{9820AC87-C0F0-406E-8928-02EB0326F15D}" name="Total Tags Removed / Cleaned" dataDxfId="46"/>
    <tableColumn id="7" xr3:uid="{5135893B-8BC3-40F6-8306-32B54D237B7B}" name="Total Tags Not Cleaned on this Unit" dataDxfId="45"/>
    <tableColumn id="8" xr3:uid="{8BA0A490-102D-4C33-8781-74D56E73FC67}" name="Car Number (s)  of Tags not cleaned (shadows)" dataDxfId="44"/>
    <tableColumn id="9" xr3:uid="{84139772-5DF6-455F-9BE4-4B3DAD78DFC9}" name="Date of 2nd visit to clean remaining tags" dataDxfId="43"/>
    <tableColumn id="10" xr3:uid="{2A7FEF66-6876-4CB6-8BDA-68D32D66B6F4}" name="Number of tags removed" dataDxfId="42"/>
    <tableColumn id="11" xr3:uid="{A8847FA0-27C4-4AEE-AC18-36428E04D8D3}" name="Date of 3rd visit to clean remaining tags" dataDxfId="41"/>
    <tableColumn id="12" xr3:uid="{B44D4721-9FB0-42ED-9A9C-C909A120831B}" name="Number of tags removed2" dataDxfId="40"/>
    <tableColumn id="13" xr3:uid="{8B391585-5DCB-4C17-8FDB-EEC2E63E7E51}" name="Train Inspected and Fit for service    (Y/N)" dataDxfId="39"/>
    <tableColumn id="14" xr3:uid="{43D396F1-8708-4D3A-92B1-25D951FCE669}" name="Inspected by Supervisor/Manager (Name)" dataDxfId="38"/>
    <tableColumn id="15" xr3:uid="{7650CC99-BAB8-45AB-84C7-3970C07F9D20}" name="Date of Completing all shadows (Tags) on this Unit excluding acid etched shadows" dataDxfId="37"/>
    <tableColumn id="16" xr3:uid="{2C4CD9AD-3E8F-41DC-8276-17734D383B6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60F16F-BE67-4A8A-BDE9-6F319B8E5E16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83329EB2-A59E-4BE0-B6DB-2A338A291392}" name="Unit No." dataDxfId="33"/>
    <tableColumn id="2" xr3:uid="{29B27717-7C46-476A-A23B-F9249EFE8B8E}" name="DATE" dataDxfId="32"/>
    <tableColumn id="3" xr3:uid="{5CC799C4-1BC5-4A2E-A2EE-35D5CDD807BA}" name="Status" dataDxfId="31"/>
    <tableColumn id="4" xr3:uid="{17C8B4B7-04AE-4D89-BBD0-4F02C30DBC03}" name="Number of cars affected by graffiti/shadows on this unit" dataDxfId="30"/>
    <tableColumn id="5" xr3:uid="{43C3DE9B-857C-4D04-A633-45EACE8C3B4E}" name="Total Number of Tags found" dataDxfId="29"/>
    <tableColumn id="6" xr3:uid="{AA52462D-2621-4340-BFE8-B2E8F8A53128}" name="Total Tags Removed / Cleaned" dataDxfId="28"/>
    <tableColumn id="7" xr3:uid="{7E6EB635-8F70-4EC5-A229-C2B499EFD3D0}" name="Total Tags Not Cleaned on this Unit" dataDxfId="27"/>
    <tableColumn id="8" xr3:uid="{9C8416B0-0A10-49C9-BF95-8AEEBE3177D9}" name="Car Number (s)  of Tags not cleaned (shadows)" dataDxfId="26"/>
    <tableColumn id="9" xr3:uid="{DE111B50-39ED-46A2-93A4-68792D3C1B02}" name="Date of 2nd visit to clean remaining tags" dataDxfId="25"/>
    <tableColumn id="10" xr3:uid="{DABBB1E3-B48B-46FC-8407-43893CA95B5E}" name="Number of tags removed" dataDxfId="24"/>
    <tableColumn id="11" xr3:uid="{A75E7E43-4EC4-4232-BB47-BC83D41D962A}" name="Date of 3rd visit to clean remaining tags" dataDxfId="23"/>
    <tableColumn id="12" xr3:uid="{C8A20E53-ED27-4CEA-9798-F89DE6A76DCD}" name="Number of tags removed2" dataDxfId="22"/>
    <tableColumn id="13" xr3:uid="{E5C1DB27-4C2A-4F3F-A8DD-EA59B739168F}" name="Train Inspected and Fit for service    (Y/N)" dataDxfId="21"/>
    <tableColumn id="14" xr3:uid="{38F49282-AB4B-49A8-A878-F27DC8235655}" name="Inspected by Supervisor/Manager (Name)" dataDxfId="20"/>
    <tableColumn id="15" xr3:uid="{39EE4D6D-4F4C-4904-91A1-2A8B32FBB877}" name="Date of Completing all shadows (Tags) on this Unit excluding acid etched shadows" dataDxfId="19"/>
    <tableColumn id="16" xr3:uid="{B413474C-24F4-4861-9A77-E5DF8FEC5B13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3DDD2E-3807-4891-988E-63A26685E61D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3D923B2C-25EC-486C-BD04-5C38ED852B65}" name="Unit No." dataDxfId="15"/>
    <tableColumn id="2" xr3:uid="{EDBA454E-8FDC-4CE4-88DF-8674A5F4B546}" name="DATE" dataDxfId="14"/>
    <tableColumn id="3" xr3:uid="{95944020-607A-4497-AD43-8FE5CC19FCAF}" name="Status" dataDxfId="13"/>
    <tableColumn id="4" xr3:uid="{AEE2C97E-9D19-4620-B4C0-2EEE3D3E9070}" name="Number of cars affected by graffiti/shadows on this unit" dataDxfId="12"/>
    <tableColumn id="5" xr3:uid="{9400E89D-4508-4A97-99FE-AB7ADA1557D2}" name="Total Number of Tags found" dataDxfId="11"/>
    <tableColumn id="6" xr3:uid="{BA772AC7-5613-44DC-9FE8-809A81CBE239}" name="Total Tags Removed / Cleaned" dataDxfId="10"/>
    <tableColumn id="7" xr3:uid="{30D29879-9803-4224-8087-686B321DF826}" name="Total Tags Not Cleaned on this Unit" dataDxfId="9"/>
    <tableColumn id="8" xr3:uid="{6E400B10-6A7F-4949-92BB-47B5AA7903AA}" name="Car Number (s)  of Tags not cleaned (shadows)" dataDxfId="8"/>
    <tableColumn id="9" xr3:uid="{3080E265-3877-440F-9697-67F0892E6E82}" name="Date of 2nd visit to clean remaining tags" dataDxfId="7"/>
    <tableColumn id="10" xr3:uid="{6CB59CC0-9D63-4884-9DF7-CF966B144D18}" name="Number of tags removed" dataDxfId="6"/>
    <tableColumn id="11" xr3:uid="{224FA28A-56BB-4EE7-9DEE-B518A6AE3439}" name="Date of 3rd visit to clean remaining tags" dataDxfId="5"/>
    <tableColumn id="12" xr3:uid="{663CFCCA-8B6E-4ADF-80E1-048969832B47}" name="Number of tags removed2" dataDxfId="4"/>
    <tableColumn id="13" xr3:uid="{95051D31-D7B6-494E-9F1A-3391D124A6BA}" name="Train Inspected and Fit for service    (Y/N)" dataDxfId="3"/>
    <tableColumn id="14" xr3:uid="{6317ADEF-2751-4CDE-B8D7-10226CFFA8F9}" name="Inspected by Supervisor/Manager (Name)" dataDxfId="2"/>
    <tableColumn id="15" xr3:uid="{828C2F63-1AFF-4D88-B9FD-17F679129A64}" name="Date of Completing all shadows (Tags) on this Unit excluding acid etched shadows" dataDxfId="1"/>
    <tableColumn id="16" xr3:uid="{D508D3F2-8117-464E-8FEB-C79EC7F3E220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abSelected="1" topLeftCell="A468" workbookViewId="0">
      <selection activeCell="B500" sqref="B50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13</v>
      </c>
      <c r="U4" s="22">
        <f>T4/S4</f>
        <v>2.5048169556840076E-2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hidden="1" customHeight="1" x14ac:dyDescent="0.25">
      <c r="A7" s="29">
        <v>105</v>
      </c>
      <c r="B7" s="11">
        <v>45950</v>
      </c>
      <c r="C7" s="12" t="s">
        <v>21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22</v>
      </c>
      <c r="N7" s="28" t="s">
        <v>23</v>
      </c>
      <c r="O7" s="11">
        <v>45950</v>
      </c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>
        <v>45949</v>
      </c>
      <c r="C9" s="12" t="s">
        <v>24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22</v>
      </c>
      <c r="N9" s="28" t="s">
        <v>25</v>
      </c>
      <c r="O9" s="11">
        <v>45949</v>
      </c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>
        <v>45963</v>
      </c>
      <c r="C50" s="12" t="s">
        <v>24</v>
      </c>
      <c r="D50" s="30">
        <v>1</v>
      </c>
      <c r="E50" s="30">
        <v>100</v>
      </c>
      <c r="F50" s="30">
        <v>100</v>
      </c>
      <c r="G50" s="30"/>
      <c r="H50" s="30"/>
      <c r="I50" s="14"/>
      <c r="J50" s="30"/>
      <c r="K50" s="14"/>
      <c r="L50" s="30"/>
      <c r="M50" s="13" t="s">
        <v>29</v>
      </c>
      <c r="N50" s="15" t="s">
        <v>25</v>
      </c>
      <c r="O50" s="11">
        <v>45963</v>
      </c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>
        <v>45955</v>
      </c>
      <c r="C61" s="12" t="s">
        <v>26</v>
      </c>
      <c r="D61" s="31">
        <v>1</v>
      </c>
      <c r="E61" s="31">
        <v>180</v>
      </c>
      <c r="F61" s="31">
        <v>180</v>
      </c>
      <c r="G61" s="31">
        <v>0</v>
      </c>
      <c r="H61" s="31">
        <v>0</v>
      </c>
      <c r="I61" s="27"/>
      <c r="J61" s="31"/>
      <c r="K61" s="27"/>
      <c r="L61" s="31"/>
      <c r="M61" s="26" t="s">
        <v>22</v>
      </c>
      <c r="N61" s="28" t="s">
        <v>25</v>
      </c>
      <c r="O61" s="11">
        <v>45955</v>
      </c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hidden="1" customHeight="1" x14ac:dyDescent="0.25">
      <c r="A64" s="29">
        <v>163</v>
      </c>
      <c r="B64" s="11">
        <v>45946</v>
      </c>
      <c r="C64" s="12" t="s">
        <v>26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 t="s">
        <v>26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22</v>
      </c>
      <c r="N101" s="15" t="s">
        <v>27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hidden="1" x14ac:dyDescent="0.25">
      <c r="A103" s="29">
        <v>202</v>
      </c>
      <c r="B103" s="11">
        <v>45958</v>
      </c>
      <c r="C103" s="12" t="s">
        <v>21</v>
      </c>
      <c r="D103" s="30">
        <v>1</v>
      </c>
      <c r="E103" s="30">
        <v>60</v>
      </c>
      <c r="F103" s="30">
        <v>60</v>
      </c>
      <c r="G103" s="30">
        <v>0</v>
      </c>
      <c r="H103" s="30">
        <v>0</v>
      </c>
      <c r="I103" s="14"/>
      <c r="J103" s="30"/>
      <c r="K103" s="14"/>
      <c r="L103" s="30"/>
      <c r="M103" s="13" t="s">
        <v>22</v>
      </c>
      <c r="N103" s="15" t="s">
        <v>23</v>
      </c>
      <c r="O103" s="11">
        <v>45958</v>
      </c>
      <c r="P103" s="33">
        <v>0</v>
      </c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>
        <v>45964</v>
      </c>
      <c r="C124" s="12" t="s">
        <v>24</v>
      </c>
      <c r="D124" s="31">
        <v>1</v>
      </c>
      <c r="E124" s="31">
        <v>150</v>
      </c>
      <c r="F124" s="31">
        <v>150</v>
      </c>
      <c r="G124" s="31">
        <v>0</v>
      </c>
      <c r="H124" s="31">
        <v>0</v>
      </c>
      <c r="I124" s="27"/>
      <c r="J124" s="31"/>
      <c r="K124" s="27"/>
      <c r="L124" s="31"/>
      <c r="M124" s="26" t="s">
        <v>29</v>
      </c>
      <c r="N124" s="28" t="s">
        <v>30</v>
      </c>
      <c r="O124" s="11">
        <v>45964</v>
      </c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>
        <v>45960</v>
      </c>
      <c r="C192" s="12" t="s">
        <v>26</v>
      </c>
      <c r="D192" s="31">
        <v>1</v>
      </c>
      <c r="E192" s="31">
        <v>1</v>
      </c>
      <c r="F192" s="31">
        <v>1</v>
      </c>
      <c r="G192" s="31">
        <v>0</v>
      </c>
      <c r="H192" s="31">
        <v>0</v>
      </c>
      <c r="I192" s="27"/>
      <c r="J192" s="31"/>
      <c r="K192" s="27"/>
      <c r="L192" s="31"/>
      <c r="M192" s="26" t="s">
        <v>22</v>
      </c>
      <c r="N192" s="28" t="s">
        <v>28</v>
      </c>
      <c r="O192" s="11">
        <v>45960</v>
      </c>
      <c r="P192" s="34">
        <v>0</v>
      </c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>
        <v>45964</v>
      </c>
      <c r="C448" s="12" t="s">
        <v>24</v>
      </c>
      <c r="D448" s="31">
        <v>1</v>
      </c>
      <c r="E448" s="31">
        <v>150</v>
      </c>
      <c r="F448" s="31">
        <v>150</v>
      </c>
      <c r="G448" s="31">
        <v>0</v>
      </c>
      <c r="H448" s="31">
        <v>0</v>
      </c>
      <c r="I448" s="27"/>
      <c r="J448" s="31"/>
      <c r="K448" s="27"/>
      <c r="L448" s="31"/>
      <c r="M448" s="26" t="s">
        <v>29</v>
      </c>
      <c r="N448" s="28" t="s">
        <v>30</v>
      </c>
      <c r="O448" s="11">
        <v>45964</v>
      </c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>
        <v>45955</v>
      </c>
      <c r="C471" s="12" t="s">
        <v>26</v>
      </c>
      <c r="D471" s="31">
        <v>1</v>
      </c>
      <c r="E471" s="31">
        <v>5</v>
      </c>
      <c r="F471" s="31">
        <v>5</v>
      </c>
      <c r="G471" s="31">
        <v>0</v>
      </c>
      <c r="H471" s="31">
        <v>0</v>
      </c>
      <c r="I471" s="27"/>
      <c r="J471" s="31"/>
      <c r="K471" s="27"/>
      <c r="L471" s="31"/>
      <c r="M471" s="26" t="s">
        <v>22</v>
      </c>
      <c r="N471" s="28" t="s">
        <v>25</v>
      </c>
      <c r="O471" s="11">
        <v>45955</v>
      </c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>
        <v>45964</v>
      </c>
      <c r="C493" s="12" t="s">
        <v>21</v>
      </c>
      <c r="D493" s="31">
        <v>3</v>
      </c>
      <c r="E493" s="31">
        <v>600</v>
      </c>
      <c r="F493" s="31">
        <v>600</v>
      </c>
      <c r="G493" s="31">
        <v>0</v>
      </c>
      <c r="H493" s="31">
        <v>0</v>
      </c>
      <c r="I493" s="27"/>
      <c r="J493" s="31"/>
      <c r="K493" s="27"/>
      <c r="L493" s="31"/>
      <c r="M493" s="26" t="s">
        <v>22</v>
      </c>
      <c r="N493" s="28" t="s">
        <v>23</v>
      </c>
      <c r="O493" s="11">
        <v>45964</v>
      </c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>
        <v>45955</v>
      </c>
      <c r="C506" s="12" t="s">
        <v>26</v>
      </c>
      <c r="D506" s="31">
        <v>1</v>
      </c>
      <c r="E506" s="31">
        <v>10</v>
      </c>
      <c r="F506" s="31">
        <v>10</v>
      </c>
      <c r="G506" s="31">
        <v>0</v>
      </c>
      <c r="H506" s="31">
        <v>0</v>
      </c>
      <c r="I506" s="27"/>
      <c r="J506" s="31"/>
      <c r="K506" s="27"/>
      <c r="L506" s="31"/>
      <c r="M506" s="26" t="s">
        <v>22</v>
      </c>
      <c r="N506" s="28" t="s">
        <v>25</v>
      </c>
      <c r="O506" s="11">
        <v>45955</v>
      </c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topLeftCell="A46" workbookViewId="0">
      <selection activeCell="A62" sqref="A62:XFD6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hidden="1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topLeftCell="A50" workbookViewId="0">
      <selection activeCell="H68" sqref="H6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topLeftCell="L92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topLeftCell="M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topLeftCell="K88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topLeftCell="L97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topLeftCell="M94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topLeftCell="O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topLeftCell="A11" workbookViewId="0">
      <selection activeCell="F20" sqref="F2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H0npyJEozTsmxdlF3FR2xzRctWy9oPYv2udINPw0/7GnVjKRqDkz1Czfx2zI5fUPQXUCOpdxI6nku3WoGUWXw==" saltValue="tsm+jRYT5L9lR+Qix28m+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29BB-495B-4B42-A966-67CB87A09996}">
  <dimension ref="A1:U654"/>
  <sheetViews>
    <sheetView topLeftCell="A3" workbookViewId="0">
      <selection activeCell="I24" sqref="I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GUXvGS947lrIQpltrmcnk31NlRgYUgfQoB9gnA+W6kEINCKyihRdqr9Wv30jXYVhLYpGNhQ9S1h/6vb/JIezmw==" saltValue="Cinmk1CS2Qqw456ZVU8OC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85DD9A6-4644-4D6C-9FD0-2AB96808F752}">
      <formula1>45658</formula1>
    </dataValidation>
    <dataValidation type="whole" operator="greaterThanOrEqual" allowBlank="1" showInputMessage="1" showErrorMessage="1" sqref="P2:P520 D2:H520 J2:J520 L2:L520" xr:uid="{7259D13A-C728-44AC-9392-5286EE1875B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4242-B3D2-4C51-9A0A-5BE67B68443E}">
  <dimension ref="A1:U654"/>
  <sheetViews>
    <sheetView topLeftCell="A3" workbookViewId="0">
      <selection activeCell="I24" sqref="I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17EigmOYh1RqrtbbAOV4oadVpUpxve/l9VmfTth+twqHYBk6FjLXHkTka0aUr7cAlyi5H635EO1WTD89sWSvwA==" saltValue="e3zY96A5o6W58RG3Gsmj+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9FDAE0AA-A35D-4A65-A968-7791347843DB}">
      <formula1>0</formula1>
    </dataValidation>
    <dataValidation type="date" operator="greaterThanOrEqual" allowBlank="1" showInputMessage="1" showErrorMessage="1" sqref="B2:B520 I2:I520 K2:K520 O2:O520" xr:uid="{BDA2DE77-91AF-4A69-A0AE-510468DD5E4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1CDE-FFCC-4F36-B4DE-C9FE5B2CA961}">
  <dimension ref="A1:U654"/>
  <sheetViews>
    <sheetView topLeftCell="A3" workbookViewId="0">
      <selection activeCell="I24" sqref="I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Gt0zF9M0B27NRzo5iS0jW4Bj0513V7ntq3fhc52N1/FOCEN2IlxYDaepSWtjqjOgYdqUgVC/HDjftGRineCrfQ==" saltValue="2uAIwpiN4/lim1V4SAtB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EEB7A3A5-1FDA-476E-94A5-22A81C7443A2}">
      <formula1>45658</formula1>
    </dataValidation>
    <dataValidation type="whole" operator="greaterThanOrEqual" allowBlank="1" showInputMessage="1" showErrorMessage="1" sqref="P2:P520 D2:H520 J2:J520 L2:L520" xr:uid="{F58A220D-5EB7-4A42-A0A3-841FF9CDB885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4C3AC0-8520-42D5-A09F-6E17E2A17BDC}">
  <ds:schemaRefs>
    <ds:schemaRef ds:uri="f09d0ae9-c6ff-4e57-bd1f-955be6ad47ac"/>
    <ds:schemaRef ds:uri="http://www.w3.org/XML/1998/namespace"/>
    <ds:schemaRef ds:uri="http://purl.org/dc/dcmitype/"/>
    <ds:schemaRef ds:uri="http://schemas.microsoft.com/office/infopath/2007/PartnerControls"/>
    <ds:schemaRef ds:uri="d5486727-c7ef-48ef-8f67-294a70abf30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114CD1D-D03F-49CF-AA4A-5EA03F4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Pavlina Todorova</cp:lastModifiedBy>
  <cp:revision/>
  <dcterms:created xsi:type="dcterms:W3CDTF">2025-10-14T11:42:09Z</dcterms:created>
  <dcterms:modified xsi:type="dcterms:W3CDTF">2025-11-04T04:30:23Z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