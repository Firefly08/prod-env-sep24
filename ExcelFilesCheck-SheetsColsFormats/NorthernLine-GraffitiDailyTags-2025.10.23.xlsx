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57" documentId="13_ncr:1_{1E1E5BEC-5BEE-42AB-81D4-08B890F79E33}" xr6:coauthVersionLast="47" xr6:coauthVersionMax="47" xr10:uidLastSave="{FE779296-FA44-453D-981B-C57E21907DD3}"/>
  <bookViews>
    <workbookView xWindow="-120" yWindow="-120" windowWidth="29040" windowHeight="15720" firstSheet="7" activeTab="1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<sst xmlns="http://schemas.openxmlformats.org/spreadsheetml/2006/main" count="317" uniqueCount="27">
  <si>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</si>
  <si>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</si>
  <si>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</si>
  <si>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</si>
  <si>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</si>
  <si>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</si>
  <si>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</si>
  <si>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</si>
  <si>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</si>
  <si>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</si>
  <si>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</si>
  <si>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</si>
  <si>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</si>
  <si>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</si>
  <si>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</si>
  <si>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</si>
  <si>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</si>
  <si>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</si>
  <si>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</si>
  <si>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</si>
  <si>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</si>
  <si>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</si>
  <si>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</si>
  <si>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Michael</t>
  </si>
  <si>
    <t>Violina</t>
  </si>
  <si>
    <t>Roland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</si>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</sst>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A0A374-0464-491B-8B48-4D7C5941CDE2}" name="TagsRA10" displayName="TagsRA10" ref="A1:P213" totalsRowShown="0" headerRowDxfId="53" tableBorderDxfId="52">
  <autoFilter ref="A1:P213" xr:uid="{8C459B2E-0469-4808-A7E2-2087F0BC89FF}"/>
  <tableColumns count="16">
    <tableColumn id="1" xr3:uid="{16DB6F0D-98EF-4DAF-9B93-F2E193518A35}" name="Unit No." dataDxfId="51"/>
    <tableColumn id="2" xr3:uid="{73277558-FF10-4437-A7CC-D2051CFBFC4B}" name="DATE" dataDxfId="50"/>
    <tableColumn id="3" xr3:uid="{BC6BEDF9-3F88-4AEC-8B76-401A7423AE58}" name="Status" dataDxfId="49"/>
    <tableColumn id="4" xr3:uid="{53420FB8-F4B0-43DC-9F55-6DD045AB487C}" name="Number of cars affected by graffiti/shadows on this unit" dataDxfId="48"/>
    <tableColumn id="5" xr3:uid="{FF634F34-CD80-4C3F-9B88-AE7DD899C769}" name="Total Number of Tags found" dataDxfId="47"/>
    <tableColumn id="6" xr3:uid="{7E8E63FB-9336-4B11-948F-98F728E1A8C2}" name="Total Tags Removed / Cleaned" dataDxfId="46"/>
    <tableColumn id="7" xr3:uid="{BB5F33E2-3722-46F9-8780-10950FB18296}" name="Total Tags Not Cleaned on this Unit" dataDxfId="45"/>
    <tableColumn id="8" xr3:uid="{C114A08B-169A-4AF9-826F-DA9E815170C5}" name="Car Number (s)  of Tags not cleaned (shadows)" dataDxfId="44"/>
    <tableColumn id="9" xr3:uid="{5B43C159-EE00-4CEB-811E-E89A4BDA0FCB}" name="Date of 2nd visit to clean remaining tags" dataDxfId="43"/>
    <tableColumn id="10" xr3:uid="{3BAD1144-885F-45D2-908E-80D5B7FAE2E5}" name="Number of tags removed" dataDxfId="42"/>
    <tableColumn id="11" xr3:uid="{9EBF06F4-D5A6-46A1-8469-FF1837BD353E}" name="Date of 3rd visit to clean remaining tags" dataDxfId="41"/>
    <tableColumn id="12" xr3:uid="{01A2EFD8-09C6-415D-84E2-C326BDCA08FF}" name="Number of tags removed2" dataDxfId="40"/>
    <tableColumn id="13" xr3:uid="{18DC8E2E-733C-4817-9FC4-0134EC8A287C}" name="Train Inspected and Fit for service    (Y/N)" dataDxfId="39"/>
    <tableColumn id="14" xr3:uid="{8D6EE614-112B-4899-A158-311619582CBA}" name="Inspected by Supervisor/Manager (Name)" dataDxfId="38"/>
    <tableColumn id="15" xr3:uid="{C3C16B42-A921-48AF-AF8D-F500874FEFF4}" name="Date of Completing all shadows (Tags) on this Unit excluding acid etched shadows" dataDxfId="37"/>
    <tableColumn id="16" xr3:uid="{BB2C958E-DEA4-42B7-B334-D8B26ABCD9C8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1D4C48-8552-4BDF-A433-7EE05D93A1A8}" name="TagsRA11" displayName="TagsRA11" ref="A1:P213" totalsRowShown="0" headerRowDxfId="35" tableBorderDxfId="34">
  <autoFilter ref="A1:P213" xr:uid="{8C459B2E-0469-4808-A7E2-2087F0BC89FF}"/>
  <tableColumns count="16">
    <tableColumn id="1" xr3:uid="{5C376EAB-5BDA-4567-885E-3143AEF22AF6}" name="Unit No." dataDxfId="33"/>
    <tableColumn id="2" xr3:uid="{7ACE2F82-93DC-46C7-B261-04ADDF742D59}" name="DATE" dataDxfId="32"/>
    <tableColumn id="3" xr3:uid="{B67EB08F-C9CE-418C-86F7-99EF33AA3FB9}" name="Status" dataDxfId="31"/>
    <tableColumn id="4" xr3:uid="{C6DFC9EC-9D2A-47B6-A304-CFB7EC399599}" name="Number of cars affected by graffiti/shadows on this unit" dataDxfId="30"/>
    <tableColumn id="5" xr3:uid="{317DDBF6-E7F9-4ECC-83BB-57AF0B8FEBB2}" name="Total Number of Tags found" dataDxfId="29"/>
    <tableColumn id="6" xr3:uid="{D063DF1C-B6B4-4CE4-8EFD-1C2AD4DD4C1C}" name="Total Tags Removed / Cleaned" dataDxfId="28"/>
    <tableColumn id="7" xr3:uid="{BFBA1393-54DD-4028-AB43-9C22D85E87B9}" name="Total Tags Not Cleaned on this Unit" dataDxfId="27"/>
    <tableColumn id="8" xr3:uid="{4D7B1C06-B73C-42A6-B737-4B36B61E4A4A}" name="Car Number (s)  of Tags not cleaned (shadows)" dataDxfId="26"/>
    <tableColumn id="9" xr3:uid="{DADAA2E7-137A-460C-ADC9-03B9741C7ACA}" name="Date of 2nd visit to clean remaining tags" dataDxfId="25"/>
    <tableColumn id="10" xr3:uid="{7111BFA8-EE92-47B1-B3A4-005D2296520A}" name="Number of tags removed" dataDxfId="24"/>
    <tableColumn id="11" xr3:uid="{DF949C8D-C7A1-4192-A978-5828A3798917}" name="Date of 3rd visit to clean remaining tags" dataDxfId="23"/>
    <tableColumn id="12" xr3:uid="{10526948-72B5-4BE9-A6FD-C5996F2029B4}" name="Number of tags removed2" dataDxfId="22"/>
    <tableColumn id="13" xr3:uid="{50323F32-58A6-4B05-8982-95B3F2A5D9BA}" name="Train Inspected and Fit for service    (Y/N)" dataDxfId="21"/>
    <tableColumn id="14" xr3:uid="{A1964C8C-5C27-49B7-90BC-77DEC35E6A36}" name="Inspected by Supervisor/Manager (Name)" dataDxfId="20"/>
    <tableColumn id="15" xr3:uid="{8F18DD3D-31CB-414C-8DB2-2EFC81D775C2}" name="Date of Completing all shadows (Tags) on this Unit excluding acid etched shadows" dataDxfId="19"/>
    <tableColumn id="16" xr3:uid="{23044546-44BF-41A9-9B3B-E49B65D40AA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584319-832A-4EFD-9828-1DCAB521479B}" name="TagsRA12" displayName="TagsRA12" ref="A1:P213" totalsRowShown="0" headerRowDxfId="17" tableBorderDxfId="16">
  <autoFilter ref="A1:P213" xr:uid="{8C459B2E-0469-4808-A7E2-2087F0BC89FF}"/>
  <tableColumns count="16">
    <tableColumn id="1" xr3:uid="{A7040162-B380-45CA-910F-3262589F3093}" name="Unit No." dataDxfId="15"/>
    <tableColumn id="2" xr3:uid="{A9A00CD9-F7BF-476F-8911-642AE8DEAE7F}" name="DATE" dataDxfId="14"/>
    <tableColumn id="3" xr3:uid="{C4A39DCB-ADF1-43B7-8FBD-6782E1D713B2}" name="Status" dataDxfId="13"/>
    <tableColumn id="4" xr3:uid="{ABFE2D4C-11A8-40AC-9945-7828A902671B}" name="Number of cars affected by graffiti/shadows on this unit" dataDxfId="12"/>
    <tableColumn id="5" xr3:uid="{E9609AEC-6E4C-4610-A3D6-46E656C66ED3}" name="Total Number of Tags found" dataDxfId="11"/>
    <tableColumn id="6" xr3:uid="{12E76433-5980-42C4-B269-DB7DD0E920A8}" name="Total Tags Removed / Cleaned" dataDxfId="10"/>
    <tableColumn id="7" xr3:uid="{A0EA2F50-7EAC-41AF-9C27-1A39B20AC005}" name="Total Tags Not Cleaned on this Unit" dataDxfId="9"/>
    <tableColumn id="8" xr3:uid="{338CA071-D7DD-4605-9D74-AEF3DD0AF593}" name="Car Number (s)  of Tags not cleaned (shadows)" dataDxfId="8"/>
    <tableColumn id="9" xr3:uid="{E485EC7D-E73C-416D-8188-993A3D359648}" name="Date of 2nd visit to clean remaining tags" dataDxfId="7"/>
    <tableColumn id="10" xr3:uid="{1B560915-DD2B-4A7E-9DA1-2F416FBFA770}" name="Number of tags removed" dataDxfId="6"/>
    <tableColumn id="11" xr3:uid="{635B5CBB-D180-4F1C-B432-24D99A5A8621}" name="Date of 3rd visit to clean remaining tags" dataDxfId="5"/>
    <tableColumn id="12" xr3:uid="{91599313-0F46-4D5F-8061-6A4B2D0684BD}" name="Number of tags removed2" dataDxfId="4"/>
    <tableColumn id="13" xr3:uid="{71ADD0A0-AE54-4082-8A90-3BAE263DEF4D}" name="Train Inspected and Fit for service    (Y/N)" dataDxfId="3"/>
    <tableColumn id="14" xr3:uid="{9B015679-5563-47F8-BA47-9A1AAB92B4DE}" name="Inspected by Supervisor/Manager (Name)" dataDxfId="2"/>
    <tableColumn id="15" xr3:uid="{96EA084B-A66D-4F77-AB8D-8EAC98F9AF35}" name="Date of Completing all shadows (Tags) on this Unit excluding acid etched shadows" dataDxfId="1"/>
    <tableColumn id="16" xr3:uid="{95A9CD1D-9622-471C-A430-16851384AC6C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45" activePane="bottomRight" state="frozen"/>
      <selection pane="topRight"/>
      <selection pane="bottomLeft"/>
      <selection pane="bottomRight" activeCell="F61" sqref="F61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21</v>
      </c>
      <c r="U4" s="21">
        <f>T4/S4</f>
        <v>9.9056603773584911E-2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23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/>
      <c r="C28" s="11"/>
      <c r="D28" s="35"/>
      <c r="E28" s="35"/>
      <c r="F28" s="35"/>
      <c r="G28" s="35"/>
      <c r="H28" s="35"/>
      <c r="I28" s="26"/>
      <c r="J28" s="35"/>
      <c r="K28" s="26"/>
      <c r="L28" s="35"/>
      <c r="M28" s="25"/>
      <c r="N28" s="27"/>
      <c r="O28" s="10"/>
      <c r="P28" s="37"/>
    </row>
    <row r="29" spans="1:16" ht="15" customHeight="1" x14ac:dyDescent="0.2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/>
      <c r="C35" s="11"/>
      <c r="D35" s="35"/>
      <c r="E35" s="35"/>
      <c r="F35" s="35"/>
      <c r="G35" s="35"/>
      <c r="H35" s="35"/>
      <c r="I35" s="26"/>
      <c r="J35" s="35"/>
      <c r="K35" s="26"/>
      <c r="L35" s="35"/>
      <c r="M35" s="25"/>
      <c r="N35" s="27"/>
      <c r="O35" s="10"/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/>
      <c r="C68" s="11"/>
      <c r="D68" s="35"/>
      <c r="E68" s="35"/>
      <c r="F68" s="35"/>
      <c r="G68" s="35"/>
      <c r="H68" s="35"/>
      <c r="I68" s="26"/>
      <c r="J68" s="35"/>
      <c r="K68" s="26"/>
      <c r="L68" s="35"/>
      <c r="M68" s="25"/>
      <c r="N68" s="27"/>
      <c r="O68" s="10"/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23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24</v>
      </c>
      <c r="O73" s="10">
        <v>45949</v>
      </c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4"/>
      <c r="E75" s="34"/>
      <c r="F75" s="34"/>
      <c r="G75" s="34"/>
      <c r="H75" s="34"/>
      <c r="I75" s="13"/>
      <c r="J75" s="34"/>
      <c r="K75" s="13"/>
      <c r="L75" s="34"/>
      <c r="M75" s="12"/>
      <c r="N75" s="14"/>
      <c r="O75" s="10"/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4"/>
      <c r="E80" s="34"/>
      <c r="F80" s="34"/>
      <c r="G80" s="34"/>
      <c r="H80" s="34"/>
      <c r="I80" s="13"/>
      <c r="J80" s="34"/>
      <c r="K80" s="13"/>
      <c r="L80" s="34"/>
      <c r="M80" s="12"/>
      <c r="N80" s="14"/>
      <c r="O80" s="10"/>
      <c r="P80" s="36"/>
    </row>
    <row r="81" spans="1:16" x14ac:dyDescent="0.2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24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4"/>
      <c r="E96" s="34"/>
      <c r="F96" s="34"/>
      <c r="G96" s="34"/>
      <c r="H96" s="34"/>
      <c r="I96" s="13"/>
      <c r="J96" s="34"/>
      <c r="K96" s="13"/>
      <c r="L96" s="34"/>
      <c r="M96" s="12"/>
      <c r="N96" s="14"/>
      <c r="O96" s="10"/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23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23</v>
      </c>
      <c r="O127" s="10">
        <v>45953</v>
      </c>
      <c r="P127" s="37"/>
    </row>
    <row r="128" spans="1:16" x14ac:dyDescent="0.2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23</v>
      </c>
      <c r="O128" s="10">
        <v>45953</v>
      </c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23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25</v>
      </c>
      <c r="O146" s="10">
        <v>45946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25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24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workbookViewId="0">
      <selection activeCell="B73" sqref="B73:O7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9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J28" sqref="J2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1EF7-D226-45D5-8199-0AB77FCC690D}">
  <dimension ref="A1:U347"/>
  <sheetViews>
    <sheetView tabSelected="1" workbookViewId="0">
      <selection activeCell="J28" sqref="J2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74523741-019F-40D9-AB69-29ACB0291289}">
      <formula1>0</formula1>
    </dataValidation>
    <dataValidation type="date" operator="greaterThanOrEqual" allowBlank="1" showInputMessage="1" showErrorMessage="1" sqref="B2:B213 I2:I213 K2:K213 O2:O213" xr:uid="{E294680B-0F52-49B2-943D-F04ACFBCAD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9546-3129-4D73-B8A9-68459ADD1CB7}">
  <dimension ref="A1:U347"/>
  <sheetViews>
    <sheetView workbookViewId="0">
      <selection activeCell="J28" sqref="J2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A87FD283-39D6-45A9-966F-222A23F53269}">
      <formula1>45658</formula1>
    </dataValidation>
    <dataValidation type="whole" operator="greaterThanOrEqual" allowBlank="1" showInputMessage="1" showErrorMessage="1" sqref="A2:A213 D2:H213 J2:J213 L2:L213 P2:P213" xr:uid="{451E23B6-6321-4881-9469-E3E328CD37B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4A6E-9F16-4D51-B9CA-D80E3A68364C}">
  <dimension ref="A1:U347"/>
  <sheetViews>
    <sheetView workbookViewId="0">
      <selection activeCell="H12" sqref="H1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9BA32EB9-81B6-4F7C-BD35-CB838DF1ADE9}">
      <formula1>0</formula1>
    </dataValidation>
    <dataValidation type="date" operator="greaterThanOrEqual" allowBlank="1" showInputMessage="1" showErrorMessage="1" sqref="B2:B213 I2:I213 K2:K213 O2:O213" xr:uid="{696D999A-30A4-403E-8B89-9969FDE1D861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79DEA0-BEE8-4EA0-A81B-04E7E6DB1433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f09d0ae9-c6ff-4e57-bd1f-955be6ad47ac"/>
    <ds:schemaRef ds:uri="http://schemas.openxmlformats.org/package/2006/metadata/core-properties"/>
    <ds:schemaRef ds:uri="d5486727-c7ef-48ef-8f67-294a70abf30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2025-10-28T22:38:42Z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