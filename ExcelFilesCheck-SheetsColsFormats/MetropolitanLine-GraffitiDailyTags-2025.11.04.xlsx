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365" documentId="13_ncr:1_{A68D24F6-9B64-4EB9-B6EF-402BBEB36B5D}" xr6:coauthVersionLast="47" xr6:coauthVersionMax="47" xr10:uidLastSave="{41DF93A7-8A6C-40BE-864D-92FA66019EAD}"/>
  <bookViews>
    <workbookView xWindow="-120" yWindow="-120" windowWidth="29040" windowHeight="15720" activeTab="1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<sst xmlns="http://schemas.openxmlformats.org/spreadsheetml/2006/main" count="363" uniqueCount="27">
  <si>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</si>
  <si>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</si>
  <si>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</si>
  <si>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</si>
  <si>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</si>
  <si>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</si>
  <si>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</si>
  <si>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</si>
  <si>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</si>
  <si>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</si>
  <si>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</si>
  <si>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</si>
  <si>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</si>
  <si>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</si>
  <si>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</si>
  <si>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</si>
  <si>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</si>
  <si>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</si>
  <si>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</si>
  <si>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</si>
  <si>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</si>
  <si>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</si>
  <si>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</si>
  <si>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</si>
  <si>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</si>
  <si>
    <t>E. Adu</t>
  </si>
  <si>
    <t>AE. 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</si>
</sst>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FC501-3B70-466D-98DC-65729337007D}" name="TagsRA10" displayName="TagsRA10" ref="A1:P119" totalsRowShown="0" headerRowDxfId="53" tableBorderDxfId="52">
  <autoFilter ref="A1:P119" xr:uid="{87C3E877-C963-490B-AC1A-8F3B57CF322E}"/>
  <tableColumns count="16">
    <tableColumn id="1" xr3:uid="{400D5232-3672-423C-A467-52E798B7C023}" name="Unit No." dataDxfId="51"/>
    <tableColumn id="2" xr3:uid="{BFCC4617-4CFF-4DCE-8288-D964F608A3CA}" name="DATE" dataDxfId="50"/>
    <tableColumn id="3" xr3:uid="{D2C583A0-2170-4FCD-B853-F0CA86F1BE65}" name="Status" dataDxfId="49"/>
    <tableColumn id="4" xr3:uid="{95A15AEF-F539-47B6-888F-A0152F5132B2}" name="Number of cars affected by graffiti/shadows on this unit" dataDxfId="48"/>
    <tableColumn id="5" xr3:uid="{C4603C5C-8393-4ABE-BBB4-DA8D8E7DDFF3}" name="Total Number of Tags found" dataDxfId="47"/>
    <tableColumn id="6" xr3:uid="{B48D2006-AEAB-49F7-AF92-828C7E4D19B8}" name="Total Tags Removed / Cleaned" dataDxfId="46"/>
    <tableColumn id="7" xr3:uid="{29BB110F-92A7-48D6-A40A-FE6036DA495B}" name="Total Tags Not Cleaned on this Unit" dataDxfId="45"/>
    <tableColumn id="8" xr3:uid="{2DBE243B-BF1D-4738-A17D-FC9497F5C5F9}" name="Car Number (s)  of Tags not cleaned (shadows)" dataDxfId="44"/>
    <tableColumn id="9" xr3:uid="{FBF4E46B-FDEC-4863-8B45-2700839D4F4F}" name="Date of 2nd visit to clean remaining tags" dataDxfId="43"/>
    <tableColumn id="10" xr3:uid="{1D42E08B-9B9C-437D-AD28-1AA3AE6BB4F7}" name="Number of tags removed" dataDxfId="42"/>
    <tableColumn id="11" xr3:uid="{A199D94A-8ED3-457C-9D94-497F62E4B362}" name="Date of 3rd visit to clean remaining tags" dataDxfId="41"/>
    <tableColumn id="12" xr3:uid="{7995A861-DCC2-4FCE-AA58-3B751B6F44A0}" name="Number of tags removed2" dataDxfId="40"/>
    <tableColumn id="13" xr3:uid="{EF910D65-9E61-435D-8FF5-97871FD71CB7}" name="Train Inspected and Fit for service    (Y/N)" dataDxfId="39"/>
    <tableColumn id="14" xr3:uid="{ED57BEEE-AEFB-4A8B-BAC2-A60EF9F34092}" name="Inspected by Supervisor/Manager (Name)" dataDxfId="38"/>
    <tableColumn id="15" xr3:uid="{F0758309-4F3F-4A39-A4EA-C0C6BA933D1F}" name="Date of Completing all shadows (Tags) on this Unit excluding acid etched shadows" dataDxfId="37"/>
    <tableColumn id="16" xr3:uid="{B235C83A-C738-4DE1-9605-7C39154E6F8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39A2E7-8047-40A8-9BE3-F084AEA18538}" name="TagsRA11" displayName="TagsRA11" ref="A1:P119" totalsRowShown="0" headerRowDxfId="35" tableBorderDxfId="34">
  <autoFilter ref="A1:P119" xr:uid="{87C3E877-C963-490B-AC1A-8F3B57CF322E}"/>
  <tableColumns count="16">
    <tableColumn id="1" xr3:uid="{7AFA5E69-6B47-49D7-8675-0D005EC2B706}" name="Unit No." dataDxfId="33"/>
    <tableColumn id="2" xr3:uid="{0FDD5023-6D45-4F46-BE2B-5A6189B09871}" name="DATE" dataDxfId="32"/>
    <tableColumn id="3" xr3:uid="{3724A1F8-58C2-4EEB-9FBC-467886A13551}" name="Status" dataDxfId="31"/>
    <tableColumn id="4" xr3:uid="{267A3DA8-BB2B-48BD-9C7A-5CCC5DE3D9DA}" name="Number of cars affected by graffiti/shadows on this unit" dataDxfId="30"/>
    <tableColumn id="5" xr3:uid="{1C37EEF5-DC4F-4334-9D73-CEFE03160CBE}" name="Total Number of Tags found" dataDxfId="29"/>
    <tableColumn id="6" xr3:uid="{BEA070F9-F933-4B5B-B821-247E233927DE}" name="Total Tags Removed / Cleaned" dataDxfId="28"/>
    <tableColumn id="7" xr3:uid="{1D42B3E5-757E-44AD-B3BB-5E263D3E1E5A}" name="Total Tags Not Cleaned on this Unit" dataDxfId="27"/>
    <tableColumn id="8" xr3:uid="{530309B9-C713-4F2F-8E60-902D5BAA651A}" name="Car Number (s)  of Tags not cleaned (shadows)" dataDxfId="26"/>
    <tableColumn id="9" xr3:uid="{04436055-312A-455D-AD92-263868F4B5C3}" name="Date of 2nd visit to clean remaining tags" dataDxfId="25"/>
    <tableColumn id="10" xr3:uid="{09E80476-8C94-45FC-B7D7-021DA3AABEF4}" name="Number of tags removed" dataDxfId="24"/>
    <tableColumn id="11" xr3:uid="{C2CEDE32-7CE1-4EA0-971C-28CDF9CC3AFB}" name="Date of 3rd visit to clean remaining tags" dataDxfId="23"/>
    <tableColumn id="12" xr3:uid="{BC1F4560-CF7E-428A-88DD-89979C914998}" name="Number of tags removed2" dataDxfId="22"/>
    <tableColumn id="13" xr3:uid="{E5030C58-8302-4B34-A49F-32C08CEEFC94}" name="Train Inspected and Fit for service    (Y/N)" dataDxfId="21"/>
    <tableColumn id="14" xr3:uid="{3A664282-E5D5-4D3A-9C43-A3C51AE2386F}" name="Inspected by Supervisor/Manager (Name)" dataDxfId="20"/>
    <tableColumn id="15" xr3:uid="{8557F208-8A0E-4A58-A318-ACD4A190C45C}" name="Date of Completing all shadows (Tags) on this Unit excluding acid etched shadows" dataDxfId="19"/>
    <tableColumn id="16" xr3:uid="{7D2847A5-BE86-4B57-9B18-1642DDCD216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2D163-E636-43D3-8921-3CF97AE16C5E}" name="TagsRA12" displayName="TagsRA12" ref="A1:P119" totalsRowShown="0" headerRowDxfId="17" tableBorderDxfId="16">
  <autoFilter ref="A1:P119" xr:uid="{87C3E877-C963-490B-AC1A-8F3B57CF322E}"/>
  <tableColumns count="16">
    <tableColumn id="1" xr3:uid="{D516D936-6A1E-43F3-80D0-3B58E83EDFFF}" name="Unit No." dataDxfId="15"/>
    <tableColumn id="2" xr3:uid="{CEB6B696-1B25-4B89-998B-A41AB62C3E32}" name="DATE" dataDxfId="14"/>
    <tableColumn id="3" xr3:uid="{E7975359-EE10-4E3C-8F60-71B1FF4EAB1E}" name="Status" dataDxfId="13"/>
    <tableColumn id="4" xr3:uid="{8431104A-8FB5-44A1-A4A8-ADD2501468F2}" name="Number of cars affected by graffiti/shadows on this unit" dataDxfId="12"/>
    <tableColumn id="5" xr3:uid="{E9A275BE-3900-4C92-A986-6D0F0A137A86}" name="Total Number of Tags found" dataDxfId="11"/>
    <tableColumn id="6" xr3:uid="{D5A8CD96-0F8B-4BCA-92C2-518E12C66362}" name="Total Tags Removed / Cleaned" dataDxfId="10"/>
    <tableColumn id="7" xr3:uid="{D6C70A23-FA6F-40D8-ABE5-1BD006287C57}" name="Total Tags Not Cleaned on this Unit" dataDxfId="9"/>
    <tableColumn id="8" xr3:uid="{1687471E-67FF-4213-951C-4F0FD25B813C}" name="Car Number (s)  of Tags not cleaned (shadows)" dataDxfId="8"/>
    <tableColumn id="9" xr3:uid="{EE30B581-39A3-4A50-B837-144E9CD0C0A3}" name="Date of 2nd visit to clean remaining tags" dataDxfId="7"/>
    <tableColumn id="10" xr3:uid="{BC58CFD4-D45C-4224-B970-EC0C122F7240}" name="Number of tags removed" dataDxfId="6"/>
    <tableColumn id="11" xr3:uid="{49E7564D-6A24-47CF-8B2B-A4B0907D66E1}" name="Date of 3rd visit to clean remaining tags" dataDxfId="5"/>
    <tableColumn id="12" xr3:uid="{1E7B0EE4-D2DE-4660-ADD1-2B8E33298E8C}" name="Number of tags removed2" dataDxfId="4"/>
    <tableColumn id="13" xr3:uid="{BB9F4969-35B8-4FFB-B4BA-7AA9F272E452}" name="Train Inspected and Fit for service    (Y/N)" dataDxfId="3"/>
    <tableColumn id="14" xr3:uid="{DE30B5F7-F059-4B37-9338-439693D8D605}" name="Inspected by Supervisor/Manager (Name)" dataDxfId="2"/>
    <tableColumn id="15" xr3:uid="{FA5C5EFB-CB9F-445F-9477-EB4A09D3B711}" name="Date of Completing all shadows (Tags) on this Unit excluding acid etched shadows" dataDxfId="1"/>
    <tableColumn id="16" xr3:uid="{8B398D2A-958C-4D66-8074-E2BF0C53D24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2" activePane="bottomRight" state="frozen"/>
      <selection pane="topRight"/>
      <selection pane="bottomLeft"/>
      <selection pane="bottomRight" activeCell="I65" sqref="I6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24</v>
      </c>
      <c r="U4" s="22">
        <f>T4/S4</f>
        <v>0.20338983050847459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45960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24</v>
      </c>
      <c r="O29" s="11">
        <v>45960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>
        <v>45960</v>
      </c>
      <c r="J33" s="40">
        <v>8</v>
      </c>
      <c r="K33" s="14"/>
      <c r="L33" s="40"/>
      <c r="M33" s="13" t="s">
        <v>21</v>
      </c>
      <c r="N33" s="15" t="s">
        <v>24</v>
      </c>
      <c r="O33" s="11">
        <v>45960</v>
      </c>
      <c r="P33" s="42"/>
    </row>
    <row r="34" spans="1:16" ht="15" customHeight="1" thickBot="1" x14ac:dyDescent="0.35">
      <c r="A34" s="36">
        <v>21033</v>
      </c>
      <c r="B34" s="11">
        <v>45964</v>
      </c>
      <c r="C34" s="12" t="s">
        <v>23</v>
      </c>
      <c r="D34" s="40">
        <v>1</v>
      </c>
      <c r="E34" s="40">
        <v>1</v>
      </c>
      <c r="F34" s="40">
        <v>1</v>
      </c>
      <c r="G34" s="40">
        <v>0</v>
      </c>
      <c r="H34" s="40">
        <v>0</v>
      </c>
      <c r="I34" s="14"/>
      <c r="J34" s="40"/>
      <c r="K34" s="14"/>
      <c r="L34" s="40"/>
      <c r="M34" s="13" t="s">
        <v>21</v>
      </c>
      <c r="N34" s="15" t="s">
        <v>25</v>
      </c>
      <c r="O34" s="11">
        <v>45964</v>
      </c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>
        <v>45965</v>
      </c>
      <c r="C62" s="12" t="s">
        <v>23</v>
      </c>
      <c r="D62" s="40">
        <v>1</v>
      </c>
      <c r="E62" s="40">
        <v>2</v>
      </c>
      <c r="F62" s="40">
        <v>2</v>
      </c>
      <c r="G62" s="40">
        <v>0</v>
      </c>
      <c r="H62" s="40">
        <v>0</v>
      </c>
      <c r="I62" s="14"/>
      <c r="J62" s="40"/>
      <c r="K62" s="14"/>
      <c r="L62" s="40"/>
      <c r="M62" s="13" t="s">
        <v>21</v>
      </c>
      <c r="N62" s="15" t="s">
        <v>25</v>
      </c>
      <c r="O62" s="11">
        <v>45965</v>
      </c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>
        <v>45964</v>
      </c>
      <c r="C65" s="12" t="s">
        <v>23</v>
      </c>
      <c r="D65" s="40">
        <v>1</v>
      </c>
      <c r="E65" s="40">
        <v>3</v>
      </c>
      <c r="F65" s="40">
        <v>3</v>
      </c>
      <c r="G65" s="40">
        <v>0</v>
      </c>
      <c r="H65" s="40">
        <v>0</v>
      </c>
      <c r="I65" s="14"/>
      <c r="J65" s="40"/>
      <c r="K65" s="14"/>
      <c r="L65" s="40"/>
      <c r="M65" s="13" t="s">
        <v>21</v>
      </c>
      <c r="N65" s="15" t="s">
        <v>24</v>
      </c>
      <c r="O65" s="11">
        <v>45964</v>
      </c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>
        <v>45964</v>
      </c>
      <c r="C78" s="27" t="s">
        <v>23</v>
      </c>
      <c r="D78" s="41">
        <v>1</v>
      </c>
      <c r="E78" s="41">
        <v>1</v>
      </c>
      <c r="F78" s="41">
        <v>1</v>
      </c>
      <c r="G78" s="41">
        <v>0</v>
      </c>
      <c r="H78" s="41">
        <v>0</v>
      </c>
      <c r="I78" s="29"/>
      <c r="J78" s="41"/>
      <c r="K78" s="29"/>
      <c r="L78" s="41"/>
      <c r="M78" s="28" t="s">
        <v>21</v>
      </c>
      <c r="N78" s="30" t="s">
        <v>24</v>
      </c>
      <c r="O78" s="26">
        <v>45964</v>
      </c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>
        <v>45964</v>
      </c>
      <c r="C88" s="27" t="s">
        <v>23</v>
      </c>
      <c r="D88" s="41">
        <v>1</v>
      </c>
      <c r="E88" s="41">
        <v>1</v>
      </c>
      <c r="F88" s="41">
        <v>1</v>
      </c>
      <c r="G88" s="41">
        <v>0</v>
      </c>
      <c r="H88" s="41">
        <v>0</v>
      </c>
      <c r="I88" s="29"/>
      <c r="J88" s="41"/>
      <c r="K88" s="29"/>
      <c r="L88" s="41"/>
      <c r="M88" s="28" t="s">
        <v>21</v>
      </c>
      <c r="N88" s="30" t="s">
        <v>24</v>
      </c>
      <c r="O88" s="26">
        <v>45964</v>
      </c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>
        <v>45963</v>
      </c>
      <c r="C101" s="27" t="s">
        <v>23</v>
      </c>
      <c r="D101" s="41">
        <v>1</v>
      </c>
      <c r="E101" s="41">
        <v>6</v>
      </c>
      <c r="F101" s="41">
        <v>6</v>
      </c>
      <c r="G101" s="41">
        <v>0</v>
      </c>
      <c r="H101" s="41">
        <v>0</v>
      </c>
      <c r="I101" s="29"/>
      <c r="J101" s="41"/>
      <c r="K101" s="29"/>
      <c r="L101" s="41"/>
      <c r="M101" s="28" t="s">
        <v>21</v>
      </c>
      <c r="N101" s="30" t="s">
        <v>24</v>
      </c>
      <c r="O101" s="26">
        <v>45963</v>
      </c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>
        <v>45960</v>
      </c>
      <c r="J110" s="41">
        <v>5</v>
      </c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abSelected="1" topLeftCell="A24" workbookViewId="0">
      <selection activeCell="M72" sqref="M7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6</v>
      </c>
      <c r="U4" s="22">
        <f>T4/S4</f>
        <v>5.0847457627118647E-2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45965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26</v>
      </c>
      <c r="O29" s="11">
        <v>45965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46330</v>
      </c>
      <c r="C70" s="12" t="s">
        <v>23</v>
      </c>
      <c r="D70" s="40">
        <v>2</v>
      </c>
      <c r="E70" s="40">
        <v>10</v>
      </c>
      <c r="F70" s="40">
        <v>10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25</v>
      </c>
      <c r="O70" s="11">
        <v>45965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45960</v>
      </c>
      <c r="C110" s="27" t="s">
        <v>23</v>
      </c>
      <c r="D110" s="41">
        <v>1</v>
      </c>
      <c r="E110" s="41">
        <v>1</v>
      </c>
      <c r="F110" s="41">
        <v>1</v>
      </c>
      <c r="G110" s="41">
        <v>0</v>
      </c>
      <c r="H110" s="41">
        <v>0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45960</v>
      </c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workbookViewId="0">
      <selection activeCell="L11" sqref="L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1F8F-0B63-4D26-AF5A-E368705ECCD2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yyI0uxGicd1zwnoEyAY68PVCBq3yXQdXLzs/fZXhpsVar4N5xMG+kohm2+fadFVkgT0ZRvFtjBAg290tVG0cg==" saltValue="GN+xsdyoDYMpi+8+1JFR6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700ED2FD-E72E-4919-90D7-67696B46081E}">
      <formula1>45658</formula1>
    </dataValidation>
    <dataValidation type="whole" operator="greaterThanOrEqual" allowBlank="1" showInputMessage="1" showErrorMessage="1" sqref="A2:A119 D2:H119 J2:J119 L2:L119 P2:P119" xr:uid="{AF3B2EAF-56FC-41B0-93D5-60F4D4842B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BFD-DDB6-4483-84F7-6A712EAB1CF0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qrQ5/4MfLoa2UilNNKLqfvHIsn5vPcNY/ZgiP5UuSo7malJGcDv2cXj5V4oKkOIpvCpdyuEwhjtvzv6JLNz3dQ==" saltValue="PKrOz9FUXbr52xJRNw19D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B586440C-7022-4620-B684-FF98163F647D}">
      <formula1>0</formula1>
    </dataValidation>
    <dataValidation type="date" operator="greaterThanOrEqual" allowBlank="1" showInputMessage="1" showErrorMessage="1" sqref="B2:B119 I2:I119 K2:K119 O2:O119" xr:uid="{889AF43D-DFBC-4B4A-8427-E986A29BE30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B4F-C433-4CEA-BA0F-E9EDF93A4076}">
  <dimension ref="A1:U207"/>
  <sheetViews>
    <sheetView workbookViewId="0">
      <selection activeCell="I18" sqref="I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1v9YSfrRg9z9xRk+Xas15Bho0hbAGRUgQmSsUneLTYa2xve1WwPz1PCjGb4IjejuPxMI+1mhOpaNz+DkX3BYyg==" saltValue="jxElDuHKCdKU2RGix272X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E9B2A97B-F597-421B-BDED-DA087700BA08}">
      <formula1>45658</formula1>
    </dataValidation>
    <dataValidation type="whole" operator="greaterThanOrEqual" allowBlank="1" showInputMessage="1" showErrorMessage="1" sqref="A2:A119 D2:H119 J2:J119 L2:L119 P2:P119" xr:uid="{923567BE-DC5A-4FAF-B012-26D199C3699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schemas.microsoft.com/office/2006/documentManagement/types"/>
    <ds:schemaRef ds:uri="http://purl.org/dc/elements/1.1/"/>
    <ds:schemaRef ds:uri="d5486727-c7ef-48ef-8f67-294a70abf30d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f09d0ae9-c6ff-4e57-bd1f-955be6ad47ac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Bogdan Baiceanu</cp:lastModifiedBy>
  <cp:revision/>
  <dcterms:created xsi:type="dcterms:W3CDTF">2025-10-14T11:42:09Z</dcterms:created>
  <dcterms:modified xsi:type="dcterms:W3CDTF">2025-11-05T04:06:35Z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