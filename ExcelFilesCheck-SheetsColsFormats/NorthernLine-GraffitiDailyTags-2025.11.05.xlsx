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899" documentId="13_ncr:1_{1E1E5BEC-5BEE-42AB-81D4-08B890F79E33}" xr6:coauthVersionLast="47" xr6:coauthVersionMax="47" xr10:uidLastSave="{416655AA-9624-4D87-861B-801DE5BF4885}"/>
  <bookViews>
    <workbookView xWindow="-120" yWindow="-120" windowWidth="29040" windowHeight="15720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13" l="1"/>
  <c r="U4" i="3"/>
  <c r="U4" i="7"/>
  <c r="U4" i="5"/>
  <c r="U4" i="4"/>
  <c r="U4" i="6"/>
  <c r="U4" i="1"/>
</calcChain>
</file>

<file path=xl/sharedStrings.xml><?xml version="1.0" encoding="utf-8"?>
<sst xmlns="http://schemas.openxmlformats.org/spreadsheetml/2006/main" count="512" uniqueCount="30">
  <si>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</si>
  <si>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</si>
  <si>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</si>
  <si>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</si>
  <si>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</si>
  <si>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</si>
  <si>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</si>
  <si>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</si>
  <si>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</si>
  <si>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</si>
  <si>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</si>
  <si>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</si>
  <si>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</si>
  <si>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</si>
  <si>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</si>
  <si>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</si>
  <si>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</si>
  <si>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</si>
  <si>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</si>
  <si>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</si>
  <si>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</si>
  <si>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</si>
  <si>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Richard</t>
  </si>
  <si>
    <t>Roland</t>
  </si>
  <si>
    <t>y</t>
  </si>
  <si>
    <t>Michael</t>
  </si>
  <si>
    <t>Patrick</t>
  </si>
  <si>
    <t>Violina</t>
  </si>
  <si>
    <t>Noah</t>
  </si>
  <si>
    <t>Strahil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</si>
</sst>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16" fontId="5" fillId="0" borderId="4" xfId="0" applyNumberFormat="1" applyFont="1" applyBorder="1" applyAlignment="1" applyProtection="1">
      <alignment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5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6F578C7-DD3B-4CD4-80A1-39D698D4B2B9}" name="TagsRA10" displayName="TagsRA10" ref="A1:P213" totalsRowShown="0" headerRowDxfId="53" tableBorderDxfId="52">
  <autoFilter ref="A1:P213" xr:uid="{8C459B2E-0469-4808-A7E2-2087F0BC89FF}"/>
  <tableColumns count="16">
    <tableColumn id="1" xr3:uid="{42C0EE32-0C2A-4239-9EF4-E92083862BED}" name="Unit No." dataDxfId="51"/>
    <tableColumn id="2" xr3:uid="{4DCB030E-7E6F-4489-BD39-5C74A0204BDF}" name="DATE" dataDxfId="50"/>
    <tableColumn id="3" xr3:uid="{6C2D1E27-AD24-415F-8A01-304DAC30FBA4}" name="Status" dataDxfId="49"/>
    <tableColumn id="4" xr3:uid="{AE19473F-2606-4242-876F-6CE33350B1C9}" name="Number of cars affected by graffiti/shadows on this unit" dataDxfId="48"/>
    <tableColumn id="5" xr3:uid="{72A83BA9-8C06-4A2E-ADFB-A909C5DF3E11}" name="Total Number of Tags found" dataDxfId="47"/>
    <tableColumn id="6" xr3:uid="{63769A10-81FF-4E6E-8D70-0FDAF35FFB08}" name="Total Tags Removed / Cleaned" dataDxfId="46"/>
    <tableColumn id="7" xr3:uid="{FA65CB1A-9ED4-46A8-BE9D-A0BB42A5C9B3}" name="Total Tags Not Cleaned on this Unit" dataDxfId="45"/>
    <tableColumn id="8" xr3:uid="{033C5EC3-5591-4286-947A-9A06DA9A1AF6}" name="Car Number (s)  of Tags not cleaned (shadows)" dataDxfId="44"/>
    <tableColumn id="9" xr3:uid="{238A1B5C-B95D-4AA7-A9AB-44066A4E79BE}" name="Date of 2nd visit to clean remaining tags" dataDxfId="43"/>
    <tableColumn id="10" xr3:uid="{4B6ABF18-D718-4B35-B86D-326F14D55D35}" name="Number of tags removed" dataDxfId="42"/>
    <tableColumn id="11" xr3:uid="{1E7C4D8F-E17F-4C49-A0CD-BC8BB3BB0DC4}" name="Date of 3rd visit to clean remaining tags" dataDxfId="41"/>
    <tableColumn id="12" xr3:uid="{0124164E-414C-46FE-B556-64D88B5C4D81}" name="Number of tags removed2" dataDxfId="40"/>
    <tableColumn id="13" xr3:uid="{5D2D69D0-9F31-4C7A-A974-9577F6032093}" name="Train Inspected and Fit for service    (Y/N)" dataDxfId="39"/>
    <tableColumn id="14" xr3:uid="{2C7B98AE-C8C5-4F1E-886B-52C94A8F3723}" name="Inspected by Supervisor/Manager (Name)" dataDxfId="38"/>
    <tableColumn id="15" xr3:uid="{0882498A-2577-49A3-9007-D2198127A9CF}" name="Date of Completing all shadows (Tags) on this Unit excluding acid etched shadows" dataDxfId="37"/>
    <tableColumn id="16" xr3:uid="{ECAB3644-602A-44E1-B96E-BC27982CF8C7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BB7AA2-D994-49EC-A25E-75C74A4F914C}" name="TagsRA11" displayName="TagsRA11" ref="A1:P213" totalsRowShown="0" headerRowDxfId="35" tableBorderDxfId="34">
  <autoFilter ref="A1:P213" xr:uid="{8C459B2E-0469-4808-A7E2-2087F0BC89FF}"/>
  <tableColumns count="16">
    <tableColumn id="1" xr3:uid="{FD2006A6-05F2-42FF-AD6A-A0DD7FDADB10}" name="Unit No." dataDxfId="33"/>
    <tableColumn id="2" xr3:uid="{D64E9FB1-99EF-4CBB-B0F7-248033571969}" name="DATE" dataDxfId="32"/>
    <tableColumn id="3" xr3:uid="{EC30836F-5A37-4D29-BD65-6E9D5D95CCAF}" name="Status" dataDxfId="31"/>
    <tableColumn id="4" xr3:uid="{285BCDCC-625B-4E64-94E8-23A6AE8892B2}" name="Number of cars affected by graffiti/shadows on this unit" dataDxfId="30"/>
    <tableColumn id="5" xr3:uid="{FC8ED1E6-4745-4E50-A48F-3C2C8DCE1BF8}" name="Total Number of Tags found" dataDxfId="29"/>
    <tableColumn id="6" xr3:uid="{CEB21520-C8BF-416A-A39D-FB7F8BA3B12C}" name="Total Tags Removed / Cleaned" dataDxfId="28"/>
    <tableColumn id="7" xr3:uid="{D333945D-7EAB-4FED-8714-4C6837D7D753}" name="Total Tags Not Cleaned on this Unit" dataDxfId="27"/>
    <tableColumn id="8" xr3:uid="{F4B65EEB-E778-4C1A-B6F2-4A62BFC50A72}" name="Car Number (s)  of Tags not cleaned (shadows)" dataDxfId="26"/>
    <tableColumn id="9" xr3:uid="{D55207D9-4079-4A0F-A6E1-E8157E696192}" name="Date of 2nd visit to clean remaining tags" dataDxfId="25"/>
    <tableColumn id="10" xr3:uid="{FD9AB62B-5A25-4551-B6B4-7D2F1053477A}" name="Number of tags removed" dataDxfId="24"/>
    <tableColumn id="11" xr3:uid="{0FE97C71-996C-46CF-8D1A-EAA68F9F3F3A}" name="Date of 3rd visit to clean remaining tags" dataDxfId="23"/>
    <tableColumn id="12" xr3:uid="{F6083B0A-DB11-4E68-9464-37CBFE26D0E6}" name="Number of tags removed2" dataDxfId="22"/>
    <tableColumn id="13" xr3:uid="{4EF524F7-06CB-4BA1-999D-AB0E006904D3}" name="Train Inspected and Fit for service    (Y/N)" dataDxfId="21"/>
    <tableColumn id="14" xr3:uid="{17268357-C505-4FB9-A02E-952248D53AB0}" name="Inspected by Supervisor/Manager (Name)" dataDxfId="20"/>
    <tableColumn id="15" xr3:uid="{045758DA-86E2-4A2F-8134-1F2399023D79}" name="Date of Completing all shadows (Tags) on this Unit excluding acid etched shadows" dataDxfId="19"/>
    <tableColumn id="16" xr3:uid="{50BE9063-5636-40F2-8514-086735C2803F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BBDD3EE-04E1-479F-B293-93D76F66B72F}" name="TagsRA12" displayName="TagsRA12" ref="A1:P213" totalsRowShown="0" headerRowDxfId="17" tableBorderDxfId="16">
  <autoFilter ref="A1:P213" xr:uid="{8C459B2E-0469-4808-A7E2-2087F0BC89FF}"/>
  <tableColumns count="16">
    <tableColumn id="1" xr3:uid="{7BF16FDB-A318-4863-9011-E582DE2A238C}" name="Unit No." dataDxfId="15"/>
    <tableColumn id="2" xr3:uid="{9AA05527-6FF9-47E4-81F0-4074E9C9691A}" name="DATE" dataDxfId="14"/>
    <tableColumn id="3" xr3:uid="{C9300CD3-790A-45AE-8F12-8510EDCF1672}" name="Status" dataDxfId="13"/>
    <tableColumn id="4" xr3:uid="{CE054A19-AA11-4FA8-81F3-74F5C860C608}" name="Number of cars affected by graffiti/shadows on this unit" dataDxfId="12"/>
    <tableColumn id="5" xr3:uid="{EC917627-7A95-43BE-9346-2B17B2DBB45D}" name="Total Number of Tags found" dataDxfId="11"/>
    <tableColumn id="6" xr3:uid="{6C77DF78-029F-468C-8FC4-80D2DEB5FF74}" name="Total Tags Removed / Cleaned" dataDxfId="10"/>
    <tableColumn id="7" xr3:uid="{5A3D4440-B006-42C5-8E2A-0778959C4E74}" name="Total Tags Not Cleaned on this Unit" dataDxfId="9"/>
    <tableColumn id="8" xr3:uid="{9F2E8E2F-D604-417D-A819-04696D5BA705}" name="Car Number (s)  of Tags not cleaned (shadows)" dataDxfId="8"/>
    <tableColumn id="9" xr3:uid="{C42BE52F-E1E3-444B-8F68-F90D1D592B9C}" name="Date of 2nd visit to clean remaining tags" dataDxfId="7"/>
    <tableColumn id="10" xr3:uid="{4B1E63D9-0B74-426D-A413-34782270FF2E}" name="Number of tags removed" dataDxfId="6"/>
    <tableColumn id="11" xr3:uid="{0A6CDB84-3FAE-4C62-82CF-B84C5A361E9E}" name="Date of 3rd visit to clean remaining tags" dataDxfId="5"/>
    <tableColumn id="12" xr3:uid="{C88A784E-8462-4AA1-A53A-7D7E6422C9A3}" name="Number of tags removed2" dataDxfId="4"/>
    <tableColumn id="13" xr3:uid="{73FA8D8F-0E8D-4CFE-9103-AB02ED5D2AB4}" name="Train Inspected and Fit for service    (Y/N)" dataDxfId="3"/>
    <tableColumn id="14" xr3:uid="{3B3534C0-5D04-40AF-94B0-FEFA14CC376B}" name="Inspected by Supervisor/Manager (Name)" dataDxfId="2"/>
    <tableColumn id="15" xr3:uid="{34942405-5309-4BA8-8114-CC2A4543B293}" name="Date of Completing all shadows (Tags) on this Unit excluding acid etched shadows" dataDxfId="1"/>
    <tableColumn id="16" xr3:uid="{7F448C85-95AC-4AE4-8501-731BC58E1CF3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tabSelected="1" workbookViewId="0">
      <pane xSplit="1" ySplit="1" topLeftCell="B35" activePane="bottomRight" state="frozen"/>
      <selection pane="bottomRight" activeCell="G46" sqref="G46"/>
      <selection pane="bottomLeft"/>
      <selection pane="topRight"/>
    </sheetView>
  </sheetViews>
  <sheetFormatPr defaultColWidth="9.140625" defaultRowHeight="1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>
        <v>45966</v>
      </c>
      <c r="C2" s="11"/>
      <c r="D2" s="34">
        <v>1</v>
      </c>
      <c r="E2" s="34">
        <v>7</v>
      </c>
      <c r="F2" s="34">
        <v>7</v>
      </c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>
      <c r="A4" s="33">
        <v>503</v>
      </c>
      <c r="B4" s="10">
        <v>45948</v>
      </c>
      <c r="C4" s="11"/>
      <c r="D4" s="35">
        <v>1</v>
      </c>
      <c r="E4" s="35">
        <v>1</v>
      </c>
      <c r="F4" s="35">
        <v>1</v>
      </c>
      <c r="G4" s="35"/>
      <c r="H4" s="35"/>
      <c r="I4" s="26"/>
      <c r="J4" s="35"/>
      <c r="K4" s="26"/>
      <c r="L4" s="35"/>
      <c r="M4" s="25" t="s">
        <v>21</v>
      </c>
      <c r="N4" s="27" t="s">
        <v>22</v>
      </c>
      <c r="O4" s="10">
        <v>45948</v>
      </c>
      <c r="P4" s="37"/>
      <c r="R4" s="19">
        <v>106</v>
      </c>
      <c r="S4" s="20">
        <f>COUNTA(A:A)-1</f>
        <v>212</v>
      </c>
      <c r="T4" s="20">
        <f>COUNTA(O:O)-1</f>
        <v>92</v>
      </c>
      <c r="U4" s="21">
        <f>T4/S4</f>
        <v>0.43396226415094341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3">
        <v>507</v>
      </c>
      <c r="B8" s="10">
        <v>45964</v>
      </c>
      <c r="C8" s="11"/>
      <c r="D8" s="35">
        <v>1</v>
      </c>
      <c r="E8" s="35">
        <v>2</v>
      </c>
      <c r="F8" s="35">
        <v>2</v>
      </c>
      <c r="G8" s="35"/>
      <c r="H8" s="35"/>
      <c r="I8" s="26"/>
      <c r="J8" s="35"/>
      <c r="K8" s="26"/>
      <c r="L8" s="35"/>
      <c r="M8" s="25" t="s">
        <v>21</v>
      </c>
      <c r="N8" s="27" t="s">
        <v>23</v>
      </c>
      <c r="O8" s="10">
        <v>45964</v>
      </c>
      <c r="P8" s="37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>
      <c r="A12" s="32">
        <v>511</v>
      </c>
      <c r="B12" s="10">
        <v>45965</v>
      </c>
      <c r="C12" s="11"/>
      <c r="D12" s="34">
        <v>1</v>
      </c>
      <c r="E12" s="34">
        <v>4</v>
      </c>
      <c r="F12" s="34">
        <v>4</v>
      </c>
      <c r="G12" s="34"/>
      <c r="H12" s="34"/>
      <c r="I12" s="13"/>
      <c r="J12" s="34"/>
      <c r="K12" s="13"/>
      <c r="L12" s="34"/>
      <c r="M12" s="12" t="s">
        <v>21</v>
      </c>
      <c r="N12" s="14" t="s">
        <v>23</v>
      </c>
      <c r="O12" s="10">
        <v>45965</v>
      </c>
      <c r="P12" s="36"/>
    </row>
    <row r="13" spans="1:21" ht="15" customHeight="1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3">
        <v>514</v>
      </c>
      <c r="B15" s="10">
        <v>45963</v>
      </c>
      <c r="C15" s="11"/>
      <c r="D15" s="35">
        <v>1</v>
      </c>
      <c r="E15" s="35">
        <v>6</v>
      </c>
      <c r="F15" s="35">
        <v>6</v>
      </c>
      <c r="G15" s="35"/>
      <c r="H15" s="35"/>
      <c r="I15" s="26"/>
      <c r="J15" s="35"/>
      <c r="K15" s="26"/>
      <c r="L15" s="35"/>
      <c r="M15" s="25" t="s">
        <v>21</v>
      </c>
      <c r="N15" s="27" t="s">
        <v>23</v>
      </c>
      <c r="O15" s="10">
        <v>45963</v>
      </c>
      <c r="P15" s="37"/>
    </row>
    <row r="16" spans="1:21" ht="15" customHeight="1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3">
        <v>517</v>
      </c>
      <c r="B18" s="10">
        <v>45965</v>
      </c>
      <c r="C18" s="11"/>
      <c r="D18" s="35">
        <v>1</v>
      </c>
      <c r="E18" s="35">
        <v>2</v>
      </c>
      <c r="F18" s="35">
        <v>2</v>
      </c>
      <c r="G18" s="35"/>
      <c r="H18" s="35"/>
      <c r="I18" s="26"/>
      <c r="J18" s="35"/>
      <c r="K18" s="26"/>
      <c r="L18" s="35"/>
      <c r="M18" s="25" t="s">
        <v>21</v>
      </c>
      <c r="N18" s="27" t="s">
        <v>23</v>
      </c>
      <c r="O18" s="10">
        <v>45965</v>
      </c>
      <c r="P18" s="37"/>
    </row>
    <row r="19" spans="1:16" ht="15" customHeight="1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22</v>
      </c>
      <c r="O21" s="10">
        <v>45946</v>
      </c>
      <c r="P21" s="36"/>
    </row>
    <row r="22" spans="1:16" ht="15" customHeight="1">
      <c r="A22" s="32">
        <v>521</v>
      </c>
      <c r="B22" s="10">
        <v>45958</v>
      </c>
      <c r="C22" s="11"/>
      <c r="D22" s="34">
        <v>1</v>
      </c>
      <c r="E22" s="34">
        <v>2</v>
      </c>
      <c r="F22" s="34">
        <v>1</v>
      </c>
      <c r="G22" s="34"/>
      <c r="H22" s="34"/>
      <c r="I22" s="13"/>
      <c r="J22" s="34"/>
      <c r="K22" s="13"/>
      <c r="L22" s="34"/>
      <c r="M22" s="12" t="s">
        <v>24</v>
      </c>
      <c r="N22" s="14" t="s">
        <v>23</v>
      </c>
      <c r="O22" s="10">
        <v>45958</v>
      </c>
      <c r="P22" s="36"/>
    </row>
    <row r="23" spans="1:16" ht="15" customHeight="1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22</v>
      </c>
      <c r="O24" s="10">
        <v>45946</v>
      </c>
      <c r="P24" s="36"/>
    </row>
    <row r="25" spans="1:16" ht="15" customHeight="1">
      <c r="A25" s="33">
        <v>524</v>
      </c>
      <c r="B25" s="10">
        <v>45949</v>
      </c>
      <c r="C25" s="11"/>
      <c r="D25" s="35">
        <v>1</v>
      </c>
      <c r="E25" s="35">
        <v>1</v>
      </c>
      <c r="F25" s="35">
        <v>1</v>
      </c>
      <c r="G25" s="35"/>
      <c r="H25" s="35"/>
      <c r="I25" s="26"/>
      <c r="J25" s="35"/>
      <c r="K25" s="26"/>
      <c r="L25" s="35"/>
      <c r="M25" s="25" t="s">
        <v>21</v>
      </c>
      <c r="N25" s="27" t="s">
        <v>25</v>
      </c>
      <c r="O25" s="10">
        <v>45949</v>
      </c>
      <c r="P25" s="37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3">
        <v>527</v>
      </c>
      <c r="B28" s="10">
        <v>45958</v>
      </c>
      <c r="C28" s="11"/>
      <c r="D28" s="35">
        <v>1</v>
      </c>
      <c r="E28" s="35">
        <v>2</v>
      </c>
      <c r="F28" s="35">
        <v>1</v>
      </c>
      <c r="G28" s="35"/>
      <c r="H28" s="35"/>
      <c r="I28" s="26"/>
      <c r="J28" s="35"/>
      <c r="K28" s="26"/>
      <c r="L28" s="35"/>
      <c r="M28" s="25" t="s">
        <v>24</v>
      </c>
      <c r="N28" s="27" t="s">
        <v>23</v>
      </c>
      <c r="O28" s="10">
        <v>45958</v>
      </c>
      <c r="P28" s="37"/>
    </row>
    <row r="29" spans="1:16" ht="15" customHeight="1">
      <c r="A29" s="31">
        <v>528</v>
      </c>
      <c r="B29" s="10">
        <v>45952</v>
      </c>
      <c r="C29" s="11"/>
      <c r="D29" s="34">
        <v>1</v>
      </c>
      <c r="E29" s="34">
        <v>1</v>
      </c>
      <c r="F29" s="34">
        <v>1</v>
      </c>
      <c r="G29" s="34"/>
      <c r="H29" s="34"/>
      <c r="I29" s="13"/>
      <c r="J29" s="34"/>
      <c r="K29" s="13"/>
      <c r="L29" s="34"/>
      <c r="M29" s="12" t="s">
        <v>21</v>
      </c>
      <c r="N29" s="14" t="s">
        <v>22</v>
      </c>
      <c r="O29" s="10">
        <v>45952</v>
      </c>
      <c r="P29" s="36"/>
    </row>
    <row r="30" spans="1:16" ht="15" customHeight="1">
      <c r="A30" s="33">
        <v>529</v>
      </c>
      <c r="B30" s="10">
        <v>45966</v>
      </c>
      <c r="C30" s="11"/>
      <c r="D30" s="35">
        <v>1</v>
      </c>
      <c r="E30" s="35">
        <v>24</v>
      </c>
      <c r="F30" s="35">
        <v>24</v>
      </c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3">
        <v>534</v>
      </c>
      <c r="B35" s="10">
        <v>45958</v>
      </c>
      <c r="C35" s="11"/>
      <c r="D35" s="35">
        <v>1</v>
      </c>
      <c r="E35" s="35">
        <v>2</v>
      </c>
      <c r="F35" s="35">
        <v>1</v>
      </c>
      <c r="G35" s="35"/>
      <c r="H35" s="35"/>
      <c r="I35" s="26"/>
      <c r="J35" s="35"/>
      <c r="K35" s="26"/>
      <c r="L35" s="35"/>
      <c r="M35" s="25" t="s">
        <v>24</v>
      </c>
      <c r="N35" s="27" t="s">
        <v>23</v>
      </c>
      <c r="O35" s="10">
        <v>45958</v>
      </c>
      <c r="P35" s="37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3">
        <v>536</v>
      </c>
      <c r="B37" s="10">
        <v>45963</v>
      </c>
      <c r="C37" s="11"/>
      <c r="D37" s="35">
        <v>1</v>
      </c>
      <c r="E37" s="35">
        <v>3</v>
      </c>
      <c r="F37" s="35">
        <v>3</v>
      </c>
      <c r="G37" s="35"/>
      <c r="H37" s="35"/>
      <c r="I37" s="26"/>
      <c r="J37" s="35"/>
      <c r="K37" s="26"/>
      <c r="L37" s="35"/>
      <c r="M37" s="25" t="s">
        <v>21</v>
      </c>
      <c r="N37" s="27" t="s">
        <v>23</v>
      </c>
      <c r="O37" s="10">
        <v>45963</v>
      </c>
      <c r="P37" s="37"/>
    </row>
    <row r="38" spans="1:16" ht="15" customHeight="1">
      <c r="A38" s="32">
        <v>537</v>
      </c>
      <c r="B38" s="10">
        <v>45965</v>
      </c>
      <c r="C38" s="11"/>
      <c r="D38" s="34">
        <v>1</v>
      </c>
      <c r="E38" s="34">
        <v>3</v>
      </c>
      <c r="F38" s="34">
        <v>3</v>
      </c>
      <c r="G38" s="34"/>
      <c r="H38" s="34"/>
      <c r="I38" s="13"/>
      <c r="J38" s="34"/>
      <c r="K38" s="13"/>
      <c r="L38" s="34"/>
      <c r="M38" s="12" t="s">
        <v>21</v>
      </c>
      <c r="N38" s="14" t="s">
        <v>23</v>
      </c>
      <c r="O38" s="10">
        <v>45965</v>
      </c>
      <c r="P38" s="36"/>
    </row>
    <row r="39" spans="1:16" ht="15" customHeight="1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>
      <c r="A40" s="32">
        <v>539</v>
      </c>
      <c r="B40" s="10">
        <v>45964</v>
      </c>
      <c r="C40" s="11"/>
      <c r="D40" s="34">
        <v>1</v>
      </c>
      <c r="E40" s="34">
        <v>3</v>
      </c>
      <c r="F40" s="34">
        <v>3</v>
      </c>
      <c r="G40" s="34"/>
      <c r="H40" s="34"/>
      <c r="I40" s="13"/>
      <c r="J40" s="34"/>
      <c r="K40" s="13"/>
      <c r="L40" s="34"/>
      <c r="M40" s="12" t="s">
        <v>21</v>
      </c>
      <c r="N40" s="14" t="s">
        <v>23</v>
      </c>
      <c r="O40" s="10">
        <v>45964</v>
      </c>
      <c r="P40" s="36"/>
    </row>
    <row r="41" spans="1:16" ht="15" customHeight="1">
      <c r="A41" s="32">
        <v>540</v>
      </c>
      <c r="B41" s="10">
        <v>45964</v>
      </c>
      <c r="C41" s="11"/>
      <c r="D41" s="34">
        <v>1</v>
      </c>
      <c r="E41" s="34">
        <v>2</v>
      </c>
      <c r="F41" s="34">
        <v>2</v>
      </c>
      <c r="G41" s="34"/>
      <c r="H41" s="34"/>
      <c r="I41" s="13"/>
      <c r="J41" s="34"/>
      <c r="K41" s="13"/>
      <c r="L41" s="34"/>
      <c r="M41" s="12" t="s">
        <v>21</v>
      </c>
      <c r="N41" s="14" t="s">
        <v>23</v>
      </c>
      <c r="O41" s="10">
        <v>45964</v>
      </c>
      <c r="P41" s="36"/>
    </row>
    <row r="42" spans="1:16" ht="15" customHeight="1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>
      <c r="A45" s="32">
        <v>544</v>
      </c>
      <c r="B45" s="10">
        <v>45953</v>
      </c>
      <c r="C45" s="11"/>
      <c r="D45" s="34">
        <v>1</v>
      </c>
      <c r="E45" s="34">
        <v>1</v>
      </c>
      <c r="F45" s="34">
        <v>1</v>
      </c>
      <c r="G45" s="34"/>
      <c r="H45" s="34"/>
      <c r="I45" s="13"/>
      <c r="J45" s="34"/>
      <c r="K45" s="13"/>
      <c r="L45" s="34"/>
      <c r="M45" s="12" t="s">
        <v>21</v>
      </c>
      <c r="N45" s="14" t="s">
        <v>26</v>
      </c>
      <c r="O45" s="10">
        <v>45953</v>
      </c>
      <c r="P45" s="36"/>
    </row>
    <row r="46" spans="1:16" ht="15" customHeight="1">
      <c r="A46" s="33">
        <v>545</v>
      </c>
      <c r="B46" s="10">
        <v>45966</v>
      </c>
      <c r="C46" s="11"/>
      <c r="D46" s="35">
        <v>1</v>
      </c>
      <c r="E46" s="35">
        <v>2</v>
      </c>
      <c r="F46" s="35">
        <v>2</v>
      </c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>
      <c r="A47" s="32">
        <v>546</v>
      </c>
      <c r="B47" s="10">
        <v>45965</v>
      </c>
      <c r="C47" s="11"/>
      <c r="D47" s="34">
        <v>1</v>
      </c>
      <c r="E47" s="34">
        <v>2</v>
      </c>
      <c r="F47" s="34">
        <v>2</v>
      </c>
      <c r="G47" s="34"/>
      <c r="H47" s="34"/>
      <c r="I47" s="13"/>
      <c r="J47" s="34"/>
      <c r="K47" s="13"/>
      <c r="L47" s="34"/>
      <c r="M47" s="12" t="s">
        <v>21</v>
      </c>
      <c r="N47" s="14" t="s">
        <v>23</v>
      </c>
      <c r="O47" s="10">
        <v>45965</v>
      </c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>
      <c r="A50" s="32">
        <v>549</v>
      </c>
      <c r="B50" s="10">
        <v>45953</v>
      </c>
      <c r="C50" s="11"/>
      <c r="D50" s="34">
        <v>1</v>
      </c>
      <c r="E50" s="34">
        <v>1</v>
      </c>
      <c r="F50" s="34">
        <v>1</v>
      </c>
      <c r="G50" s="34"/>
      <c r="H50" s="34"/>
      <c r="I50" s="13"/>
      <c r="J50" s="34"/>
      <c r="K50" s="13"/>
      <c r="L50" s="34"/>
      <c r="M50" s="12" t="s">
        <v>21</v>
      </c>
      <c r="N50" s="14" t="s">
        <v>26</v>
      </c>
      <c r="O50" s="10">
        <v>45953</v>
      </c>
      <c r="P50" s="36"/>
    </row>
    <row r="51" spans="1:16" ht="15" customHeight="1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>
        <v>45958</v>
      </c>
      <c r="C53" s="11"/>
      <c r="D53" s="34">
        <v>1</v>
      </c>
      <c r="E53" s="34">
        <v>2</v>
      </c>
      <c r="F53" s="34">
        <v>1</v>
      </c>
      <c r="G53" s="34"/>
      <c r="H53" s="34"/>
      <c r="I53" s="13"/>
      <c r="J53" s="34"/>
      <c r="K53" s="13"/>
      <c r="L53" s="34"/>
      <c r="M53" s="12" t="s">
        <v>24</v>
      </c>
      <c r="N53" s="14" t="s">
        <v>23</v>
      </c>
      <c r="O53" s="10">
        <v>45958</v>
      </c>
      <c r="P53" s="36"/>
    </row>
    <row r="54" spans="1:16" ht="15" customHeight="1">
      <c r="A54" s="32">
        <v>553</v>
      </c>
      <c r="B54" s="10">
        <v>45948</v>
      </c>
      <c r="C54" s="11"/>
      <c r="D54" s="34">
        <v>1</v>
      </c>
      <c r="E54" s="34">
        <v>1</v>
      </c>
      <c r="F54" s="34">
        <v>1</v>
      </c>
      <c r="G54" s="34"/>
      <c r="H54" s="34"/>
      <c r="I54" s="13"/>
      <c r="J54" s="34"/>
      <c r="K54" s="13"/>
      <c r="L54" s="34"/>
      <c r="M54" s="12" t="s">
        <v>21</v>
      </c>
      <c r="N54" s="14" t="s">
        <v>22</v>
      </c>
      <c r="O54" s="10">
        <v>45948</v>
      </c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>
      <c r="A59" s="32">
        <v>558</v>
      </c>
      <c r="B59" s="10">
        <v>45966</v>
      </c>
      <c r="C59" s="11"/>
      <c r="D59" s="34">
        <v>1</v>
      </c>
      <c r="E59" s="34">
        <v>3</v>
      </c>
      <c r="F59" s="34">
        <v>3</v>
      </c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3">
        <v>559</v>
      </c>
      <c r="B60" s="10">
        <v>45965</v>
      </c>
      <c r="C60" s="11"/>
      <c r="D60" s="35">
        <v>1</v>
      </c>
      <c r="E60" s="35">
        <v>2</v>
      </c>
      <c r="F60" s="35">
        <v>2</v>
      </c>
      <c r="G60" s="35"/>
      <c r="H60" s="35"/>
      <c r="I60" s="26"/>
      <c r="J60" s="35"/>
      <c r="K60" s="26"/>
      <c r="L60" s="35"/>
      <c r="M60" s="25" t="s">
        <v>21</v>
      </c>
      <c r="N60" s="27" t="s">
        <v>23</v>
      </c>
      <c r="O60" s="10">
        <v>45965</v>
      </c>
      <c r="P60" s="37"/>
    </row>
    <row r="61" spans="1:16" ht="15" customHeight="1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22</v>
      </c>
      <c r="O61" s="10">
        <v>45946</v>
      </c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>
      <c r="A64" s="32">
        <v>563</v>
      </c>
      <c r="B64" s="10">
        <v>45965</v>
      </c>
      <c r="C64" s="11"/>
      <c r="D64" s="34">
        <v>1</v>
      </c>
      <c r="E64" s="34">
        <v>4</v>
      </c>
      <c r="F64" s="34">
        <v>4</v>
      </c>
      <c r="G64" s="34"/>
      <c r="H64" s="34"/>
      <c r="I64" s="13"/>
      <c r="J64" s="34"/>
      <c r="K64" s="13"/>
      <c r="L64" s="34"/>
      <c r="M64" s="12" t="s">
        <v>21</v>
      </c>
      <c r="N64" s="14" t="s">
        <v>23</v>
      </c>
      <c r="O64" s="10">
        <v>45965</v>
      </c>
      <c r="P64" s="36"/>
    </row>
    <row r="65" spans="1:16" ht="15" customHeight="1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>
      <c r="A68" s="33">
        <v>567</v>
      </c>
      <c r="B68" s="10">
        <v>45958</v>
      </c>
      <c r="C68" s="11"/>
      <c r="D68" s="35">
        <v>1</v>
      </c>
      <c r="E68" s="35">
        <v>2</v>
      </c>
      <c r="F68" s="35">
        <v>1</v>
      </c>
      <c r="G68" s="35"/>
      <c r="H68" s="35"/>
      <c r="I68" s="26"/>
      <c r="J68" s="35"/>
      <c r="K68" s="26"/>
      <c r="L68" s="35"/>
      <c r="M68" s="25" t="s">
        <v>24</v>
      </c>
      <c r="N68" s="27" t="s">
        <v>23</v>
      </c>
      <c r="O68" s="10">
        <v>45958</v>
      </c>
      <c r="P68" s="37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>
      <c r="A71" s="32">
        <v>570</v>
      </c>
      <c r="B71" s="10">
        <v>45949</v>
      </c>
      <c r="C71" s="11"/>
      <c r="D71" s="34">
        <v>1</v>
      </c>
      <c r="E71" s="34">
        <v>1</v>
      </c>
      <c r="F71" s="34">
        <v>1</v>
      </c>
      <c r="G71" s="34"/>
      <c r="H71" s="34"/>
      <c r="I71" s="13"/>
      <c r="J71" s="34"/>
      <c r="K71" s="13"/>
      <c r="L71" s="34"/>
      <c r="M71" s="12" t="s">
        <v>21</v>
      </c>
      <c r="N71" s="14" t="s">
        <v>25</v>
      </c>
      <c r="O71" s="10">
        <v>45949</v>
      </c>
      <c r="P71" s="36"/>
    </row>
    <row r="72" spans="1:16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>
      <c r="A73" s="32">
        <v>572</v>
      </c>
      <c r="B73" s="10">
        <v>45949</v>
      </c>
      <c r="C73" s="11"/>
      <c r="D73" s="34">
        <v>1</v>
      </c>
      <c r="E73" s="34">
        <v>1</v>
      </c>
      <c r="F73" s="34">
        <v>1</v>
      </c>
      <c r="G73" s="34"/>
      <c r="H73" s="34"/>
      <c r="I73" s="13"/>
      <c r="J73" s="34"/>
      <c r="K73" s="13"/>
      <c r="L73" s="34"/>
      <c r="M73" s="12" t="s">
        <v>21</v>
      </c>
      <c r="N73" s="14" t="s">
        <v>27</v>
      </c>
      <c r="O73" s="10">
        <v>45949</v>
      </c>
      <c r="P73" s="36"/>
    </row>
    <row r="74" spans="1:16">
      <c r="A74" s="33">
        <v>573</v>
      </c>
      <c r="B74" s="10">
        <v>45963</v>
      </c>
      <c r="C74" s="11"/>
      <c r="D74" s="35">
        <v>1</v>
      </c>
      <c r="E74" s="35">
        <v>2</v>
      </c>
      <c r="F74" s="35">
        <v>2</v>
      </c>
      <c r="G74" s="35"/>
      <c r="H74" s="35"/>
      <c r="I74" s="26"/>
      <c r="J74" s="35"/>
      <c r="K74" s="26"/>
      <c r="L74" s="35"/>
      <c r="M74" s="25" t="s">
        <v>21</v>
      </c>
      <c r="N74" s="27" t="s">
        <v>23</v>
      </c>
      <c r="O74" s="10">
        <v>45963</v>
      </c>
      <c r="P74" s="37"/>
    </row>
    <row r="75" spans="1:16">
      <c r="A75" s="32">
        <v>574</v>
      </c>
      <c r="B75" s="10">
        <v>45959</v>
      </c>
      <c r="C75" s="11"/>
      <c r="D75" s="34">
        <v>1</v>
      </c>
      <c r="E75" s="34">
        <v>1</v>
      </c>
      <c r="F75" s="34">
        <v>1</v>
      </c>
      <c r="G75" s="34"/>
      <c r="H75" s="34"/>
      <c r="I75" s="13"/>
      <c r="J75" s="34"/>
      <c r="K75" s="13"/>
      <c r="L75" s="34"/>
      <c r="M75" s="12" t="s">
        <v>24</v>
      </c>
      <c r="N75" s="14" t="s">
        <v>23</v>
      </c>
      <c r="O75" s="10">
        <v>45959</v>
      </c>
      <c r="P75" s="36"/>
    </row>
    <row r="76" spans="1:16">
      <c r="A76" s="32">
        <v>575</v>
      </c>
      <c r="B76" s="10">
        <v>45965</v>
      </c>
      <c r="C76" s="11"/>
      <c r="D76" s="34">
        <v>1</v>
      </c>
      <c r="E76" s="34">
        <v>2</v>
      </c>
      <c r="F76" s="34">
        <v>2</v>
      </c>
      <c r="G76" s="34"/>
      <c r="H76" s="34"/>
      <c r="I76" s="13"/>
      <c r="J76" s="34"/>
      <c r="K76" s="13"/>
      <c r="L76" s="34"/>
      <c r="M76" s="12" t="s">
        <v>21</v>
      </c>
      <c r="N76" s="14" t="s">
        <v>23</v>
      </c>
      <c r="O76" s="10">
        <v>45965</v>
      </c>
      <c r="P76" s="36"/>
    </row>
    <row r="77" spans="1:16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>
      <c r="A79" s="33">
        <v>578</v>
      </c>
      <c r="B79" s="10">
        <v>45963</v>
      </c>
      <c r="C79" s="11"/>
      <c r="D79" s="35">
        <v>1</v>
      </c>
      <c r="E79" s="35">
        <v>3</v>
      </c>
      <c r="F79" s="35">
        <v>3</v>
      </c>
      <c r="G79" s="35"/>
      <c r="H79" s="35"/>
      <c r="I79" s="26"/>
      <c r="J79" s="35"/>
      <c r="K79" s="26"/>
      <c r="L79" s="35"/>
      <c r="M79" s="25" t="s">
        <v>21</v>
      </c>
      <c r="N79" s="27" t="s">
        <v>23</v>
      </c>
      <c r="O79" s="10">
        <v>45963</v>
      </c>
      <c r="P79" s="37"/>
    </row>
    <row r="80" spans="1:16">
      <c r="A80" s="32">
        <v>579</v>
      </c>
      <c r="B80" s="10">
        <v>45954</v>
      </c>
      <c r="C80" s="11"/>
      <c r="D80" s="34">
        <v>1</v>
      </c>
      <c r="E80" s="34">
        <v>1</v>
      </c>
      <c r="F80" s="34">
        <v>1</v>
      </c>
      <c r="G80" s="34"/>
      <c r="H80" s="34"/>
      <c r="I80" s="13"/>
      <c r="J80" s="34"/>
      <c r="K80" s="13"/>
      <c r="L80" s="34"/>
      <c r="M80" s="12" t="s">
        <v>21</v>
      </c>
      <c r="N80" s="14" t="s">
        <v>26</v>
      </c>
      <c r="O80" s="10">
        <v>45954</v>
      </c>
      <c r="P80" s="36"/>
    </row>
    <row r="81" spans="1:16">
      <c r="A81" s="33">
        <v>580</v>
      </c>
      <c r="B81" s="10">
        <v>45952</v>
      </c>
      <c r="C81" s="11"/>
      <c r="D81" s="35">
        <v>1</v>
      </c>
      <c r="E81" s="35">
        <v>1</v>
      </c>
      <c r="F81" s="35">
        <v>1</v>
      </c>
      <c r="G81" s="35"/>
      <c r="H81" s="35"/>
      <c r="I81" s="26"/>
      <c r="J81" s="35"/>
      <c r="K81" s="26"/>
      <c r="L81" s="35"/>
      <c r="M81" s="25" t="s">
        <v>21</v>
      </c>
      <c r="N81" s="27" t="s">
        <v>22</v>
      </c>
      <c r="O81" s="10">
        <v>45952</v>
      </c>
      <c r="P81" s="37"/>
    </row>
    <row r="82" spans="1:16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>
      <c r="A83" s="32">
        <v>582</v>
      </c>
      <c r="B83" s="10">
        <v>45947</v>
      </c>
      <c r="C83" s="11"/>
      <c r="D83" s="34">
        <v>1</v>
      </c>
      <c r="E83" s="34">
        <v>4</v>
      </c>
      <c r="F83" s="34">
        <v>4</v>
      </c>
      <c r="G83" s="34"/>
      <c r="H83" s="34"/>
      <c r="I83" s="13"/>
      <c r="J83" s="34"/>
      <c r="K83" s="13"/>
      <c r="L83" s="34"/>
      <c r="M83" s="12" t="s">
        <v>21</v>
      </c>
      <c r="N83" s="14" t="s">
        <v>27</v>
      </c>
      <c r="O83" s="10">
        <v>45947</v>
      </c>
      <c r="P83" s="36"/>
    </row>
    <row r="84" spans="1:16">
      <c r="A84" s="33">
        <v>583</v>
      </c>
      <c r="B84" s="10">
        <v>45965</v>
      </c>
      <c r="C84" s="11"/>
      <c r="D84" s="35">
        <v>1</v>
      </c>
      <c r="E84" s="35">
        <v>2</v>
      </c>
      <c r="F84" s="35">
        <v>2</v>
      </c>
      <c r="G84" s="35"/>
      <c r="H84" s="35"/>
      <c r="I84" s="26"/>
      <c r="J84" s="35"/>
      <c r="K84" s="26"/>
      <c r="L84" s="35"/>
      <c r="M84" s="25" t="s">
        <v>21</v>
      </c>
      <c r="N84" s="27" t="s">
        <v>23</v>
      </c>
      <c r="O84" s="10">
        <v>45965</v>
      </c>
      <c r="P84" s="37"/>
    </row>
    <row r="85" spans="1:16">
      <c r="A85" s="32">
        <v>584</v>
      </c>
      <c r="B85" s="10">
        <v>45965</v>
      </c>
      <c r="C85" s="11"/>
      <c r="D85" s="34">
        <v>1</v>
      </c>
      <c r="E85" s="34">
        <v>2</v>
      </c>
      <c r="F85" s="34">
        <v>2</v>
      </c>
      <c r="G85" s="34"/>
      <c r="H85" s="34"/>
      <c r="I85" s="13"/>
      <c r="J85" s="34"/>
      <c r="K85" s="13"/>
      <c r="L85" s="34"/>
      <c r="M85" s="12" t="s">
        <v>21</v>
      </c>
      <c r="N85" s="14" t="s">
        <v>23</v>
      </c>
      <c r="O85" s="10">
        <v>45965</v>
      </c>
      <c r="P85" s="36"/>
    </row>
    <row r="86" spans="1:16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>
        <v>45965</v>
      </c>
      <c r="C87" s="11"/>
      <c r="D87" s="34">
        <v>1</v>
      </c>
      <c r="E87" s="34">
        <v>2</v>
      </c>
      <c r="F87" s="34">
        <v>2</v>
      </c>
      <c r="G87" s="34"/>
      <c r="H87" s="34"/>
      <c r="I87" s="13"/>
      <c r="J87" s="34"/>
      <c r="K87" s="13"/>
      <c r="L87" s="34"/>
      <c r="M87" s="12" t="s">
        <v>21</v>
      </c>
      <c r="N87" s="14" t="s">
        <v>23</v>
      </c>
      <c r="O87" s="10">
        <v>45965</v>
      </c>
      <c r="P87" s="36"/>
    </row>
    <row r="88" spans="1:16">
      <c r="A88" s="33">
        <v>587</v>
      </c>
      <c r="B88" s="10">
        <v>45958</v>
      </c>
      <c r="C88" s="11"/>
      <c r="D88" s="35">
        <v>1</v>
      </c>
      <c r="E88" s="35">
        <v>2</v>
      </c>
      <c r="F88" s="35">
        <v>1</v>
      </c>
      <c r="G88" s="35"/>
      <c r="H88" s="35"/>
      <c r="I88" s="26"/>
      <c r="J88" s="35"/>
      <c r="K88" s="26"/>
      <c r="L88" s="35"/>
      <c r="M88" s="25" t="s">
        <v>24</v>
      </c>
      <c r="N88" s="27" t="s">
        <v>23</v>
      </c>
      <c r="O88" s="10">
        <v>45958</v>
      </c>
      <c r="P88" s="37"/>
    </row>
    <row r="89" spans="1:16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>
        <v>45965</v>
      </c>
      <c r="C92" s="11"/>
      <c r="D92" s="34">
        <v>1</v>
      </c>
      <c r="E92" s="34">
        <v>2</v>
      </c>
      <c r="F92" s="34">
        <v>2</v>
      </c>
      <c r="G92" s="34"/>
      <c r="H92" s="34"/>
      <c r="I92" s="13"/>
      <c r="J92" s="34"/>
      <c r="K92" s="13"/>
      <c r="L92" s="34"/>
      <c r="M92" s="12" t="s">
        <v>21</v>
      </c>
      <c r="N92" s="14" t="s">
        <v>23</v>
      </c>
      <c r="O92" s="10">
        <v>45965</v>
      </c>
      <c r="P92" s="36"/>
    </row>
    <row r="93" spans="1:16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>
        <v>45959</v>
      </c>
      <c r="C96" s="11"/>
      <c r="D96" s="34">
        <v>1</v>
      </c>
      <c r="E96" s="34">
        <v>1</v>
      </c>
      <c r="F96" s="34">
        <v>1</v>
      </c>
      <c r="G96" s="34"/>
      <c r="H96" s="34"/>
      <c r="I96" s="13"/>
      <c r="J96" s="34"/>
      <c r="K96" s="13"/>
      <c r="L96" s="34"/>
      <c r="M96" s="12" t="s">
        <v>24</v>
      </c>
      <c r="N96" s="14" t="s">
        <v>23</v>
      </c>
      <c r="O96" s="10">
        <v>45959</v>
      </c>
      <c r="P96" s="36"/>
    </row>
    <row r="97" spans="1:16">
      <c r="A97" s="32">
        <v>596</v>
      </c>
      <c r="B97" s="10">
        <v>45964</v>
      </c>
      <c r="C97" s="11"/>
      <c r="D97" s="34">
        <v>1</v>
      </c>
      <c r="E97" s="34">
        <v>1</v>
      </c>
      <c r="F97" s="34">
        <v>1</v>
      </c>
      <c r="G97" s="34"/>
      <c r="H97" s="34"/>
      <c r="I97" s="13"/>
      <c r="J97" s="34"/>
      <c r="K97" s="13"/>
      <c r="L97" s="34"/>
      <c r="M97" s="12" t="s">
        <v>21</v>
      </c>
      <c r="N97" s="14" t="s">
        <v>23</v>
      </c>
      <c r="O97" s="10">
        <v>45964</v>
      </c>
      <c r="P97" s="36"/>
    </row>
    <row r="98" spans="1:16">
      <c r="A98" s="33">
        <v>597</v>
      </c>
      <c r="B98" s="10">
        <v>45966</v>
      </c>
      <c r="C98" s="11"/>
      <c r="D98" s="35">
        <v>1</v>
      </c>
      <c r="E98" s="35">
        <v>6</v>
      </c>
      <c r="F98" s="35">
        <v>6</v>
      </c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>
        <v>45965</v>
      </c>
      <c r="C103" s="11"/>
      <c r="D103" s="34">
        <v>1</v>
      </c>
      <c r="E103" s="34">
        <v>1</v>
      </c>
      <c r="F103" s="34">
        <v>1</v>
      </c>
      <c r="G103" s="34"/>
      <c r="H103" s="34"/>
      <c r="I103" s="13"/>
      <c r="J103" s="34"/>
      <c r="K103" s="13"/>
      <c r="L103" s="34"/>
      <c r="M103" s="12" t="s">
        <v>21</v>
      </c>
      <c r="N103" s="14" t="s">
        <v>23</v>
      </c>
      <c r="O103" s="10">
        <v>45965</v>
      </c>
      <c r="P103" s="36"/>
    </row>
    <row r="104" spans="1:16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>
      <c r="A107" s="33">
        <v>606</v>
      </c>
      <c r="B107" s="10">
        <v>45955</v>
      </c>
      <c r="C107" s="11"/>
      <c r="D107" s="35">
        <v>1</v>
      </c>
      <c r="E107" s="35">
        <v>1</v>
      </c>
      <c r="F107" s="35">
        <v>1</v>
      </c>
      <c r="G107" s="35"/>
      <c r="H107" s="35"/>
      <c r="I107" s="26"/>
      <c r="J107" s="35"/>
      <c r="K107" s="26"/>
      <c r="L107" s="35"/>
      <c r="M107" s="25" t="s">
        <v>21</v>
      </c>
      <c r="N107" s="27" t="s">
        <v>28</v>
      </c>
      <c r="O107" s="10">
        <v>45955</v>
      </c>
      <c r="P107" s="37"/>
    </row>
    <row r="108" spans="1:16">
      <c r="A108" s="32">
        <v>607</v>
      </c>
      <c r="B108" s="10">
        <v>45964</v>
      </c>
      <c r="C108" s="11"/>
      <c r="D108" s="34">
        <v>1</v>
      </c>
      <c r="E108" s="34">
        <v>3</v>
      </c>
      <c r="F108" s="34">
        <v>3</v>
      </c>
      <c r="G108" s="34"/>
      <c r="H108" s="34"/>
      <c r="I108" s="13"/>
      <c r="J108" s="34"/>
      <c r="K108" s="13"/>
      <c r="L108" s="34"/>
      <c r="M108" s="12" t="s">
        <v>21</v>
      </c>
      <c r="N108" s="14" t="s">
        <v>23</v>
      </c>
      <c r="O108" s="10">
        <v>45964</v>
      </c>
      <c r="P108" s="36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2">
        <v>609</v>
      </c>
      <c r="B110" s="10">
        <v>45950</v>
      </c>
      <c r="C110" s="11"/>
      <c r="D110" s="34">
        <v>1</v>
      </c>
      <c r="E110" s="34">
        <v>2</v>
      </c>
      <c r="F110" s="34">
        <v>2</v>
      </c>
      <c r="G110" s="34"/>
      <c r="H110" s="34"/>
      <c r="I110" s="13"/>
      <c r="J110" s="34"/>
      <c r="K110" s="13"/>
      <c r="L110" s="34"/>
      <c r="M110" s="12" t="s">
        <v>21</v>
      </c>
      <c r="N110" s="14" t="s">
        <v>25</v>
      </c>
      <c r="O110" s="10">
        <v>45950</v>
      </c>
      <c r="P110" s="36"/>
    </row>
    <row r="111" spans="1:16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2">
        <v>612</v>
      </c>
      <c r="B113" s="10">
        <v>45965</v>
      </c>
      <c r="C113" s="11"/>
      <c r="D113" s="34">
        <v>1</v>
      </c>
      <c r="E113" s="34">
        <v>9</v>
      </c>
      <c r="F113" s="34">
        <v>9</v>
      </c>
      <c r="G113" s="34"/>
      <c r="H113" s="34"/>
      <c r="I113" s="13"/>
      <c r="J113" s="34"/>
      <c r="K113" s="13"/>
      <c r="L113" s="34"/>
      <c r="M113" s="12" t="s">
        <v>21</v>
      </c>
      <c r="N113" s="14" t="s">
        <v>23</v>
      </c>
      <c r="O113" s="10">
        <v>45965</v>
      </c>
      <c r="P113" s="36"/>
    </row>
    <row r="114" spans="1:16">
      <c r="A114" s="33">
        <v>613</v>
      </c>
      <c r="B114" s="10">
        <v>45963</v>
      </c>
      <c r="C114" s="11"/>
      <c r="D114" s="35">
        <v>1</v>
      </c>
      <c r="E114" s="35">
        <v>1</v>
      </c>
      <c r="F114" s="35">
        <v>1</v>
      </c>
      <c r="G114" s="35"/>
      <c r="H114" s="35"/>
      <c r="I114" s="26"/>
      <c r="J114" s="35"/>
      <c r="K114" s="26"/>
      <c r="L114" s="35"/>
      <c r="M114" s="25" t="s">
        <v>21</v>
      </c>
      <c r="N114" s="27" t="s">
        <v>23</v>
      </c>
      <c r="O114" s="10">
        <v>45963</v>
      </c>
      <c r="P114" s="37"/>
    </row>
    <row r="115" spans="1:16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>
      <c r="A116" s="33">
        <v>615</v>
      </c>
      <c r="B116" s="10">
        <v>45963</v>
      </c>
      <c r="C116" s="11"/>
      <c r="D116" s="35">
        <v>1</v>
      </c>
      <c r="E116" s="35">
        <v>2</v>
      </c>
      <c r="F116" s="35">
        <v>2</v>
      </c>
      <c r="G116" s="35"/>
      <c r="H116" s="35"/>
      <c r="I116" s="26"/>
      <c r="J116" s="35"/>
      <c r="K116" s="26"/>
      <c r="L116" s="35"/>
      <c r="M116" s="25" t="s">
        <v>21</v>
      </c>
      <c r="N116" s="27" t="s">
        <v>23</v>
      </c>
      <c r="O116" s="10">
        <v>45963</v>
      </c>
      <c r="P116" s="37"/>
    </row>
    <row r="117" spans="1:16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>
      <c r="A118" s="32">
        <v>617</v>
      </c>
      <c r="B118" s="10">
        <v>45964</v>
      </c>
      <c r="C118" s="11"/>
      <c r="D118" s="34">
        <v>1</v>
      </c>
      <c r="E118" s="34">
        <v>2</v>
      </c>
      <c r="F118" s="34">
        <v>2</v>
      </c>
      <c r="G118" s="34"/>
      <c r="H118" s="34"/>
      <c r="I118" s="13"/>
      <c r="J118" s="34"/>
      <c r="K118" s="13"/>
      <c r="L118" s="34"/>
      <c r="M118" s="12" t="s">
        <v>21</v>
      </c>
      <c r="N118" s="14" t="s">
        <v>23</v>
      </c>
      <c r="O118" s="10">
        <v>45964</v>
      </c>
      <c r="P118" s="36"/>
    </row>
    <row r="119" spans="1:16">
      <c r="A119" s="33">
        <v>618</v>
      </c>
      <c r="B119" s="10">
        <v>45965</v>
      </c>
      <c r="C119" s="11"/>
      <c r="D119" s="35">
        <v>1</v>
      </c>
      <c r="E119" s="35">
        <v>2</v>
      </c>
      <c r="F119" s="35">
        <v>2</v>
      </c>
      <c r="G119" s="35"/>
      <c r="H119" s="35"/>
      <c r="I119" s="26"/>
      <c r="J119" s="35"/>
      <c r="K119" s="26"/>
      <c r="L119" s="35"/>
      <c r="M119" s="25" t="s">
        <v>21</v>
      </c>
      <c r="N119" s="27" t="s">
        <v>23</v>
      </c>
      <c r="O119" s="10">
        <v>45965</v>
      </c>
      <c r="P119" s="37"/>
    </row>
    <row r="120" spans="1:16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>
      <c r="A121" s="33">
        <v>620</v>
      </c>
      <c r="B121" s="10">
        <v>45963</v>
      </c>
      <c r="C121" s="11"/>
      <c r="D121" s="35">
        <v>1</v>
      </c>
      <c r="E121" s="35">
        <v>3</v>
      </c>
      <c r="F121" s="35">
        <v>3</v>
      </c>
      <c r="G121" s="35"/>
      <c r="H121" s="35"/>
      <c r="I121" s="26"/>
      <c r="J121" s="35"/>
      <c r="K121" s="26"/>
      <c r="L121" s="35"/>
      <c r="M121" s="25" t="s">
        <v>21</v>
      </c>
      <c r="N121" s="27" t="s">
        <v>23</v>
      </c>
      <c r="O121" s="10">
        <v>45963</v>
      </c>
      <c r="P121" s="37"/>
    </row>
    <row r="122" spans="1:16">
      <c r="A122" s="32">
        <v>621</v>
      </c>
      <c r="B122" s="10">
        <v>45965</v>
      </c>
      <c r="C122" s="11"/>
      <c r="D122" s="34">
        <v>1</v>
      </c>
      <c r="E122" s="34">
        <v>2</v>
      </c>
      <c r="F122" s="34">
        <v>2</v>
      </c>
      <c r="G122" s="34"/>
      <c r="H122" s="34"/>
      <c r="I122" s="13"/>
      <c r="J122" s="34"/>
      <c r="K122" s="13"/>
      <c r="L122" s="34"/>
      <c r="M122" s="12" t="s">
        <v>21</v>
      </c>
      <c r="N122" s="14" t="s">
        <v>23</v>
      </c>
      <c r="O122" s="10">
        <v>45965</v>
      </c>
      <c r="P122" s="36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2">
        <v>626</v>
      </c>
      <c r="B127" s="10">
        <v>45953</v>
      </c>
      <c r="C127" s="11"/>
      <c r="D127" s="35">
        <v>1</v>
      </c>
      <c r="E127" s="35">
        <v>1</v>
      </c>
      <c r="F127" s="35">
        <v>1</v>
      </c>
      <c r="G127" s="35"/>
      <c r="H127" s="35"/>
      <c r="I127" s="26"/>
      <c r="J127" s="35"/>
      <c r="K127" s="26"/>
      <c r="L127" s="35"/>
      <c r="M127" s="25" t="s">
        <v>21</v>
      </c>
      <c r="N127" s="27" t="s">
        <v>25</v>
      </c>
      <c r="O127" s="10">
        <v>45953</v>
      </c>
      <c r="P127" s="37"/>
    </row>
    <row r="128" spans="1:16">
      <c r="A128" s="33">
        <v>627</v>
      </c>
      <c r="B128" s="10">
        <v>45953</v>
      </c>
      <c r="C128" s="11"/>
      <c r="D128" s="35">
        <v>1</v>
      </c>
      <c r="E128" s="35">
        <v>1</v>
      </c>
      <c r="F128" s="35">
        <v>1</v>
      </c>
      <c r="G128" s="35"/>
      <c r="H128" s="35"/>
      <c r="I128" s="26"/>
      <c r="J128" s="35"/>
      <c r="K128" s="26"/>
      <c r="L128" s="35"/>
      <c r="M128" s="25" t="s">
        <v>21</v>
      </c>
      <c r="N128" s="27" t="s">
        <v>25</v>
      </c>
      <c r="O128" s="10">
        <v>45953</v>
      </c>
      <c r="P128" s="37"/>
    </row>
    <row r="129" spans="1:16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25</v>
      </c>
      <c r="O129" s="10">
        <v>45946</v>
      </c>
      <c r="P129" s="37"/>
    </row>
    <row r="130" spans="1:16">
      <c r="A130" s="33">
        <v>629</v>
      </c>
      <c r="B130" s="10">
        <v>45948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22</v>
      </c>
      <c r="O130" s="10">
        <v>45948</v>
      </c>
      <c r="P130" s="37"/>
    </row>
    <row r="131" spans="1:16">
      <c r="A131" s="32">
        <v>630</v>
      </c>
      <c r="B131" s="10">
        <v>45966</v>
      </c>
      <c r="C131" s="11"/>
      <c r="D131" s="35">
        <v>1</v>
      </c>
      <c r="E131" s="35">
        <v>7</v>
      </c>
      <c r="F131" s="35">
        <v>7</v>
      </c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2">
        <v>637</v>
      </c>
      <c r="B138" s="10">
        <v>45955</v>
      </c>
      <c r="C138" s="11"/>
      <c r="D138" s="35">
        <v>1</v>
      </c>
      <c r="E138" s="35">
        <v>1</v>
      </c>
      <c r="F138" s="35">
        <v>1</v>
      </c>
      <c r="G138" s="35"/>
      <c r="H138" s="35"/>
      <c r="I138" s="26"/>
      <c r="J138" s="35"/>
      <c r="K138" s="26"/>
      <c r="L138" s="35"/>
      <c r="M138" s="25" t="s">
        <v>21</v>
      </c>
      <c r="N138" s="27" t="s">
        <v>22</v>
      </c>
      <c r="O138" s="10">
        <v>45955</v>
      </c>
      <c r="P138" s="37"/>
    </row>
    <row r="139" spans="1:16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>
        <v>45965</v>
      </c>
      <c r="C140" s="11"/>
      <c r="D140" s="35">
        <v>1</v>
      </c>
      <c r="E140" s="35">
        <v>3</v>
      </c>
      <c r="F140" s="35">
        <v>3</v>
      </c>
      <c r="G140" s="35"/>
      <c r="H140" s="35"/>
      <c r="I140" s="26"/>
      <c r="J140" s="35"/>
      <c r="K140" s="26"/>
      <c r="L140" s="35"/>
      <c r="M140" s="25" t="s">
        <v>21</v>
      </c>
      <c r="N140" s="27" t="s">
        <v>23</v>
      </c>
      <c r="O140" s="10">
        <v>45965</v>
      </c>
      <c r="P140" s="37"/>
    </row>
    <row r="141" spans="1:16">
      <c r="A141" s="32">
        <v>640</v>
      </c>
      <c r="B141" s="10">
        <v>45955</v>
      </c>
      <c r="C141" s="11"/>
      <c r="D141" s="35">
        <v>1</v>
      </c>
      <c r="E141" s="35">
        <v>1</v>
      </c>
      <c r="F141" s="35">
        <v>1</v>
      </c>
      <c r="G141" s="35"/>
      <c r="H141" s="35"/>
      <c r="I141" s="26"/>
      <c r="J141" s="35"/>
      <c r="K141" s="26"/>
      <c r="L141" s="35"/>
      <c r="M141" s="25" t="s">
        <v>21</v>
      </c>
      <c r="N141" s="27" t="s">
        <v>28</v>
      </c>
      <c r="O141" s="10">
        <v>45955</v>
      </c>
      <c r="P141" s="37"/>
    </row>
    <row r="142" spans="1:16">
      <c r="A142" s="33">
        <v>641</v>
      </c>
      <c r="B142" s="10">
        <v>45966</v>
      </c>
      <c r="C142" s="11"/>
      <c r="D142" s="35">
        <v>1</v>
      </c>
      <c r="E142" s="35">
        <v>6</v>
      </c>
      <c r="F142" s="35">
        <v>6</v>
      </c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2">
        <v>642</v>
      </c>
      <c r="B143" s="10">
        <v>45958</v>
      </c>
      <c r="C143" s="11"/>
      <c r="D143" s="35">
        <v>1</v>
      </c>
      <c r="E143" s="35">
        <v>2</v>
      </c>
      <c r="F143" s="35">
        <v>1</v>
      </c>
      <c r="G143" s="35"/>
      <c r="H143" s="35"/>
      <c r="I143" s="26"/>
      <c r="J143" s="35"/>
      <c r="K143" s="26"/>
      <c r="L143" s="35"/>
      <c r="M143" s="25" t="s">
        <v>24</v>
      </c>
      <c r="N143" s="27" t="s">
        <v>23</v>
      </c>
      <c r="O143" s="10">
        <v>45958</v>
      </c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2">
        <v>644</v>
      </c>
      <c r="B145" s="10">
        <v>45963</v>
      </c>
      <c r="C145" s="11"/>
      <c r="D145" s="35">
        <v>1</v>
      </c>
      <c r="E145" s="35">
        <v>2</v>
      </c>
      <c r="F145" s="35">
        <v>2</v>
      </c>
      <c r="G145" s="35"/>
      <c r="H145" s="35"/>
      <c r="I145" s="26"/>
      <c r="J145" s="35"/>
      <c r="K145" s="26"/>
      <c r="L145" s="35"/>
      <c r="M145" s="25" t="s">
        <v>21</v>
      </c>
      <c r="N145" s="27" t="s">
        <v>23</v>
      </c>
      <c r="O145" s="10">
        <v>45963</v>
      </c>
      <c r="P145" s="37"/>
    </row>
    <row r="146" spans="1:16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23</v>
      </c>
      <c r="O146" s="10">
        <v>45946</v>
      </c>
      <c r="P146" s="37"/>
    </row>
    <row r="147" spans="1:16">
      <c r="A147" s="33">
        <v>646</v>
      </c>
      <c r="B147" s="10">
        <v>45959</v>
      </c>
      <c r="C147" s="11"/>
      <c r="D147" s="35">
        <v>1</v>
      </c>
      <c r="E147" s="35">
        <v>4</v>
      </c>
      <c r="F147" s="35">
        <v>4</v>
      </c>
      <c r="G147" s="35"/>
      <c r="H147" s="35"/>
      <c r="I147" s="26"/>
      <c r="J147" s="35"/>
      <c r="K147" s="26"/>
      <c r="L147" s="35"/>
      <c r="M147" s="25" t="s">
        <v>24</v>
      </c>
      <c r="N147" s="27" t="s">
        <v>23</v>
      </c>
      <c r="O147" s="10">
        <v>45959</v>
      </c>
      <c r="P147" s="37"/>
    </row>
    <row r="148" spans="1:16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23</v>
      </c>
      <c r="O152" s="10">
        <v>45946</v>
      </c>
      <c r="P152" s="37"/>
    </row>
    <row r="153" spans="1:16">
      <c r="A153" s="31">
        <v>652</v>
      </c>
      <c r="B153" s="10">
        <v>45949</v>
      </c>
      <c r="C153" s="11"/>
      <c r="D153" s="34">
        <v>1</v>
      </c>
      <c r="E153" s="34">
        <v>1</v>
      </c>
      <c r="F153" s="34">
        <v>1</v>
      </c>
      <c r="G153" s="34"/>
      <c r="H153" s="34"/>
      <c r="I153" s="13"/>
      <c r="J153" s="34"/>
      <c r="K153" s="13"/>
      <c r="L153" s="34"/>
      <c r="M153" s="12" t="s">
        <v>21</v>
      </c>
      <c r="N153" s="14" t="s">
        <v>27</v>
      </c>
      <c r="O153" s="10">
        <v>45949</v>
      </c>
      <c r="P153" s="36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2">
        <v>654</v>
      </c>
      <c r="B155" s="10">
        <v>45965</v>
      </c>
      <c r="C155" s="11"/>
      <c r="D155" s="35">
        <v>1</v>
      </c>
      <c r="E155" s="35">
        <v>2</v>
      </c>
      <c r="F155" s="35">
        <v>2</v>
      </c>
      <c r="G155" s="35"/>
      <c r="H155" s="35"/>
      <c r="I155" s="26"/>
      <c r="J155" s="35"/>
      <c r="K155" s="26"/>
      <c r="L155" s="35"/>
      <c r="M155" s="25" t="s">
        <v>21</v>
      </c>
      <c r="N155" s="27" t="s">
        <v>23</v>
      </c>
      <c r="O155" s="10">
        <v>45965</v>
      </c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2">
        <v>658</v>
      </c>
      <c r="B159" s="10">
        <v>45965</v>
      </c>
      <c r="C159" s="11"/>
      <c r="D159" s="35">
        <v>1</v>
      </c>
      <c r="E159" s="35">
        <v>2</v>
      </c>
      <c r="F159" s="35">
        <v>2</v>
      </c>
      <c r="G159" s="35"/>
      <c r="H159" s="35"/>
      <c r="I159" s="26"/>
      <c r="J159" s="35"/>
      <c r="K159" s="26"/>
      <c r="L159" s="35"/>
      <c r="M159" s="25" t="s">
        <v>21</v>
      </c>
      <c r="N159" s="27" t="s">
        <v>23</v>
      </c>
      <c r="O159" s="10">
        <v>45965</v>
      </c>
      <c r="P159" s="37"/>
    </row>
    <row r="160" spans="1:16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>
        <v>45963</v>
      </c>
      <c r="C161" s="11"/>
      <c r="D161" s="35">
        <v>1</v>
      </c>
      <c r="E161" s="35">
        <v>1</v>
      </c>
      <c r="F161" s="35">
        <v>1</v>
      </c>
      <c r="G161" s="35"/>
      <c r="H161" s="35"/>
      <c r="I161" s="26"/>
      <c r="J161" s="35"/>
      <c r="K161" s="26"/>
      <c r="L161" s="35"/>
      <c r="M161" s="25" t="s">
        <v>21</v>
      </c>
      <c r="N161" s="27" t="s">
        <v>23</v>
      </c>
      <c r="O161" s="10">
        <v>45963</v>
      </c>
      <c r="P161" s="37"/>
    </row>
    <row r="162" spans="1:16">
      <c r="A162" s="32">
        <v>661</v>
      </c>
      <c r="B162" s="10">
        <v>45958</v>
      </c>
      <c r="C162" s="11"/>
      <c r="D162" s="35">
        <v>1</v>
      </c>
      <c r="E162" s="35">
        <v>1</v>
      </c>
      <c r="F162" s="35">
        <v>1</v>
      </c>
      <c r="G162" s="35"/>
      <c r="H162" s="35"/>
      <c r="I162" s="26"/>
      <c r="J162" s="35"/>
      <c r="K162" s="26"/>
      <c r="L162" s="35"/>
      <c r="M162" s="25" t="s">
        <v>24</v>
      </c>
      <c r="N162" s="27" t="s">
        <v>23</v>
      </c>
      <c r="O162" s="10">
        <v>45958</v>
      </c>
      <c r="P162" s="37"/>
    </row>
    <row r="163" spans="1:16">
      <c r="A163" s="33">
        <v>662</v>
      </c>
      <c r="B163" s="10">
        <v>45965</v>
      </c>
      <c r="C163" s="11"/>
      <c r="D163" s="35">
        <v>1</v>
      </c>
      <c r="E163" s="35">
        <v>3</v>
      </c>
      <c r="F163" s="35">
        <v>3</v>
      </c>
      <c r="G163" s="35"/>
      <c r="H163" s="35"/>
      <c r="I163" s="26"/>
      <c r="J163" s="35"/>
      <c r="K163" s="26"/>
      <c r="L163" s="35"/>
      <c r="M163" s="25" t="s">
        <v>21</v>
      </c>
      <c r="N163" s="27" t="s">
        <v>23</v>
      </c>
      <c r="O163" s="10">
        <v>45965</v>
      </c>
      <c r="P163" s="37"/>
    </row>
    <row r="164" spans="1:16">
      <c r="A164" s="32">
        <v>663</v>
      </c>
      <c r="B164" s="10">
        <v>45965</v>
      </c>
      <c r="C164" s="11"/>
      <c r="D164" s="35">
        <v>1</v>
      </c>
      <c r="E164" s="35">
        <v>2</v>
      </c>
      <c r="F164" s="35">
        <v>2</v>
      </c>
      <c r="G164" s="35"/>
      <c r="H164" s="35"/>
      <c r="I164" s="26"/>
      <c r="J164" s="35"/>
      <c r="K164" s="26"/>
      <c r="L164" s="35"/>
      <c r="M164" s="25" t="s">
        <v>21</v>
      </c>
      <c r="N164" s="27" t="s">
        <v>23</v>
      </c>
      <c r="O164" s="10">
        <v>45965</v>
      </c>
      <c r="P164" s="37"/>
    </row>
    <row r="165" spans="1:16">
      <c r="A165" s="33">
        <v>664</v>
      </c>
      <c r="B165" s="10">
        <v>45964</v>
      </c>
      <c r="C165" s="11"/>
      <c r="D165" s="35">
        <v>1</v>
      </c>
      <c r="E165" s="35">
        <v>2</v>
      </c>
      <c r="F165" s="35">
        <v>2</v>
      </c>
      <c r="G165" s="35"/>
      <c r="H165" s="35"/>
      <c r="I165" s="26"/>
      <c r="J165" s="35"/>
      <c r="K165" s="26"/>
      <c r="L165" s="35"/>
      <c r="M165" s="25" t="s">
        <v>21</v>
      </c>
      <c r="N165" s="27" t="s">
        <v>23</v>
      </c>
      <c r="O165" s="10">
        <v>45964</v>
      </c>
      <c r="P165" s="37"/>
    </row>
    <row r="166" spans="1:16">
      <c r="A166" s="32">
        <v>665</v>
      </c>
      <c r="B166" s="10">
        <v>45958</v>
      </c>
      <c r="C166" s="11"/>
      <c r="D166" s="35">
        <v>1</v>
      </c>
      <c r="E166" s="35">
        <v>2</v>
      </c>
      <c r="F166" s="35">
        <v>1</v>
      </c>
      <c r="G166" s="35"/>
      <c r="H166" s="35"/>
      <c r="I166" s="26"/>
      <c r="J166" s="35"/>
      <c r="K166" s="26"/>
      <c r="L166" s="35"/>
      <c r="M166" s="25" t="s">
        <v>24</v>
      </c>
      <c r="N166" s="27" t="s">
        <v>23</v>
      </c>
      <c r="O166" s="10">
        <v>45958</v>
      </c>
      <c r="P166" s="37"/>
    </row>
    <row r="167" spans="1:16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2">
        <v>668</v>
      </c>
      <c r="B169" s="10">
        <v>45958</v>
      </c>
      <c r="C169" s="11"/>
      <c r="D169" s="35">
        <v>1</v>
      </c>
      <c r="E169" s="35">
        <v>2</v>
      </c>
      <c r="F169" s="35">
        <v>1</v>
      </c>
      <c r="G169" s="35"/>
      <c r="H169" s="35"/>
      <c r="I169" s="26"/>
      <c r="J169" s="35"/>
      <c r="K169" s="26"/>
      <c r="L169" s="35"/>
      <c r="M169" s="25" t="s">
        <v>24</v>
      </c>
      <c r="N169" s="27" t="s">
        <v>23</v>
      </c>
      <c r="O169" s="10">
        <v>45958</v>
      </c>
      <c r="P169" s="37"/>
    </row>
    <row r="170" spans="1:16">
      <c r="A170" s="33">
        <v>669</v>
      </c>
      <c r="B170" s="10">
        <v>45965</v>
      </c>
      <c r="C170" s="11"/>
      <c r="D170" s="35">
        <v>1</v>
      </c>
      <c r="E170" s="35">
        <v>1</v>
      </c>
      <c r="F170" s="35">
        <v>1</v>
      </c>
      <c r="G170" s="35"/>
      <c r="H170" s="35"/>
      <c r="I170" s="26"/>
      <c r="J170" s="35"/>
      <c r="K170" s="26"/>
      <c r="L170" s="35"/>
      <c r="M170" s="25" t="s">
        <v>21</v>
      </c>
      <c r="N170" s="27" t="s">
        <v>23</v>
      </c>
      <c r="O170" s="10">
        <v>45965</v>
      </c>
      <c r="P170" s="37"/>
    </row>
    <row r="171" spans="1:16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2">
        <v>672</v>
      </c>
      <c r="B173" s="10">
        <v>45964</v>
      </c>
      <c r="C173" s="11"/>
      <c r="D173" s="35">
        <v>1</v>
      </c>
      <c r="E173" s="35">
        <v>3</v>
      </c>
      <c r="F173" s="35">
        <v>3</v>
      </c>
      <c r="G173" s="35"/>
      <c r="H173" s="35"/>
      <c r="I173" s="26"/>
      <c r="J173" s="35"/>
      <c r="K173" s="26"/>
      <c r="L173" s="35"/>
      <c r="M173" s="25" t="s">
        <v>21</v>
      </c>
      <c r="N173" s="27" t="s">
        <v>23</v>
      </c>
      <c r="O173" s="10">
        <v>45964</v>
      </c>
      <c r="P173" s="37"/>
    </row>
    <row r="174" spans="1:16">
      <c r="A174" s="32">
        <v>673</v>
      </c>
      <c r="B174" s="10">
        <v>45965</v>
      </c>
      <c r="C174" s="11"/>
      <c r="D174" s="35">
        <v>1</v>
      </c>
      <c r="E174" s="35">
        <v>3</v>
      </c>
      <c r="F174" s="35">
        <v>3</v>
      </c>
      <c r="G174" s="35"/>
      <c r="H174" s="35"/>
      <c r="I174" s="26"/>
      <c r="J174" s="35"/>
      <c r="K174" s="26"/>
      <c r="L174" s="35"/>
      <c r="M174" s="25" t="s">
        <v>21</v>
      </c>
      <c r="N174" s="27" t="s">
        <v>23</v>
      </c>
      <c r="O174" s="10">
        <v>45965</v>
      </c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>
        <v>45965</v>
      </c>
      <c r="C177" s="11"/>
      <c r="D177" s="35">
        <v>1</v>
      </c>
      <c r="E177" s="35">
        <v>1</v>
      </c>
      <c r="F177" s="35">
        <v>1</v>
      </c>
      <c r="G177" s="35"/>
      <c r="H177" s="35"/>
      <c r="I177" s="26"/>
      <c r="J177" s="35"/>
      <c r="K177" s="26"/>
      <c r="L177" s="35"/>
      <c r="M177" s="25" t="s">
        <v>21</v>
      </c>
      <c r="N177" s="27" t="s">
        <v>23</v>
      </c>
      <c r="O177" s="10">
        <v>45965</v>
      </c>
      <c r="P177" s="37"/>
    </row>
    <row r="178" spans="1:16">
      <c r="A178" s="32">
        <v>677</v>
      </c>
      <c r="B178" s="10">
        <v>45965</v>
      </c>
      <c r="C178" s="11"/>
      <c r="D178" s="35">
        <v>1</v>
      </c>
      <c r="E178" s="35">
        <v>2</v>
      </c>
      <c r="F178" s="35">
        <v>2</v>
      </c>
      <c r="G178" s="35"/>
      <c r="H178" s="35"/>
      <c r="I178" s="26"/>
      <c r="J178" s="35"/>
      <c r="K178" s="26"/>
      <c r="L178" s="35"/>
      <c r="M178" s="25" t="s">
        <v>21</v>
      </c>
      <c r="N178" s="27" t="s">
        <v>23</v>
      </c>
      <c r="O178" s="10">
        <v>45965</v>
      </c>
      <c r="P178" s="37"/>
    </row>
    <row r="179" spans="1:16">
      <c r="A179" s="33">
        <v>678</v>
      </c>
      <c r="B179" s="10">
        <v>45966</v>
      </c>
      <c r="C179" s="11"/>
      <c r="D179" s="35">
        <v>1</v>
      </c>
      <c r="E179" s="35">
        <v>6</v>
      </c>
      <c r="F179" s="35">
        <v>6</v>
      </c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2">
        <v>679</v>
      </c>
      <c r="B180" s="10">
        <v>45964</v>
      </c>
      <c r="C180" s="11"/>
      <c r="D180" s="35">
        <v>1</v>
      </c>
      <c r="E180" s="35">
        <v>8</v>
      </c>
      <c r="F180" s="35">
        <v>8</v>
      </c>
      <c r="G180" s="35"/>
      <c r="H180" s="35"/>
      <c r="I180" s="26"/>
      <c r="J180" s="35"/>
      <c r="K180" s="26"/>
      <c r="L180" s="35"/>
      <c r="M180" s="25" t="s">
        <v>21</v>
      </c>
      <c r="N180" s="27" t="s">
        <v>23</v>
      </c>
      <c r="O180" s="10">
        <v>45964</v>
      </c>
      <c r="P180" s="37"/>
    </row>
    <row r="181" spans="1:16">
      <c r="A181" s="33">
        <v>680</v>
      </c>
      <c r="B181" s="10">
        <v>45963</v>
      </c>
      <c r="C181" s="11"/>
      <c r="D181" s="35">
        <v>1</v>
      </c>
      <c r="E181" s="35">
        <v>4</v>
      </c>
      <c r="F181" s="35">
        <v>4</v>
      </c>
      <c r="G181" s="35"/>
      <c r="H181" s="35"/>
      <c r="I181" s="26"/>
      <c r="J181" s="35"/>
      <c r="K181" s="26"/>
      <c r="L181" s="35"/>
      <c r="M181" s="25" t="s">
        <v>21</v>
      </c>
      <c r="N181" s="27" t="s">
        <v>23</v>
      </c>
      <c r="O181" s="10">
        <v>45963</v>
      </c>
      <c r="P181" s="37"/>
    </row>
    <row r="182" spans="1:16">
      <c r="A182" s="33">
        <v>681</v>
      </c>
      <c r="B182" s="10">
        <v>45958</v>
      </c>
      <c r="C182" s="11"/>
      <c r="D182" s="35">
        <v>1</v>
      </c>
      <c r="E182" s="35">
        <v>1</v>
      </c>
      <c r="F182" s="35">
        <v>1</v>
      </c>
      <c r="G182" s="35"/>
      <c r="H182" s="35"/>
      <c r="I182" s="26"/>
      <c r="J182" s="35"/>
      <c r="K182" s="26"/>
      <c r="L182" s="35"/>
      <c r="M182" s="25" t="s">
        <v>24</v>
      </c>
      <c r="N182" s="38" t="s">
        <v>23</v>
      </c>
      <c r="O182" s="10">
        <v>45958</v>
      </c>
      <c r="P182" s="37"/>
    </row>
    <row r="183" spans="1:16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>
        <v>45958</v>
      </c>
      <c r="C188" s="11"/>
      <c r="D188" s="35">
        <v>1</v>
      </c>
      <c r="E188" s="35">
        <v>2</v>
      </c>
      <c r="F188" s="35">
        <v>1</v>
      </c>
      <c r="G188" s="35"/>
      <c r="H188" s="35"/>
      <c r="I188" s="26"/>
      <c r="J188" s="35"/>
      <c r="K188" s="26"/>
      <c r="L188" s="35"/>
      <c r="M188" s="25" t="s">
        <v>24</v>
      </c>
      <c r="N188" s="27" t="s">
        <v>23</v>
      </c>
      <c r="O188" s="10">
        <v>45958</v>
      </c>
      <c r="P188" s="37"/>
    </row>
    <row r="189" spans="1:16">
      <c r="A189" s="33">
        <v>702</v>
      </c>
      <c r="B189" s="10">
        <v>45963</v>
      </c>
      <c r="C189" s="11"/>
      <c r="D189" s="35">
        <v>1</v>
      </c>
      <c r="E189" s="35">
        <v>7</v>
      </c>
      <c r="F189" s="35">
        <v>7</v>
      </c>
      <c r="G189" s="35"/>
      <c r="H189" s="35"/>
      <c r="I189" s="26"/>
      <c r="J189" s="35"/>
      <c r="K189" s="26"/>
      <c r="L189" s="35"/>
      <c r="M189" s="25" t="s">
        <v>21</v>
      </c>
      <c r="N189" s="27" t="s">
        <v>23</v>
      </c>
      <c r="O189" s="10">
        <v>45963</v>
      </c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>
        <v>45963</v>
      </c>
      <c r="C191" s="11"/>
      <c r="D191" s="35">
        <v>1</v>
      </c>
      <c r="E191" s="35">
        <v>3</v>
      </c>
      <c r="F191" s="35">
        <v>3</v>
      </c>
      <c r="G191" s="35"/>
      <c r="H191" s="35"/>
      <c r="I191" s="26"/>
      <c r="J191" s="35"/>
      <c r="K191" s="26"/>
      <c r="L191" s="35"/>
      <c r="M191" s="25" t="s">
        <v>21</v>
      </c>
      <c r="N191" s="27" t="s">
        <v>23</v>
      </c>
      <c r="O191" s="10">
        <v>45963</v>
      </c>
      <c r="P191" s="37"/>
    </row>
    <row r="192" spans="1:16">
      <c r="A192" s="33">
        <v>705</v>
      </c>
      <c r="B192" s="10">
        <v>45966</v>
      </c>
      <c r="C192" s="11"/>
      <c r="D192" s="35">
        <v>1</v>
      </c>
      <c r="E192" s="35">
        <v>4</v>
      </c>
      <c r="F192" s="35">
        <v>4</v>
      </c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>
        <v>45965</v>
      </c>
      <c r="C193" s="11"/>
      <c r="D193" s="35">
        <v>1</v>
      </c>
      <c r="E193" s="35">
        <v>3</v>
      </c>
      <c r="F193" s="35">
        <v>3</v>
      </c>
      <c r="G193" s="35"/>
      <c r="H193" s="35"/>
      <c r="I193" s="26"/>
      <c r="J193" s="35"/>
      <c r="K193" s="26"/>
      <c r="L193" s="35"/>
      <c r="M193" s="25" t="s">
        <v>21</v>
      </c>
      <c r="N193" s="27" t="s">
        <v>23</v>
      </c>
      <c r="O193" s="10">
        <v>45965</v>
      </c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>
        <v>45959</v>
      </c>
      <c r="C199" s="11"/>
      <c r="D199" s="35">
        <v>1</v>
      </c>
      <c r="E199" s="35">
        <v>1</v>
      </c>
      <c r="F199" s="35">
        <v>1</v>
      </c>
      <c r="G199" s="35"/>
      <c r="H199" s="35"/>
      <c r="I199" s="26"/>
      <c r="J199" s="35"/>
      <c r="K199" s="26"/>
      <c r="L199" s="35"/>
      <c r="M199" s="25" t="s">
        <v>24</v>
      </c>
      <c r="N199" s="27" t="s">
        <v>23</v>
      </c>
      <c r="O199" s="10">
        <v>45959</v>
      </c>
      <c r="P199" s="37"/>
    </row>
    <row r="200" spans="1:16">
      <c r="A200" s="33">
        <v>713</v>
      </c>
      <c r="B200" s="10">
        <v>45960</v>
      </c>
      <c r="C200" s="11"/>
      <c r="D200" s="35">
        <v>1</v>
      </c>
      <c r="E200" s="35"/>
      <c r="F200" s="35">
        <v>1</v>
      </c>
      <c r="G200" s="35"/>
      <c r="H200" s="35"/>
      <c r="I200" s="26"/>
      <c r="J200" s="35"/>
      <c r="K200" s="26"/>
      <c r="L200" s="35"/>
      <c r="M200" s="25"/>
      <c r="N200" s="27" t="s">
        <v>29</v>
      </c>
      <c r="O200" s="10"/>
      <c r="P200" s="37">
        <v>51713</v>
      </c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>
      <c r="A202" s="33">
        <v>715</v>
      </c>
      <c r="B202" s="10">
        <v>45963</v>
      </c>
      <c r="C202" s="11"/>
      <c r="D202" s="35">
        <v>1</v>
      </c>
      <c r="E202" s="35">
        <v>2</v>
      </c>
      <c r="F202" s="35">
        <v>2</v>
      </c>
      <c r="G202" s="35"/>
      <c r="H202" s="35"/>
      <c r="I202" s="26"/>
      <c r="J202" s="35"/>
      <c r="K202" s="26"/>
      <c r="L202" s="35"/>
      <c r="M202" s="25" t="s">
        <v>21</v>
      </c>
      <c r="N202" s="27" t="s">
        <v>23</v>
      </c>
      <c r="O202" s="10">
        <v>45963</v>
      </c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>
        <v>45965</v>
      </c>
      <c r="C204" s="11"/>
      <c r="D204" s="35">
        <v>1</v>
      </c>
      <c r="E204" s="35">
        <v>3</v>
      </c>
      <c r="F204" s="35">
        <v>3</v>
      </c>
      <c r="G204" s="35"/>
      <c r="H204" s="35"/>
      <c r="I204" s="26"/>
      <c r="J204" s="35"/>
      <c r="K204" s="26"/>
      <c r="L204" s="35"/>
      <c r="M204" s="25" t="s">
        <v>21</v>
      </c>
      <c r="N204" s="27" t="s">
        <v>23</v>
      </c>
      <c r="O204" s="10">
        <v>45965</v>
      </c>
      <c r="P204" s="37"/>
    </row>
    <row r="205" spans="1:16">
      <c r="A205" s="33">
        <v>718</v>
      </c>
      <c r="B205" s="10">
        <v>45961</v>
      </c>
      <c r="C205" s="11"/>
      <c r="D205" s="35">
        <v>1</v>
      </c>
      <c r="E205" s="35"/>
      <c r="F205" s="35">
        <v>1</v>
      </c>
      <c r="G205" s="35"/>
      <c r="H205" s="35"/>
      <c r="I205" s="26"/>
      <c r="J205" s="35"/>
      <c r="K205" s="26"/>
      <c r="L205" s="35"/>
      <c r="M205" s="25"/>
      <c r="N205" s="27" t="s">
        <v>29</v>
      </c>
      <c r="O205" s="10"/>
      <c r="P205" s="37">
        <v>53718</v>
      </c>
    </row>
    <row r="206" spans="1:16">
      <c r="A206" s="33">
        <v>719</v>
      </c>
      <c r="B206" s="10">
        <v>45958</v>
      </c>
      <c r="C206" s="11"/>
      <c r="D206" s="35">
        <v>1</v>
      </c>
      <c r="E206" s="35">
        <v>1</v>
      </c>
      <c r="F206" s="35">
        <v>1</v>
      </c>
      <c r="G206" s="35"/>
      <c r="H206" s="35"/>
      <c r="I206" s="26"/>
      <c r="J206" s="35"/>
      <c r="K206" s="26"/>
      <c r="L206" s="35"/>
      <c r="M206" s="25" t="s">
        <v>24</v>
      </c>
      <c r="N206" s="27" t="s">
        <v>23</v>
      </c>
      <c r="O206" s="10">
        <v>45958</v>
      </c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>
        <v>45955</v>
      </c>
      <c r="C208" s="11"/>
      <c r="D208" s="35">
        <v>1</v>
      </c>
      <c r="E208" s="35">
        <v>1</v>
      </c>
      <c r="F208" s="35">
        <v>1</v>
      </c>
      <c r="G208" s="35"/>
      <c r="H208" s="35"/>
      <c r="I208" s="26"/>
      <c r="J208" s="35"/>
      <c r="K208" s="26"/>
      <c r="L208" s="35"/>
      <c r="M208" s="25" t="s">
        <v>21</v>
      </c>
      <c r="N208" s="27" t="s">
        <v>22</v>
      </c>
      <c r="O208" s="10">
        <v>45955</v>
      </c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>
        <v>45964</v>
      </c>
      <c r="C212" s="11"/>
      <c r="D212" s="35">
        <v>1</v>
      </c>
      <c r="E212" s="35">
        <v>2</v>
      </c>
      <c r="F212" s="35">
        <v>2</v>
      </c>
      <c r="G212" s="35"/>
      <c r="H212" s="35"/>
      <c r="I212" s="26"/>
      <c r="J212" s="35"/>
      <c r="K212" s="26"/>
      <c r="L212" s="35"/>
      <c r="M212" s="25" t="s">
        <v>21</v>
      </c>
      <c r="N212" s="27" t="s">
        <v>23</v>
      </c>
      <c r="O212" s="10">
        <v>45964</v>
      </c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topLeftCell="A154" workbookViewId="0">
      <selection activeCell="G173" sqref="G173"/>
    </sheetView>
  </sheetViews>
  <sheetFormatPr defaultColWidth="9.140625" defaultRowHeight="1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23</v>
      </c>
      <c r="U4" s="21">
        <f>T4/S4</f>
        <v>0.10849056603773585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1">
        <v>514</v>
      </c>
      <c r="B15" s="10">
        <v>45965</v>
      </c>
      <c r="C15" s="11"/>
      <c r="D15" s="34">
        <v>1</v>
      </c>
      <c r="E15" s="34">
        <v>3</v>
      </c>
      <c r="F15" s="34">
        <v>3</v>
      </c>
      <c r="G15" s="34"/>
      <c r="H15" s="34"/>
      <c r="I15" s="13"/>
      <c r="J15" s="34"/>
      <c r="K15" s="13"/>
      <c r="L15" s="34"/>
      <c r="M15" s="12" t="s">
        <v>21</v>
      </c>
      <c r="N15" s="14" t="s">
        <v>23</v>
      </c>
      <c r="O15" s="10">
        <v>45965</v>
      </c>
      <c r="P15" s="36"/>
    </row>
    <row r="16" spans="1:21" ht="15" customHeight="1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>
      <c r="A22" s="32">
        <v>521</v>
      </c>
      <c r="B22" s="10">
        <v>45963</v>
      </c>
      <c r="C22" s="11"/>
      <c r="D22" s="34">
        <v>1</v>
      </c>
      <c r="E22" s="34">
        <v>2</v>
      </c>
      <c r="F22" s="34">
        <v>2</v>
      </c>
      <c r="G22" s="34"/>
      <c r="H22" s="34"/>
      <c r="I22" s="13"/>
      <c r="J22" s="34"/>
      <c r="K22" s="13"/>
      <c r="L22" s="34"/>
      <c r="M22" s="12" t="s">
        <v>21</v>
      </c>
      <c r="N22" s="14" t="s">
        <v>23</v>
      </c>
      <c r="O22" s="10">
        <v>45963</v>
      </c>
      <c r="P22" s="36"/>
    </row>
    <row r="23" spans="1:16" ht="15" customHeight="1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>
      <c r="A25" s="32">
        <v>524</v>
      </c>
      <c r="B25" s="10">
        <v>45964</v>
      </c>
      <c r="C25" s="11"/>
      <c r="D25" s="34">
        <v>1</v>
      </c>
      <c r="E25" s="34">
        <v>1</v>
      </c>
      <c r="F25" s="34">
        <v>1</v>
      </c>
      <c r="G25" s="34"/>
      <c r="H25" s="34"/>
      <c r="I25" s="13"/>
      <c r="J25" s="34"/>
      <c r="K25" s="13"/>
      <c r="L25" s="34"/>
      <c r="M25" s="12" t="s">
        <v>21</v>
      </c>
      <c r="N25" s="14" t="s">
        <v>23</v>
      </c>
      <c r="O25" s="10">
        <v>45964</v>
      </c>
      <c r="P25" s="36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2">
        <v>534</v>
      </c>
      <c r="B35" s="10">
        <v>45965</v>
      </c>
      <c r="C35" s="11"/>
      <c r="D35" s="34">
        <v>1</v>
      </c>
      <c r="E35" s="34">
        <v>3</v>
      </c>
      <c r="F35" s="34">
        <v>3</v>
      </c>
      <c r="G35" s="34"/>
      <c r="H35" s="34"/>
      <c r="I35" s="13"/>
      <c r="J35" s="34"/>
      <c r="K35" s="13"/>
      <c r="L35" s="34"/>
      <c r="M35" s="12" t="s">
        <v>21</v>
      </c>
      <c r="N35" s="14" t="s">
        <v>23</v>
      </c>
      <c r="O35" s="10">
        <v>45965</v>
      </c>
      <c r="P35" s="36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>
      <c r="A38" s="32">
        <v>537</v>
      </c>
      <c r="B38" s="10">
        <v>45966</v>
      </c>
      <c r="C38" s="11"/>
      <c r="D38" s="34">
        <v>1</v>
      </c>
      <c r="E38" s="34">
        <v>3</v>
      </c>
      <c r="F38" s="34">
        <v>3</v>
      </c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>
      <c r="A41" s="32">
        <v>540</v>
      </c>
      <c r="B41" s="10">
        <v>45965</v>
      </c>
      <c r="C41" s="11"/>
      <c r="D41" s="34">
        <v>1</v>
      </c>
      <c r="E41" s="34">
        <v>2</v>
      </c>
      <c r="F41" s="34">
        <v>2</v>
      </c>
      <c r="G41" s="34"/>
      <c r="H41" s="34"/>
      <c r="I41" s="13"/>
      <c r="J41" s="34"/>
      <c r="K41" s="13"/>
      <c r="L41" s="34"/>
      <c r="M41" s="12" t="s">
        <v>21</v>
      </c>
      <c r="N41" s="14" t="s">
        <v>23</v>
      </c>
      <c r="O41" s="10">
        <v>45965</v>
      </c>
      <c r="P41" s="36"/>
    </row>
    <row r="42" spans="1:16" ht="15" customHeight="1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>
        <v>45965</v>
      </c>
      <c r="C53" s="11"/>
      <c r="D53" s="34">
        <v>1</v>
      </c>
      <c r="E53" s="34">
        <v>2</v>
      </c>
      <c r="F53" s="34">
        <v>2</v>
      </c>
      <c r="G53" s="34"/>
      <c r="H53" s="34"/>
      <c r="I53" s="13"/>
      <c r="J53" s="34"/>
      <c r="K53" s="13"/>
      <c r="L53" s="34"/>
      <c r="M53" s="12" t="s">
        <v>21</v>
      </c>
      <c r="N53" s="14" t="s">
        <v>23</v>
      </c>
      <c r="O53" s="10">
        <v>45965</v>
      </c>
      <c r="P53" s="36"/>
    </row>
    <row r="54" spans="1:16" ht="15" customHeight="1">
      <c r="A54" s="32">
        <v>553</v>
      </c>
      <c r="B54" s="10">
        <v>45964</v>
      </c>
      <c r="C54" s="11"/>
      <c r="D54" s="34">
        <v>1</v>
      </c>
      <c r="E54" s="34">
        <v>4</v>
      </c>
      <c r="F54" s="34">
        <v>4</v>
      </c>
      <c r="G54" s="34"/>
      <c r="H54" s="34"/>
      <c r="I54" s="13"/>
      <c r="J54" s="34"/>
      <c r="K54" s="13"/>
      <c r="L54" s="34"/>
      <c r="M54" s="12" t="s">
        <v>21</v>
      </c>
      <c r="N54" s="14" t="s">
        <v>23</v>
      </c>
      <c r="O54" s="10">
        <v>45964</v>
      </c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>
      <c r="A81" s="32">
        <v>580</v>
      </c>
      <c r="B81" s="10">
        <v>45965</v>
      </c>
      <c r="C81" s="11"/>
      <c r="D81" s="35">
        <v>1</v>
      </c>
      <c r="E81" s="35">
        <v>6</v>
      </c>
      <c r="F81" s="35">
        <v>6</v>
      </c>
      <c r="G81" s="35"/>
      <c r="H81" s="35"/>
      <c r="I81" s="26"/>
      <c r="J81" s="35"/>
      <c r="K81" s="26"/>
      <c r="L81" s="35"/>
      <c r="M81" s="25" t="s">
        <v>21</v>
      </c>
      <c r="N81" s="27" t="s">
        <v>23</v>
      </c>
      <c r="O81" s="10">
        <v>45965</v>
      </c>
      <c r="P81" s="37"/>
    </row>
    <row r="82" spans="1:16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>
      <c r="A85" s="32">
        <v>584</v>
      </c>
      <c r="B85" s="10">
        <v>45966</v>
      </c>
      <c r="C85" s="11"/>
      <c r="D85" s="35">
        <v>1</v>
      </c>
      <c r="E85" s="35">
        <v>3</v>
      </c>
      <c r="F85" s="35">
        <v>3</v>
      </c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>
        <v>45966</v>
      </c>
      <c r="C92" s="11"/>
      <c r="D92" s="35">
        <v>1</v>
      </c>
      <c r="E92" s="35">
        <v>6</v>
      </c>
      <c r="F92" s="35">
        <v>6</v>
      </c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>
      <c r="A108" s="33">
        <v>607</v>
      </c>
      <c r="B108" s="10">
        <v>45965</v>
      </c>
      <c r="C108" s="11"/>
      <c r="D108" s="35">
        <v>1</v>
      </c>
      <c r="E108" s="35">
        <v>1</v>
      </c>
      <c r="F108" s="35">
        <v>1</v>
      </c>
      <c r="G108" s="35"/>
      <c r="H108" s="35"/>
      <c r="I108" s="26"/>
      <c r="J108" s="35"/>
      <c r="K108" s="26"/>
      <c r="L108" s="35"/>
      <c r="M108" s="25" t="s">
        <v>21</v>
      </c>
      <c r="N108" s="27" t="s">
        <v>23</v>
      </c>
      <c r="O108" s="10">
        <v>45965</v>
      </c>
      <c r="P108" s="37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>
      <c r="A114" s="33">
        <v>613</v>
      </c>
      <c r="B114" s="10">
        <v>45965</v>
      </c>
      <c r="C114" s="11"/>
      <c r="D114" s="35">
        <v>1</v>
      </c>
      <c r="E114" s="35">
        <v>3</v>
      </c>
      <c r="F114" s="35">
        <v>3</v>
      </c>
      <c r="G114" s="35"/>
      <c r="H114" s="35"/>
      <c r="I114" s="26"/>
      <c r="J114" s="35"/>
      <c r="K114" s="26"/>
      <c r="L114" s="35"/>
      <c r="M114" s="25" t="s">
        <v>21</v>
      </c>
      <c r="N114" s="27" t="s">
        <v>23</v>
      </c>
      <c r="O114" s="10">
        <v>45965</v>
      </c>
      <c r="P114" s="37"/>
    </row>
    <row r="115" spans="1:16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>
      <c r="A119" s="33">
        <v>618</v>
      </c>
      <c r="B119" s="10">
        <v>45966</v>
      </c>
      <c r="C119" s="11"/>
      <c r="D119" s="35">
        <v>1</v>
      </c>
      <c r="E119" s="35">
        <v>9</v>
      </c>
      <c r="F119" s="35">
        <v>9</v>
      </c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>
      <c r="A128" s="33">
        <v>627</v>
      </c>
      <c r="B128" s="10">
        <v>45965</v>
      </c>
      <c r="C128" s="11"/>
      <c r="D128" s="35">
        <v>1</v>
      </c>
      <c r="E128" s="35">
        <v>2</v>
      </c>
      <c r="F128" s="35">
        <v>2</v>
      </c>
      <c r="G128" s="35"/>
      <c r="H128" s="35"/>
      <c r="I128" s="26"/>
      <c r="J128" s="35"/>
      <c r="K128" s="26"/>
      <c r="L128" s="35"/>
      <c r="M128" s="25" t="s">
        <v>21</v>
      </c>
      <c r="N128" s="27" t="s">
        <v>23</v>
      </c>
      <c r="O128" s="10">
        <v>45965</v>
      </c>
      <c r="P128" s="37"/>
    </row>
    <row r="129" spans="1:16">
      <c r="A129" s="33">
        <v>628</v>
      </c>
      <c r="B129" s="10">
        <v>45948</v>
      </c>
      <c r="C129" s="11"/>
      <c r="D129" s="35">
        <v>2</v>
      </c>
      <c r="E129" s="35">
        <v>9</v>
      </c>
      <c r="F129" s="35">
        <v>9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22</v>
      </c>
      <c r="O129" s="10">
        <v>45948</v>
      </c>
      <c r="P129" s="37"/>
    </row>
    <row r="130" spans="1:16">
      <c r="A130" s="33">
        <v>629</v>
      </c>
      <c r="B130" s="10">
        <v>45963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23</v>
      </c>
      <c r="O130" s="10">
        <v>45963</v>
      </c>
      <c r="P130" s="37"/>
    </row>
    <row r="131" spans="1:16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3">
        <v>637</v>
      </c>
      <c r="B138" s="10">
        <v>45966</v>
      </c>
      <c r="C138" s="11"/>
      <c r="D138" s="35">
        <v>1</v>
      </c>
      <c r="E138" s="35">
        <v>6</v>
      </c>
      <c r="F138" s="35">
        <v>6</v>
      </c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3">
        <v>642</v>
      </c>
      <c r="B143" s="10">
        <v>45966</v>
      </c>
      <c r="C143" s="11"/>
      <c r="D143" s="35">
        <v>1</v>
      </c>
      <c r="E143" s="35">
        <v>4</v>
      </c>
      <c r="F143" s="35">
        <v>4</v>
      </c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>
      <c r="A146" s="33">
        <v>645</v>
      </c>
      <c r="B146" s="10">
        <v>45965</v>
      </c>
      <c r="C146" s="11"/>
      <c r="D146" s="35">
        <v>1</v>
      </c>
      <c r="E146" s="35">
        <v>3</v>
      </c>
      <c r="F146" s="35">
        <v>3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23</v>
      </c>
      <c r="O146" s="10">
        <v>45965</v>
      </c>
      <c r="P146" s="37"/>
    </row>
    <row r="147" spans="1:16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>
      <c r="A153" s="33">
        <v>652</v>
      </c>
      <c r="B153" s="10">
        <v>45965</v>
      </c>
      <c r="C153" s="11"/>
      <c r="D153" s="35">
        <v>1</v>
      </c>
      <c r="E153" s="35">
        <v>3</v>
      </c>
      <c r="F153" s="35">
        <v>3</v>
      </c>
      <c r="G153" s="35"/>
      <c r="H153" s="35"/>
      <c r="I153" s="26"/>
      <c r="J153" s="35"/>
      <c r="K153" s="26"/>
      <c r="L153" s="35"/>
      <c r="M153" s="25" t="s">
        <v>21</v>
      </c>
      <c r="N153" s="27" t="s">
        <v>23</v>
      </c>
      <c r="O153" s="10">
        <v>45965</v>
      </c>
      <c r="P153" s="37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3">
        <v>658</v>
      </c>
      <c r="B159" s="10">
        <v>45966</v>
      </c>
      <c r="C159" s="11"/>
      <c r="D159" s="35">
        <v>1</v>
      </c>
      <c r="E159" s="35">
        <v>4</v>
      </c>
      <c r="F159" s="35">
        <v>4</v>
      </c>
      <c r="G159" s="35"/>
      <c r="H159" s="35"/>
      <c r="I159" s="26"/>
      <c r="J159" s="35"/>
      <c r="K159" s="26"/>
      <c r="L159" s="35"/>
      <c r="M159" s="25" t="s">
        <v>21</v>
      </c>
      <c r="N159" s="27" t="s">
        <v>23</v>
      </c>
      <c r="O159" s="10">
        <v>45966</v>
      </c>
      <c r="P159" s="37"/>
    </row>
    <row r="160" spans="1:16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>
        <v>45965</v>
      </c>
      <c r="C161" s="11"/>
      <c r="D161" s="35">
        <v>1</v>
      </c>
      <c r="E161" s="35">
        <v>5</v>
      </c>
      <c r="F161" s="35">
        <v>5</v>
      </c>
      <c r="G161" s="35"/>
      <c r="H161" s="35"/>
      <c r="I161" s="26"/>
      <c r="J161" s="35"/>
      <c r="K161" s="26"/>
      <c r="L161" s="35"/>
      <c r="M161" s="25" t="s">
        <v>21</v>
      </c>
      <c r="N161" s="27" t="s">
        <v>23</v>
      </c>
      <c r="O161" s="10">
        <v>45965</v>
      </c>
      <c r="P161" s="37"/>
    </row>
    <row r="162" spans="1:16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3">
        <v>672</v>
      </c>
      <c r="B173" s="10">
        <v>45966</v>
      </c>
      <c r="C173" s="11"/>
      <c r="D173" s="35">
        <v>1</v>
      </c>
      <c r="E173" s="35">
        <v>5</v>
      </c>
      <c r="F173" s="35">
        <v>5</v>
      </c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>
        <v>45965</v>
      </c>
      <c r="C177" s="11"/>
      <c r="D177" s="35">
        <v>1</v>
      </c>
      <c r="E177" s="35">
        <v>1</v>
      </c>
      <c r="F177" s="35">
        <v>1</v>
      </c>
      <c r="G177" s="35"/>
      <c r="H177" s="35"/>
      <c r="I177" s="26"/>
      <c r="J177" s="35"/>
      <c r="K177" s="26"/>
      <c r="L177" s="35"/>
      <c r="M177" s="25" t="s">
        <v>21</v>
      </c>
      <c r="N177" s="27" t="s">
        <v>23</v>
      </c>
      <c r="O177" s="10">
        <v>45965</v>
      </c>
      <c r="P177" s="37"/>
    </row>
    <row r="178" spans="1:16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>
      <c r="A183" s="33">
        <v>682</v>
      </c>
      <c r="B183" s="10">
        <v>45964</v>
      </c>
      <c r="C183" s="11"/>
      <c r="D183" s="35">
        <v>1</v>
      </c>
      <c r="E183" s="35">
        <v>2</v>
      </c>
      <c r="F183" s="35">
        <v>2</v>
      </c>
      <c r="G183" s="35"/>
      <c r="H183" s="35"/>
      <c r="I183" s="26"/>
      <c r="J183" s="35"/>
      <c r="K183" s="26"/>
      <c r="L183" s="35"/>
      <c r="M183" s="25" t="s">
        <v>21</v>
      </c>
      <c r="N183" s="27" t="s">
        <v>23</v>
      </c>
      <c r="O183" s="10">
        <v>45964</v>
      </c>
      <c r="P183" s="37"/>
    </row>
    <row r="184" spans="1:16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>
        <v>45965</v>
      </c>
      <c r="C188" s="11"/>
      <c r="D188" s="35">
        <v>1</v>
      </c>
      <c r="E188" s="35">
        <v>2</v>
      </c>
      <c r="F188" s="35">
        <v>2</v>
      </c>
      <c r="G188" s="35"/>
      <c r="H188" s="35"/>
      <c r="I188" s="26"/>
      <c r="J188" s="35"/>
      <c r="K188" s="26"/>
      <c r="L188" s="35"/>
      <c r="M188" s="25" t="s">
        <v>21</v>
      </c>
      <c r="N188" s="27" t="s">
        <v>23</v>
      </c>
      <c r="O188" s="10">
        <v>45965</v>
      </c>
      <c r="P188" s="37"/>
    </row>
    <row r="189" spans="1:16">
      <c r="A189" s="33">
        <v>702</v>
      </c>
      <c r="B189" s="10">
        <v>45964</v>
      </c>
      <c r="C189" s="11"/>
      <c r="D189" s="35">
        <v>1</v>
      </c>
      <c r="E189" s="35">
        <v>7</v>
      </c>
      <c r="F189" s="35">
        <v>7</v>
      </c>
      <c r="G189" s="35"/>
      <c r="H189" s="35"/>
      <c r="I189" s="26"/>
      <c r="J189" s="35"/>
      <c r="K189" s="26"/>
      <c r="L189" s="35"/>
      <c r="M189" s="25" t="s">
        <v>21</v>
      </c>
      <c r="N189" s="27" t="s">
        <v>23</v>
      </c>
      <c r="O189" s="10">
        <v>45964</v>
      </c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>
        <v>45964</v>
      </c>
      <c r="C191" s="11"/>
      <c r="D191" s="35">
        <v>1</v>
      </c>
      <c r="E191" s="35">
        <v>1</v>
      </c>
      <c r="F191" s="35">
        <v>1</v>
      </c>
      <c r="G191" s="35"/>
      <c r="H191" s="35"/>
      <c r="I191" s="26"/>
      <c r="J191" s="35"/>
      <c r="K191" s="26"/>
      <c r="L191" s="35"/>
      <c r="M191" s="25" t="s">
        <v>21</v>
      </c>
      <c r="N191" s="27" t="s">
        <v>23</v>
      </c>
      <c r="O191" s="10">
        <v>45964</v>
      </c>
      <c r="P191" s="37"/>
    </row>
    <row r="192" spans="1:16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>
        <v>45965</v>
      </c>
      <c r="C199" s="11"/>
      <c r="D199" s="35">
        <v>1</v>
      </c>
      <c r="E199" s="35">
        <v>3</v>
      </c>
      <c r="F199" s="35">
        <v>3</v>
      </c>
      <c r="G199" s="35"/>
      <c r="H199" s="35"/>
      <c r="I199" s="26"/>
      <c r="J199" s="35"/>
      <c r="K199" s="26"/>
      <c r="L199" s="35"/>
      <c r="M199" s="25" t="s">
        <v>21</v>
      </c>
      <c r="N199" s="27" t="s">
        <v>23</v>
      </c>
      <c r="O199" s="10">
        <v>45965</v>
      </c>
      <c r="P199" s="37"/>
    </row>
    <row r="200" spans="1:16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topLeftCell="A142" workbookViewId="0">
      <selection activeCell="G153" sqref="G153"/>
    </sheetView>
  </sheetViews>
  <sheetFormatPr defaultColWidth="9.140625" defaultRowHeight="1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1</v>
      </c>
      <c r="U4" s="21">
        <f>T4/S4</f>
        <v>4.7169811320754715E-3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>
      <c r="A128" s="33">
        <v>627</v>
      </c>
      <c r="B128" s="10">
        <v>45966</v>
      </c>
      <c r="C128" s="11"/>
      <c r="D128" s="35">
        <v>1</v>
      </c>
      <c r="E128" s="35">
        <v>8</v>
      </c>
      <c r="F128" s="35">
        <v>8</v>
      </c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>
      <c r="A129" s="33">
        <v>628</v>
      </c>
      <c r="B129" s="10">
        <v>45966</v>
      </c>
      <c r="C129" s="11"/>
      <c r="D129" s="35">
        <v>1</v>
      </c>
      <c r="E129" s="35">
        <v>10</v>
      </c>
      <c r="F129" s="35">
        <v>10</v>
      </c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>
      <c r="A130" s="33">
        <v>629</v>
      </c>
      <c r="B130" s="10">
        <v>45965</v>
      </c>
      <c r="C130" s="11"/>
      <c r="D130" s="35">
        <v>1</v>
      </c>
      <c r="E130" s="35">
        <v>2</v>
      </c>
      <c r="F130" s="35">
        <v>2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23</v>
      </c>
      <c r="O130" s="10">
        <v>45965</v>
      </c>
      <c r="P130" s="37"/>
    </row>
    <row r="131" spans="1:16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>
      <c r="A153" s="33">
        <v>652</v>
      </c>
      <c r="B153" s="10">
        <v>45966</v>
      </c>
      <c r="C153" s="11"/>
      <c r="D153" s="35">
        <v>1</v>
      </c>
      <c r="E153" s="35">
        <v>6</v>
      </c>
      <c r="F153" s="35">
        <v>6</v>
      </c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>
        <v>45966</v>
      </c>
      <c r="C191" s="11"/>
      <c r="D191" s="35">
        <v>1</v>
      </c>
      <c r="E191" s="35">
        <v>3</v>
      </c>
      <c r="F191" s="35">
        <v>3</v>
      </c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workbookViewId="0">
      <selection activeCell="F13" sqref="F13"/>
    </sheetView>
  </sheetViews>
  <sheetFormatPr defaultColWidth="9.140625" defaultRowHeight="1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workbookViewId="0">
      <selection activeCell="H4" sqref="H4"/>
    </sheetView>
  </sheetViews>
  <sheetFormatPr defaultColWidth="9.140625" defaultRowHeight="1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YtJyTKksLxh6RI6WI0eZzr6c5K6eDFQXBZnAKoKF9iCgP6mifnOW4MpcWEjK7rpSu2FXNwH4JvGYJjZS9dTMCg==" saltValue="zRvrVhzSLhV6XGpeuWYe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768F-8CE2-4CB8-8377-353AC3ED2F6F}">
  <dimension ref="A1:U347"/>
  <sheetViews>
    <sheetView workbookViewId="0">
      <selection activeCell="F17" sqref="F17"/>
    </sheetView>
  </sheetViews>
  <sheetFormatPr defaultColWidth="9.140625" defaultRowHeight="1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5s4TsOKIvbbQ/6pzFKjKyI1BvwU9iLcMBNtXMMDzz9FtqSpgLLlPPL6CYCw3TEedqNqc1k62aewYI8Ttgudbow==" saltValue="Wa8Tam6aLmCW0OIBTvFhr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0816DF9D-A303-49F2-AD69-230E19D58293}">
      <formula1>0</formula1>
    </dataValidation>
    <dataValidation type="date" operator="greaterThanOrEqual" allowBlank="1" showInputMessage="1" showErrorMessage="1" sqref="B2:B213 I2:I213 K2:K213 O2:O213" xr:uid="{7E46D408-4EB9-4913-BAF6-CFB2F276100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D2B4-3B40-41D6-8FBA-68860383DD9B}">
  <dimension ref="A1:U347"/>
  <sheetViews>
    <sheetView workbookViewId="0">
      <selection activeCell="D32" sqref="D32"/>
    </sheetView>
  </sheetViews>
  <sheetFormatPr defaultColWidth="9.140625" defaultRowHeight="1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vnM+XA6/xM0Axjl/bj5cLGKFnIWZKy9Cdv6QNKNsTS47Dcsx4tzDqQ8vYVYvYKK5eqxrT5PJBRZQhYeLBxCM9Q==" saltValue="d1dTc6JA6+H/W16cKvvMu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13F2BFC8-492C-4621-B173-3CB6B855AA8D}">
      <formula1>45658</formula1>
    </dataValidation>
    <dataValidation type="whole" operator="greaterThanOrEqual" allowBlank="1" showInputMessage="1" showErrorMessage="1" sqref="A2:A213 D2:H213 J2:J213 L2:L213 P2:P213" xr:uid="{17F03371-661D-4515-B888-0D5A9221A7F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71BF-6EDF-4C1F-8877-C0D76A873145}">
  <dimension ref="A1:U347"/>
  <sheetViews>
    <sheetView workbookViewId="0">
      <selection activeCell="B200" sqref="B200:P205"/>
    </sheetView>
  </sheetViews>
  <sheetFormatPr defaultColWidth="9.140625" defaultRowHeight="1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2</v>
      </c>
      <c r="U4" s="21">
        <f>T4/S4</f>
        <v>9.433962264150943E-3</v>
      </c>
    </row>
    <row r="5" spans="1:21" ht="15" customHeight="1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>
      <c r="A30" s="32">
        <v>529</v>
      </c>
      <c r="B30" s="10">
        <v>45962</v>
      </c>
      <c r="C30" s="11"/>
      <c r="D30" s="34">
        <v>1</v>
      </c>
      <c r="E30" s="34">
        <v>1</v>
      </c>
      <c r="F30" s="34">
        <v>1</v>
      </c>
      <c r="G30" s="34"/>
      <c r="H30" s="34"/>
      <c r="I30" s="13"/>
      <c r="J30" s="34"/>
      <c r="K30" s="13"/>
      <c r="L30" s="34"/>
      <c r="M30" s="12" t="s">
        <v>21</v>
      </c>
      <c r="N30" s="14" t="s">
        <v>22</v>
      </c>
      <c r="O30" s="10">
        <v>45962</v>
      </c>
      <c r="P30" s="36"/>
    </row>
    <row r="31" spans="1:16" ht="15" customHeight="1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>
      <c r="A71" s="32">
        <v>570</v>
      </c>
      <c r="B71" s="10">
        <v>45961</v>
      </c>
      <c r="C71" s="11"/>
      <c r="D71" s="34">
        <v>53570</v>
      </c>
      <c r="E71" s="34">
        <v>1</v>
      </c>
      <c r="F71" s="34">
        <v>2</v>
      </c>
      <c r="G71" s="34"/>
      <c r="H71" s="34"/>
      <c r="I71" s="13"/>
      <c r="J71" s="34"/>
      <c r="K71" s="13"/>
      <c r="L71" s="34"/>
      <c r="M71" s="12"/>
      <c r="N71" s="14" t="s">
        <v>29</v>
      </c>
      <c r="O71" s="10"/>
      <c r="P71" s="36"/>
    </row>
    <row r="72" spans="1:16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>
      <c r="A80" s="32">
        <v>579</v>
      </c>
      <c r="B80" s="10">
        <v>45962</v>
      </c>
      <c r="C80" s="11"/>
      <c r="D80" s="35">
        <v>1</v>
      </c>
      <c r="E80" s="35">
        <v>1</v>
      </c>
      <c r="F80" s="35">
        <v>1</v>
      </c>
      <c r="G80" s="35"/>
      <c r="H80" s="35"/>
      <c r="I80" s="26"/>
      <c r="J80" s="35"/>
      <c r="K80" s="26"/>
      <c r="L80" s="35"/>
      <c r="M80" s="25" t="s">
        <v>21</v>
      </c>
      <c r="N80" s="27" t="s">
        <v>28</v>
      </c>
      <c r="O80" s="10">
        <v>45962</v>
      </c>
      <c r="P80" s="37"/>
    </row>
    <row r="81" spans="1:16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>
        <v>53718</v>
      </c>
    </row>
    <row r="202" spans="1:16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>
      <c r="P214" s="23"/>
    </row>
    <row r="215" spans="1:16">
      <c r="P215" s="23"/>
    </row>
    <row r="216" spans="1:16">
      <c r="P216" s="23"/>
    </row>
    <row r="217" spans="1:16">
      <c r="P217" s="23"/>
    </row>
    <row r="218" spans="1:16">
      <c r="P218" s="23"/>
    </row>
    <row r="219" spans="1:16">
      <c r="P219" s="23"/>
    </row>
    <row r="220" spans="1:16">
      <c r="P220" s="23"/>
    </row>
    <row r="221" spans="1:16">
      <c r="P221" s="23"/>
    </row>
    <row r="222" spans="1:16">
      <c r="P222" s="23"/>
    </row>
    <row r="223" spans="1:16">
      <c r="P223" s="23"/>
    </row>
    <row r="224" spans="1:16">
      <c r="P224" s="23"/>
    </row>
    <row r="225" spans="16:16">
      <c r="P225" s="23"/>
    </row>
    <row r="226" spans="16:16">
      <c r="P226" s="23"/>
    </row>
    <row r="227" spans="16:16">
      <c r="P227" s="23"/>
    </row>
    <row r="228" spans="16:16">
      <c r="P228" s="23"/>
    </row>
    <row r="229" spans="16:16">
      <c r="P229" s="23"/>
    </row>
    <row r="230" spans="16:16">
      <c r="P230" s="23"/>
    </row>
    <row r="231" spans="16:16">
      <c r="P231" s="23"/>
    </row>
    <row r="232" spans="16:16">
      <c r="P232" s="23"/>
    </row>
    <row r="233" spans="16:16">
      <c r="P233" s="23"/>
    </row>
    <row r="234" spans="16:16">
      <c r="P234" s="23"/>
    </row>
    <row r="235" spans="16:16">
      <c r="P235" s="23"/>
    </row>
    <row r="236" spans="16:16">
      <c r="P236" s="24"/>
    </row>
    <row r="237" spans="16:16">
      <c r="P237" s="23"/>
    </row>
    <row r="238" spans="16:16">
      <c r="P238" s="23"/>
    </row>
    <row r="239" spans="16:16">
      <c r="P239" s="23"/>
    </row>
    <row r="240" spans="16:16">
      <c r="P240" s="23"/>
    </row>
    <row r="241" spans="16:16">
      <c r="P241" s="23"/>
    </row>
    <row r="242" spans="16:16">
      <c r="P242" s="23"/>
    </row>
    <row r="243" spans="16:16">
      <c r="P243" s="23"/>
    </row>
    <row r="244" spans="16:16">
      <c r="P244" s="23"/>
    </row>
    <row r="245" spans="16:16">
      <c r="P245" s="23"/>
    </row>
    <row r="246" spans="16:16">
      <c r="P246" s="23"/>
    </row>
    <row r="247" spans="16:16">
      <c r="P247" s="23"/>
    </row>
    <row r="248" spans="16:16">
      <c r="P248" s="23"/>
    </row>
    <row r="249" spans="16:16">
      <c r="P249" s="23"/>
    </row>
    <row r="250" spans="16:16">
      <c r="P250" s="23"/>
    </row>
    <row r="251" spans="16:16">
      <c r="P251" s="23"/>
    </row>
    <row r="252" spans="16:16">
      <c r="P252" s="23"/>
    </row>
    <row r="253" spans="16:16">
      <c r="P253" s="23"/>
    </row>
    <row r="254" spans="16:16">
      <c r="P254" s="23"/>
    </row>
    <row r="255" spans="16:16">
      <c r="P255" s="23"/>
    </row>
    <row r="256" spans="16:16">
      <c r="P256" s="23"/>
    </row>
    <row r="257" spans="16:16">
      <c r="P257" s="23"/>
    </row>
    <row r="258" spans="16:16">
      <c r="P258" s="23"/>
    </row>
    <row r="259" spans="16:16">
      <c r="P259" s="23"/>
    </row>
    <row r="260" spans="16:16">
      <c r="P260" s="23"/>
    </row>
    <row r="261" spans="16:16">
      <c r="P261" s="23"/>
    </row>
    <row r="262" spans="16:16">
      <c r="P262" s="23"/>
    </row>
    <row r="263" spans="16:16">
      <c r="P263" s="23"/>
    </row>
    <row r="264" spans="16:16">
      <c r="P264" s="23"/>
    </row>
    <row r="265" spans="16:16">
      <c r="P265" s="23"/>
    </row>
    <row r="266" spans="16:16">
      <c r="P266" s="23"/>
    </row>
    <row r="267" spans="16:16">
      <c r="P267" s="23"/>
    </row>
    <row r="268" spans="16:16">
      <c r="P268" s="23"/>
    </row>
    <row r="269" spans="16:16">
      <c r="P269" s="23"/>
    </row>
    <row r="270" spans="16:16">
      <c r="P270" s="23"/>
    </row>
    <row r="271" spans="16:16">
      <c r="P271" s="23"/>
    </row>
    <row r="272" spans="16:16">
      <c r="P272" s="23"/>
    </row>
    <row r="273" spans="16:16">
      <c r="P273" s="23"/>
    </row>
    <row r="274" spans="16:16">
      <c r="P274" s="23"/>
    </row>
    <row r="275" spans="16:16">
      <c r="P275" s="23"/>
    </row>
    <row r="276" spans="16:16">
      <c r="P276" s="23"/>
    </row>
    <row r="277" spans="16:16">
      <c r="P277" s="23"/>
    </row>
    <row r="278" spans="16:16">
      <c r="P278" s="23"/>
    </row>
    <row r="279" spans="16:16">
      <c r="P279" s="23"/>
    </row>
    <row r="280" spans="16:16">
      <c r="P280" s="23"/>
    </row>
    <row r="281" spans="16:16">
      <c r="P281" s="23"/>
    </row>
    <row r="282" spans="16:16">
      <c r="P282" s="23"/>
    </row>
    <row r="283" spans="16:16">
      <c r="P283" s="23"/>
    </row>
    <row r="284" spans="16:16">
      <c r="P284" s="23"/>
    </row>
    <row r="285" spans="16:16">
      <c r="P285" s="23"/>
    </row>
    <row r="286" spans="16:16">
      <c r="P286" s="23"/>
    </row>
    <row r="287" spans="16:16">
      <c r="P287" s="23"/>
    </row>
    <row r="288" spans="16:16">
      <c r="P288" s="23"/>
    </row>
    <row r="289" spans="16:16">
      <c r="P289" s="23"/>
    </row>
    <row r="290" spans="16:16">
      <c r="P290" s="23"/>
    </row>
    <row r="291" spans="16:16">
      <c r="P291" s="23"/>
    </row>
    <row r="292" spans="16:16">
      <c r="P292" s="23"/>
    </row>
    <row r="293" spans="16:16">
      <c r="P293" s="23"/>
    </row>
    <row r="294" spans="16:16">
      <c r="P294" s="23"/>
    </row>
    <row r="295" spans="16:16">
      <c r="P295" s="23"/>
    </row>
    <row r="296" spans="16:16">
      <c r="P296" s="23"/>
    </row>
    <row r="297" spans="16:16">
      <c r="P297" s="23"/>
    </row>
    <row r="298" spans="16:16">
      <c r="P298" s="23"/>
    </row>
    <row r="299" spans="16:16">
      <c r="P299" s="23"/>
    </row>
    <row r="300" spans="16:16">
      <c r="P300" s="23"/>
    </row>
    <row r="301" spans="16:16">
      <c r="P301" s="23"/>
    </row>
    <row r="302" spans="16:16">
      <c r="P302" s="23"/>
    </row>
    <row r="303" spans="16:16">
      <c r="P303" s="23"/>
    </row>
    <row r="304" spans="16:16">
      <c r="P304" s="23"/>
    </row>
    <row r="305" spans="16:16">
      <c r="P305" s="23"/>
    </row>
    <row r="306" spans="16:16">
      <c r="P306" s="23"/>
    </row>
    <row r="307" spans="16:16">
      <c r="P307" s="23"/>
    </row>
    <row r="308" spans="16:16">
      <c r="P308" s="23"/>
    </row>
    <row r="309" spans="16:16">
      <c r="P309" s="23"/>
    </row>
    <row r="310" spans="16:16">
      <c r="P310" s="23"/>
    </row>
    <row r="311" spans="16:16">
      <c r="P311" s="23"/>
    </row>
    <row r="312" spans="16:16">
      <c r="P312" s="23"/>
    </row>
    <row r="313" spans="16:16">
      <c r="P313" s="23"/>
    </row>
    <row r="314" spans="16:16">
      <c r="P314" s="23"/>
    </row>
    <row r="315" spans="16:16">
      <c r="P315" s="23"/>
    </row>
    <row r="316" spans="16:16">
      <c r="P316" s="23"/>
    </row>
    <row r="317" spans="16:16">
      <c r="P317" s="23"/>
    </row>
    <row r="318" spans="16:16">
      <c r="P318" s="23"/>
    </row>
    <row r="319" spans="16:16">
      <c r="P319" s="24"/>
    </row>
    <row r="320" spans="16:16">
      <c r="P320" s="23"/>
    </row>
    <row r="321" spans="16:16">
      <c r="P321" s="23"/>
    </row>
    <row r="322" spans="16:16">
      <c r="P322" s="23"/>
    </row>
    <row r="323" spans="16:16">
      <c r="P323" s="23"/>
    </row>
    <row r="324" spans="16:16">
      <c r="P324" s="23"/>
    </row>
    <row r="325" spans="16:16">
      <c r="P325" s="23"/>
    </row>
    <row r="326" spans="16:16">
      <c r="P326" s="23"/>
    </row>
    <row r="327" spans="16:16">
      <c r="P327" s="23"/>
    </row>
    <row r="328" spans="16:16">
      <c r="P328" s="23"/>
    </row>
    <row r="329" spans="16:16">
      <c r="P329" s="23"/>
    </row>
    <row r="330" spans="16:16">
      <c r="P330" s="23"/>
    </row>
    <row r="331" spans="16:16">
      <c r="P331" s="23"/>
    </row>
    <row r="332" spans="16:16">
      <c r="P332" s="23"/>
    </row>
    <row r="333" spans="16:16">
      <c r="P333" s="23"/>
    </row>
    <row r="334" spans="16:16">
      <c r="P334" s="23"/>
    </row>
    <row r="335" spans="16:16">
      <c r="P335" s="23"/>
    </row>
    <row r="336" spans="16:16">
      <c r="P336" s="23"/>
    </row>
    <row r="337" spans="16:16">
      <c r="P337" s="23"/>
    </row>
    <row r="338" spans="16:16">
      <c r="P338" s="23"/>
    </row>
    <row r="339" spans="16:16">
      <c r="P339" s="23"/>
    </row>
    <row r="340" spans="16:16">
      <c r="P340" s="23"/>
    </row>
    <row r="341" spans="16:16">
      <c r="P341" s="23"/>
    </row>
    <row r="342" spans="16:16">
      <c r="P342" s="23"/>
    </row>
    <row r="343" spans="16:16">
      <c r="P343" s="23"/>
    </row>
    <row r="344" spans="16:16">
      <c r="P344" s="23"/>
    </row>
    <row r="345" spans="16:16">
      <c r="P345" s="23"/>
    </row>
    <row r="346" spans="16:16">
      <c r="P346" s="23"/>
    </row>
    <row r="347" spans="16:16">
      <c r="P347" s="23"/>
    </row>
  </sheetData>
  <sheetProtection algorithmName="SHA-512" hashValue="Nmpn5cntoMU9Q5JIIiZImfRKgYKPcV5pbPnZd0Id16ldnornNJFRFs5K80gsheIOKhi9GdVNgG62nsw7SvHqiw==" saltValue="HRI6qPiXgkl29JBM2bxYV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E2678F14-5998-4361-B3C6-D235C8CF272C}">
      <formula1>0</formula1>
    </dataValidation>
    <dataValidation type="date" operator="greaterThanOrEqual" allowBlank="1" showInputMessage="1" showErrorMessage="1" sqref="B2:B213 I2:I213 K2:K213 O2:O213" xr:uid="{30985136-C4CC-43B8-8CB1-71D92B894DF4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CC010B-2B9E-4E23-94AE-2C876B2036AF}"/>
</file>

<file path=customXml/itemProps2.xml><?xml version="1.0" encoding="utf-8"?>
<ds:datastoreItem xmlns:ds="http://schemas.openxmlformats.org/officeDocument/2006/customXml" ds:itemID="{FB928B19-3BAD-4F98-97E8-8476434E8822}"/>
</file>

<file path=customXml/itemProps3.xml><?xml version="1.0" encoding="utf-8"?>
<ds:datastoreItem xmlns:ds="http://schemas.openxmlformats.org/officeDocument/2006/customXml" ds:itemID="{7579DEA0-BEE8-4EA0-A81B-04E7E6DB14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Mourad Zerrouk</cp:lastModifiedBy>
  <cp:revision/>
  <dcterms:created xsi:type="dcterms:W3CDTF">2025-10-14T11:31:59Z</dcterms:created>
  <dcterms:modified xsi:type="dcterms:W3CDTF">2025-11-06T06:39:44Z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