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501" documentId="13_ncr:1_{1E1E5BEC-5BEE-42AB-81D4-08B890F79E33}" xr6:coauthVersionLast="47" xr6:coauthVersionMax="47" xr10:uidLastSave="{A980F4F5-0F9C-4FA9-9C2A-73261D453EBA}"/>
  <bookViews>
    <workbookView xWindow="-120" yWindow="-120" windowWidth="29040" windowHeight="15720" firstSheet="6" activeTab="12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13" l="1"/>
  <c r="U4" i="3"/>
  <c r="U4" i="7"/>
  <c r="U4" i="5"/>
  <c r="U4" i="4"/>
  <c r="U4" i="6"/>
  <c r="U4" i="1"/>
</calcChain>
</file>

<file path=xl/sharedStrings.xml><?xml version="1.0" encoding="utf-8"?>
<sst xmlns="http://schemas.openxmlformats.org/spreadsheetml/2006/main" count="428" uniqueCount="30">
  <si>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</si>
  <si>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</si>
  <si>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</si>
  <si>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</si>
  <si>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</si>
  <si>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</si>
  <si>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</si>
  <si>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</si>
  <si>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</si>
  <si>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</si>
  <si>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</si>
  <si>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</si>
  <si>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</si>
  <si>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</si>
  <si>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</si>
  <si>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</si>
  <si>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</si>
  <si>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</si>
  <si>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</si>
  <si>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</si>
  <si>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</si>
  <si>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</si>
  <si>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</si>
  <si>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Roland</t>
  </si>
  <si>
    <t>y</t>
  </si>
  <si>
    <t>Michael</t>
  </si>
  <si>
    <t>Patrick</t>
  </si>
  <si>
    <t>Violina</t>
  </si>
  <si>
    <t>Noah</t>
  </si>
  <si>
    <t>Strahil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</si>
</sst>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16" fontId="5" fillId="0" borderId="4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F578C7-DD3B-4CD4-80A1-39D698D4B2B9}" name="TagsRA10" displayName="TagsRA10" ref="A1:P213" totalsRowShown="0" headerRowDxfId="53" tableBorderDxfId="52">
  <autoFilter ref="A1:P213" xr:uid="{8C459B2E-0469-4808-A7E2-2087F0BC89FF}"/>
  <tableColumns count="16">
    <tableColumn id="1" xr3:uid="{42C0EE32-0C2A-4239-9EF4-E92083862BED}" name="Unit No." dataDxfId="51"/>
    <tableColumn id="2" xr3:uid="{4DCB030E-7E6F-4489-BD39-5C74A0204BDF}" name="DATE" dataDxfId="50"/>
    <tableColumn id="3" xr3:uid="{6C2D1E27-AD24-415F-8A01-304DAC30FBA4}" name="Status" dataDxfId="49"/>
    <tableColumn id="4" xr3:uid="{AE19473F-2606-4242-876F-6CE33350B1C9}" name="Number of cars affected by graffiti/shadows on this unit" dataDxfId="48"/>
    <tableColumn id="5" xr3:uid="{72A83BA9-8C06-4A2E-ADFB-A909C5DF3E11}" name="Total Number of Tags found" dataDxfId="47"/>
    <tableColumn id="6" xr3:uid="{63769A10-81FF-4E6E-8D70-0FDAF35FFB08}" name="Total Tags Removed / Cleaned" dataDxfId="46"/>
    <tableColumn id="7" xr3:uid="{FA65CB1A-9ED4-46A8-BE9D-A0BB42A5C9B3}" name="Total Tags Not Cleaned on this Unit" dataDxfId="45"/>
    <tableColumn id="8" xr3:uid="{033C5EC3-5591-4286-947A-9A06DA9A1AF6}" name="Car Number (s)  of Tags not cleaned (shadows)" dataDxfId="44"/>
    <tableColumn id="9" xr3:uid="{238A1B5C-B95D-4AA7-A9AB-44066A4E79BE}" name="Date of 2nd visit to clean remaining tags" dataDxfId="43"/>
    <tableColumn id="10" xr3:uid="{4B6ABF18-D718-4B35-B86D-326F14D55D35}" name="Number of tags removed" dataDxfId="42"/>
    <tableColumn id="11" xr3:uid="{1E7C4D8F-E17F-4C49-A0CD-BC8BB3BB0DC4}" name="Date of 3rd visit to clean remaining tags" dataDxfId="41"/>
    <tableColumn id="12" xr3:uid="{0124164E-414C-46FE-B556-64D88B5C4D81}" name="Number of tags removed2" dataDxfId="40"/>
    <tableColumn id="13" xr3:uid="{5D2D69D0-9F31-4C7A-A974-9577F6032093}" name="Train Inspected and Fit for service    (Y/N)" dataDxfId="39"/>
    <tableColumn id="14" xr3:uid="{2C7B98AE-C8C5-4F1E-886B-52C94A8F3723}" name="Inspected by Supervisor/Manager (Name)" dataDxfId="38"/>
    <tableColumn id="15" xr3:uid="{0882498A-2577-49A3-9007-D2198127A9CF}" name="Date of Completing all shadows (Tags) on this Unit excluding acid etched shadows" dataDxfId="37"/>
    <tableColumn id="16" xr3:uid="{ECAB3644-602A-44E1-B96E-BC27982CF8C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B7AA2-D994-49EC-A25E-75C74A4F914C}" name="TagsRA11" displayName="TagsRA11" ref="A1:P213" totalsRowShown="0" headerRowDxfId="35" tableBorderDxfId="34">
  <autoFilter ref="A1:P213" xr:uid="{8C459B2E-0469-4808-A7E2-2087F0BC89FF}"/>
  <tableColumns count="16">
    <tableColumn id="1" xr3:uid="{FD2006A6-05F2-42FF-AD6A-A0DD7FDADB10}" name="Unit No." dataDxfId="33"/>
    <tableColumn id="2" xr3:uid="{D64E9FB1-99EF-4CBB-B0F7-248033571969}" name="DATE" dataDxfId="32"/>
    <tableColumn id="3" xr3:uid="{EC30836F-5A37-4D29-BD65-6E9D5D95CCAF}" name="Status" dataDxfId="31"/>
    <tableColumn id="4" xr3:uid="{285BCDCC-625B-4E64-94E8-23A6AE8892B2}" name="Number of cars affected by graffiti/shadows on this unit" dataDxfId="30"/>
    <tableColumn id="5" xr3:uid="{FC8ED1E6-4745-4E50-A48F-3C2C8DCE1BF8}" name="Total Number of Tags found" dataDxfId="29"/>
    <tableColumn id="6" xr3:uid="{CEB21520-C8BF-416A-A39D-FB7F8BA3B12C}" name="Total Tags Removed / Cleaned" dataDxfId="28"/>
    <tableColumn id="7" xr3:uid="{D333945D-7EAB-4FED-8714-4C6837D7D753}" name="Total Tags Not Cleaned on this Unit" dataDxfId="27"/>
    <tableColumn id="8" xr3:uid="{F4B65EEB-E778-4C1A-B6F2-4A62BFC50A72}" name="Car Number (s)  of Tags not cleaned (shadows)" dataDxfId="26"/>
    <tableColumn id="9" xr3:uid="{D55207D9-4079-4A0F-A6E1-E8157E696192}" name="Date of 2nd visit to clean remaining tags" dataDxfId="25"/>
    <tableColumn id="10" xr3:uid="{FD9AB62B-5A25-4551-B6B4-7D2F1053477A}" name="Number of tags removed" dataDxfId="24"/>
    <tableColumn id="11" xr3:uid="{0FE97C71-996C-46CF-8D1A-EAA68F9F3F3A}" name="Date of 3rd visit to clean remaining tags" dataDxfId="23"/>
    <tableColumn id="12" xr3:uid="{F6083B0A-DB11-4E68-9464-37CBFE26D0E6}" name="Number of tags removed2" dataDxfId="22"/>
    <tableColumn id="13" xr3:uid="{4EF524F7-06CB-4BA1-999D-AB0E006904D3}" name="Train Inspected and Fit for service    (Y/N)" dataDxfId="21"/>
    <tableColumn id="14" xr3:uid="{17268357-C505-4FB9-A02E-952248D53AB0}" name="Inspected by Supervisor/Manager (Name)" dataDxfId="20"/>
    <tableColumn id="15" xr3:uid="{045758DA-86E2-4A2F-8134-1F2399023D79}" name="Date of Completing all shadows (Tags) on this Unit excluding acid etched shadows" dataDxfId="19"/>
    <tableColumn id="16" xr3:uid="{50BE9063-5636-40F2-8514-086735C2803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BDD3EE-04E1-479F-B293-93D76F66B72F}" name="TagsRA12" displayName="TagsRA12" ref="A1:P213" totalsRowShown="0" headerRowDxfId="17" tableBorderDxfId="16">
  <autoFilter ref="A1:P213" xr:uid="{8C459B2E-0469-4808-A7E2-2087F0BC89FF}"/>
  <tableColumns count="16">
    <tableColumn id="1" xr3:uid="{7BF16FDB-A318-4863-9011-E582DE2A238C}" name="Unit No." dataDxfId="15"/>
    <tableColumn id="2" xr3:uid="{9AA05527-6FF9-47E4-81F0-4074E9C9691A}" name="DATE" dataDxfId="14"/>
    <tableColumn id="3" xr3:uid="{C9300CD3-790A-45AE-8F12-8510EDCF1672}" name="Status" dataDxfId="13"/>
    <tableColumn id="4" xr3:uid="{CE054A19-AA11-4FA8-81F3-74F5C860C608}" name="Number of cars affected by graffiti/shadows on this unit" dataDxfId="12"/>
    <tableColumn id="5" xr3:uid="{EC917627-7A95-43BE-9346-2B17B2DBB45D}" name="Total Number of Tags found" dataDxfId="11"/>
    <tableColumn id="6" xr3:uid="{6C77DF78-029F-468C-8FC4-80D2DEB5FF74}" name="Total Tags Removed / Cleaned" dataDxfId="10"/>
    <tableColumn id="7" xr3:uid="{5A3D4440-B006-42C5-8E2A-0778959C4E74}" name="Total Tags Not Cleaned on this Unit" dataDxfId="9"/>
    <tableColumn id="8" xr3:uid="{9F2E8E2F-D604-417D-A819-04696D5BA705}" name="Car Number (s)  of Tags not cleaned (shadows)" dataDxfId="8"/>
    <tableColumn id="9" xr3:uid="{C42BE52F-E1E3-444B-8F68-F90D1D592B9C}" name="Date of 2nd visit to clean remaining tags" dataDxfId="7"/>
    <tableColumn id="10" xr3:uid="{4B1E63D9-0B74-426D-A413-34782270FF2E}" name="Number of tags removed" dataDxfId="6"/>
    <tableColumn id="11" xr3:uid="{0A6CDB84-3FAE-4C62-82CF-B84C5A361E9E}" name="Date of 3rd visit to clean remaining tags" dataDxfId="5"/>
    <tableColumn id="12" xr3:uid="{C88A784E-8462-4AA1-A53A-7D7E6422C9A3}" name="Number of tags removed2" dataDxfId="4"/>
    <tableColumn id="13" xr3:uid="{73FA8D8F-0E8D-4CFE-9103-AB02ED5D2AB4}" name="Train Inspected and Fit for service    (Y/N)" dataDxfId="3"/>
    <tableColumn id="14" xr3:uid="{3B3534C0-5D04-40AF-94B0-FEFA14CC376B}" name="Inspected by Supervisor/Manager (Name)" dataDxfId="2"/>
    <tableColumn id="15" xr3:uid="{34942405-5309-4BA8-8114-CC2A4543B293}" name="Date of Completing all shadows (Tags) on this Unit excluding acid etched shadows" dataDxfId="1"/>
    <tableColumn id="16" xr3:uid="{7F448C85-95AC-4AE4-8501-731BC58E1CF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186" activePane="bottomRight" state="frozen"/>
      <selection pane="topRight"/>
      <selection pane="bottomLeft"/>
      <selection pane="bottomRight" activeCell="O173" sqref="O173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66</v>
      </c>
      <c r="U4" s="21">
        <f>T4/S4</f>
        <v>0.31132075471698112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>
        <v>45964</v>
      </c>
      <c r="C8" s="11"/>
      <c r="D8" s="35">
        <v>1</v>
      </c>
      <c r="E8" s="35">
        <v>2</v>
      </c>
      <c r="F8" s="35">
        <v>2</v>
      </c>
      <c r="G8" s="35"/>
      <c r="H8" s="35"/>
      <c r="I8" s="26"/>
      <c r="J8" s="35"/>
      <c r="K8" s="26"/>
      <c r="L8" s="35"/>
      <c r="M8" s="25" t="s">
        <v>21</v>
      </c>
      <c r="N8" s="27" t="s">
        <v>23</v>
      </c>
      <c r="O8" s="10">
        <v>45964</v>
      </c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>
        <v>45963</v>
      </c>
      <c r="C15" s="11"/>
      <c r="D15" s="35">
        <v>1</v>
      </c>
      <c r="E15" s="35">
        <v>6</v>
      </c>
      <c r="F15" s="35">
        <v>6</v>
      </c>
      <c r="G15" s="35"/>
      <c r="H15" s="35"/>
      <c r="I15" s="26"/>
      <c r="J15" s="35"/>
      <c r="K15" s="26"/>
      <c r="L15" s="35"/>
      <c r="M15" s="25" t="s">
        <v>21</v>
      </c>
      <c r="N15" s="27" t="s">
        <v>23</v>
      </c>
      <c r="O15" s="10">
        <v>45963</v>
      </c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>
        <v>45958</v>
      </c>
      <c r="C22" s="11"/>
      <c r="D22" s="34">
        <v>1</v>
      </c>
      <c r="E22" s="34">
        <v>2</v>
      </c>
      <c r="F22" s="34">
        <v>1</v>
      </c>
      <c r="G22" s="34"/>
      <c r="H22" s="34"/>
      <c r="I22" s="13"/>
      <c r="J22" s="34"/>
      <c r="K22" s="13"/>
      <c r="L22" s="34"/>
      <c r="M22" s="12" t="s">
        <v>24</v>
      </c>
      <c r="N22" s="14" t="s">
        <v>23</v>
      </c>
      <c r="O22" s="10">
        <v>45958</v>
      </c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25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>
        <v>45958</v>
      </c>
      <c r="C28" s="11"/>
      <c r="D28" s="35">
        <v>1</v>
      </c>
      <c r="E28" s="35">
        <v>2</v>
      </c>
      <c r="F28" s="35">
        <v>1</v>
      </c>
      <c r="G28" s="35"/>
      <c r="H28" s="35"/>
      <c r="I28" s="26"/>
      <c r="J28" s="35"/>
      <c r="K28" s="26"/>
      <c r="L28" s="35"/>
      <c r="M28" s="25" t="s">
        <v>24</v>
      </c>
      <c r="N28" s="27" t="s">
        <v>23</v>
      </c>
      <c r="O28" s="10">
        <v>45958</v>
      </c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>
        <v>45958</v>
      </c>
      <c r="C35" s="11"/>
      <c r="D35" s="35">
        <v>1</v>
      </c>
      <c r="E35" s="35">
        <v>2</v>
      </c>
      <c r="F35" s="35">
        <v>1</v>
      </c>
      <c r="G35" s="35"/>
      <c r="H35" s="35"/>
      <c r="I35" s="26"/>
      <c r="J35" s="35"/>
      <c r="K35" s="26"/>
      <c r="L35" s="35"/>
      <c r="M35" s="25" t="s">
        <v>24</v>
      </c>
      <c r="N35" s="27" t="s">
        <v>23</v>
      </c>
      <c r="O35" s="10">
        <v>45958</v>
      </c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>
        <v>45963</v>
      </c>
      <c r="C37" s="11"/>
      <c r="D37" s="35">
        <v>1</v>
      </c>
      <c r="E37" s="35">
        <v>3</v>
      </c>
      <c r="F37" s="35">
        <v>3</v>
      </c>
      <c r="G37" s="35"/>
      <c r="H37" s="35"/>
      <c r="I37" s="26"/>
      <c r="J37" s="35"/>
      <c r="K37" s="26"/>
      <c r="L37" s="35"/>
      <c r="M37" s="25" t="s">
        <v>21</v>
      </c>
      <c r="N37" s="27" t="s">
        <v>23</v>
      </c>
      <c r="O37" s="10">
        <v>45963</v>
      </c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>
        <v>45964</v>
      </c>
      <c r="C40" s="11"/>
      <c r="D40" s="34">
        <v>1</v>
      </c>
      <c r="E40" s="34">
        <v>3</v>
      </c>
      <c r="F40" s="34">
        <v>3</v>
      </c>
      <c r="G40" s="34"/>
      <c r="H40" s="34"/>
      <c r="I40" s="13"/>
      <c r="J40" s="34"/>
      <c r="K40" s="13"/>
      <c r="L40" s="34"/>
      <c r="M40" s="12" t="s">
        <v>21</v>
      </c>
      <c r="N40" s="14" t="s">
        <v>23</v>
      </c>
      <c r="O40" s="10">
        <v>45964</v>
      </c>
      <c r="P40" s="36"/>
    </row>
    <row r="41" spans="1:16" ht="15" customHeight="1" x14ac:dyDescent="0.2">
      <c r="A41" s="32">
        <v>540</v>
      </c>
      <c r="B41" s="10">
        <v>45964</v>
      </c>
      <c r="C41" s="11"/>
      <c r="D41" s="34">
        <v>1</v>
      </c>
      <c r="E41" s="34">
        <v>2</v>
      </c>
      <c r="F41" s="34">
        <v>2</v>
      </c>
      <c r="G41" s="34"/>
      <c r="H41" s="34"/>
      <c r="I41" s="13"/>
      <c r="J41" s="34"/>
      <c r="K41" s="13"/>
      <c r="L41" s="34"/>
      <c r="M41" s="12" t="s">
        <v>21</v>
      </c>
      <c r="N41" s="14" t="s">
        <v>23</v>
      </c>
      <c r="O41" s="10">
        <v>45964</v>
      </c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>
        <v>45958</v>
      </c>
      <c r="C53" s="11"/>
      <c r="D53" s="34">
        <v>1</v>
      </c>
      <c r="E53" s="34">
        <v>2</v>
      </c>
      <c r="F53" s="34">
        <v>1</v>
      </c>
      <c r="G53" s="34"/>
      <c r="H53" s="34"/>
      <c r="I53" s="13"/>
      <c r="J53" s="34"/>
      <c r="K53" s="13"/>
      <c r="L53" s="34"/>
      <c r="M53" s="12" t="s">
        <v>24</v>
      </c>
      <c r="N53" s="14" t="s">
        <v>23</v>
      </c>
      <c r="O53" s="10">
        <v>45958</v>
      </c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>
        <v>45958</v>
      </c>
      <c r="C68" s="11"/>
      <c r="D68" s="35">
        <v>1</v>
      </c>
      <c r="E68" s="35">
        <v>2</v>
      </c>
      <c r="F68" s="35">
        <v>1</v>
      </c>
      <c r="G68" s="35"/>
      <c r="H68" s="35"/>
      <c r="I68" s="26"/>
      <c r="J68" s="35"/>
      <c r="K68" s="26"/>
      <c r="L68" s="35"/>
      <c r="M68" s="25" t="s">
        <v>24</v>
      </c>
      <c r="N68" s="27" t="s">
        <v>23</v>
      </c>
      <c r="O68" s="10">
        <v>45958</v>
      </c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25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27</v>
      </c>
      <c r="O73" s="10">
        <v>45949</v>
      </c>
      <c r="P73" s="36"/>
    </row>
    <row r="74" spans="1:16" x14ac:dyDescent="0.2">
      <c r="A74" s="33">
        <v>573</v>
      </c>
      <c r="B74" s="10">
        <v>45963</v>
      </c>
      <c r="C74" s="11"/>
      <c r="D74" s="35">
        <v>1</v>
      </c>
      <c r="E74" s="35">
        <v>2</v>
      </c>
      <c r="F74" s="35">
        <v>2</v>
      </c>
      <c r="G74" s="35"/>
      <c r="H74" s="35"/>
      <c r="I74" s="26"/>
      <c r="J74" s="35"/>
      <c r="K74" s="26"/>
      <c r="L74" s="35"/>
      <c r="M74" s="25" t="s">
        <v>21</v>
      </c>
      <c r="N74" s="27" t="s">
        <v>23</v>
      </c>
      <c r="O74" s="10">
        <v>45963</v>
      </c>
      <c r="P74" s="37"/>
    </row>
    <row r="75" spans="1:16" x14ac:dyDescent="0.2">
      <c r="A75" s="32">
        <v>574</v>
      </c>
      <c r="B75" s="10">
        <v>45959</v>
      </c>
      <c r="C75" s="11"/>
      <c r="D75" s="34">
        <v>1</v>
      </c>
      <c r="E75" s="34">
        <v>1</v>
      </c>
      <c r="F75" s="34">
        <v>1</v>
      </c>
      <c r="G75" s="34"/>
      <c r="H75" s="34"/>
      <c r="I75" s="13"/>
      <c r="J75" s="34"/>
      <c r="K75" s="13"/>
      <c r="L75" s="34"/>
      <c r="M75" s="12" t="s">
        <v>24</v>
      </c>
      <c r="N75" s="14" t="s">
        <v>23</v>
      </c>
      <c r="O75" s="10">
        <v>45959</v>
      </c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>
        <v>45963</v>
      </c>
      <c r="C79" s="11"/>
      <c r="D79" s="35">
        <v>1</v>
      </c>
      <c r="E79" s="35">
        <v>3</v>
      </c>
      <c r="F79" s="35">
        <v>3</v>
      </c>
      <c r="G79" s="35"/>
      <c r="H79" s="35"/>
      <c r="I79" s="26"/>
      <c r="J79" s="35"/>
      <c r="K79" s="26"/>
      <c r="L79" s="35"/>
      <c r="M79" s="25" t="s">
        <v>21</v>
      </c>
      <c r="N79" s="27" t="s">
        <v>23</v>
      </c>
      <c r="O79" s="10">
        <v>45963</v>
      </c>
      <c r="P79" s="37"/>
    </row>
    <row r="80" spans="1:16" x14ac:dyDescent="0.2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27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>
        <v>45958</v>
      </c>
      <c r="C88" s="11"/>
      <c r="D88" s="35">
        <v>1</v>
      </c>
      <c r="E88" s="35">
        <v>2</v>
      </c>
      <c r="F88" s="35">
        <v>1</v>
      </c>
      <c r="G88" s="35"/>
      <c r="H88" s="35"/>
      <c r="I88" s="26"/>
      <c r="J88" s="35"/>
      <c r="K88" s="26"/>
      <c r="L88" s="35"/>
      <c r="M88" s="25" t="s">
        <v>24</v>
      </c>
      <c r="N88" s="27" t="s">
        <v>23</v>
      </c>
      <c r="O88" s="10">
        <v>45958</v>
      </c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>
        <v>45959</v>
      </c>
      <c r="C96" s="11"/>
      <c r="D96" s="34">
        <v>1</v>
      </c>
      <c r="E96" s="34">
        <v>1</v>
      </c>
      <c r="F96" s="34">
        <v>1</v>
      </c>
      <c r="G96" s="34"/>
      <c r="H96" s="34"/>
      <c r="I96" s="13"/>
      <c r="J96" s="34"/>
      <c r="K96" s="13"/>
      <c r="L96" s="34"/>
      <c r="M96" s="12" t="s">
        <v>24</v>
      </c>
      <c r="N96" s="14" t="s">
        <v>23</v>
      </c>
      <c r="O96" s="10">
        <v>45959</v>
      </c>
      <c r="P96" s="36"/>
    </row>
    <row r="97" spans="1:16" x14ac:dyDescent="0.2">
      <c r="A97" s="32">
        <v>596</v>
      </c>
      <c r="B97" s="10">
        <v>45964</v>
      </c>
      <c r="C97" s="11"/>
      <c r="D97" s="34">
        <v>1</v>
      </c>
      <c r="E97" s="34">
        <v>1</v>
      </c>
      <c r="F97" s="34">
        <v>1</v>
      </c>
      <c r="G97" s="34"/>
      <c r="H97" s="34"/>
      <c r="I97" s="13"/>
      <c r="J97" s="34"/>
      <c r="K97" s="13"/>
      <c r="L97" s="34"/>
      <c r="M97" s="12" t="s">
        <v>21</v>
      </c>
      <c r="N97" s="14" t="s">
        <v>23</v>
      </c>
      <c r="O97" s="10">
        <v>45964</v>
      </c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28</v>
      </c>
      <c r="O107" s="10">
        <v>45955</v>
      </c>
      <c r="P107" s="37"/>
    </row>
    <row r="108" spans="1:16" x14ac:dyDescent="0.2">
      <c r="A108" s="32">
        <v>607</v>
      </c>
      <c r="B108" s="10">
        <v>45964</v>
      </c>
      <c r="C108" s="11"/>
      <c r="D108" s="34">
        <v>1</v>
      </c>
      <c r="E108" s="34">
        <v>3</v>
      </c>
      <c r="F108" s="34">
        <v>3</v>
      </c>
      <c r="G108" s="34"/>
      <c r="H108" s="34"/>
      <c r="I108" s="13"/>
      <c r="J108" s="34"/>
      <c r="K108" s="13"/>
      <c r="L108" s="34"/>
      <c r="M108" s="12" t="s">
        <v>21</v>
      </c>
      <c r="N108" s="14" t="s">
        <v>23</v>
      </c>
      <c r="O108" s="10">
        <v>45964</v>
      </c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25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>
        <v>45963</v>
      </c>
      <c r="C114" s="11"/>
      <c r="D114" s="35">
        <v>1</v>
      </c>
      <c r="E114" s="35">
        <v>1</v>
      </c>
      <c r="F114" s="35">
        <v>1</v>
      </c>
      <c r="G114" s="35"/>
      <c r="H114" s="35"/>
      <c r="I114" s="26"/>
      <c r="J114" s="35"/>
      <c r="K114" s="26"/>
      <c r="L114" s="35"/>
      <c r="M114" s="25" t="s">
        <v>21</v>
      </c>
      <c r="N114" s="27" t="s">
        <v>23</v>
      </c>
      <c r="O114" s="10">
        <v>45963</v>
      </c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>
        <v>45963</v>
      </c>
      <c r="C116" s="11"/>
      <c r="D116" s="35">
        <v>1</v>
      </c>
      <c r="E116" s="35">
        <v>2</v>
      </c>
      <c r="F116" s="35">
        <v>2</v>
      </c>
      <c r="G116" s="35"/>
      <c r="H116" s="35"/>
      <c r="I116" s="26"/>
      <c r="J116" s="35"/>
      <c r="K116" s="26"/>
      <c r="L116" s="35"/>
      <c r="M116" s="25" t="s">
        <v>21</v>
      </c>
      <c r="N116" s="27" t="s">
        <v>23</v>
      </c>
      <c r="O116" s="10">
        <v>45963</v>
      </c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>
        <v>45964</v>
      </c>
      <c r="C118" s="11"/>
      <c r="D118" s="34">
        <v>1</v>
      </c>
      <c r="E118" s="34">
        <v>2</v>
      </c>
      <c r="F118" s="34">
        <v>2</v>
      </c>
      <c r="G118" s="34"/>
      <c r="H118" s="34"/>
      <c r="I118" s="13"/>
      <c r="J118" s="34"/>
      <c r="K118" s="13"/>
      <c r="L118" s="34"/>
      <c r="M118" s="12" t="s">
        <v>21</v>
      </c>
      <c r="N118" s="14" t="s">
        <v>23</v>
      </c>
      <c r="O118" s="10">
        <v>45964</v>
      </c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>
        <v>45963</v>
      </c>
      <c r="C121" s="11"/>
      <c r="D121" s="35">
        <v>1</v>
      </c>
      <c r="E121" s="35">
        <v>3</v>
      </c>
      <c r="F121" s="35">
        <v>3</v>
      </c>
      <c r="G121" s="35"/>
      <c r="H121" s="35"/>
      <c r="I121" s="26"/>
      <c r="J121" s="35"/>
      <c r="K121" s="26"/>
      <c r="L121" s="35"/>
      <c r="M121" s="25" t="s">
        <v>21</v>
      </c>
      <c r="N121" s="27" t="s">
        <v>23</v>
      </c>
      <c r="O121" s="10">
        <v>45963</v>
      </c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25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25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25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28</v>
      </c>
      <c r="O141" s="10">
        <v>45955</v>
      </c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>
        <v>45958</v>
      </c>
      <c r="C143" s="11"/>
      <c r="D143" s="35">
        <v>1</v>
      </c>
      <c r="E143" s="35">
        <v>2</v>
      </c>
      <c r="F143" s="35">
        <v>1</v>
      </c>
      <c r="G143" s="35"/>
      <c r="H143" s="35"/>
      <c r="I143" s="26"/>
      <c r="J143" s="35"/>
      <c r="K143" s="26"/>
      <c r="L143" s="35"/>
      <c r="M143" s="25" t="s">
        <v>24</v>
      </c>
      <c r="N143" s="27" t="s">
        <v>23</v>
      </c>
      <c r="O143" s="10">
        <v>45958</v>
      </c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>
        <v>45963</v>
      </c>
      <c r="C145" s="11"/>
      <c r="D145" s="35">
        <v>1</v>
      </c>
      <c r="E145" s="35">
        <v>2</v>
      </c>
      <c r="F145" s="35">
        <v>2</v>
      </c>
      <c r="G145" s="35"/>
      <c r="H145" s="35"/>
      <c r="I145" s="26"/>
      <c r="J145" s="35"/>
      <c r="K145" s="26"/>
      <c r="L145" s="35"/>
      <c r="M145" s="25" t="s">
        <v>21</v>
      </c>
      <c r="N145" s="27" t="s">
        <v>23</v>
      </c>
      <c r="O145" s="10">
        <v>45963</v>
      </c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23</v>
      </c>
      <c r="O146" s="10">
        <v>45946</v>
      </c>
      <c r="P146" s="37"/>
    </row>
    <row r="147" spans="1:16" x14ac:dyDescent="0.2">
      <c r="A147" s="33">
        <v>646</v>
      </c>
      <c r="B147" s="10">
        <v>45959</v>
      </c>
      <c r="C147" s="11"/>
      <c r="D147" s="35">
        <v>1</v>
      </c>
      <c r="E147" s="35">
        <v>4</v>
      </c>
      <c r="F147" s="35">
        <v>4</v>
      </c>
      <c r="G147" s="35"/>
      <c r="H147" s="35"/>
      <c r="I147" s="26"/>
      <c r="J147" s="35"/>
      <c r="K147" s="26"/>
      <c r="L147" s="35"/>
      <c r="M147" s="25" t="s">
        <v>24</v>
      </c>
      <c r="N147" s="27" t="s">
        <v>23</v>
      </c>
      <c r="O147" s="10">
        <v>45959</v>
      </c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23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27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>
        <v>45963</v>
      </c>
      <c r="C161" s="11"/>
      <c r="D161" s="35">
        <v>1</v>
      </c>
      <c r="E161" s="35">
        <v>1</v>
      </c>
      <c r="F161" s="35">
        <v>1</v>
      </c>
      <c r="G161" s="35"/>
      <c r="H161" s="35"/>
      <c r="I161" s="26"/>
      <c r="J161" s="35"/>
      <c r="K161" s="26"/>
      <c r="L161" s="35"/>
      <c r="M161" s="25" t="s">
        <v>21</v>
      </c>
      <c r="N161" s="27" t="s">
        <v>23</v>
      </c>
      <c r="O161" s="10">
        <v>45963</v>
      </c>
      <c r="P161" s="37"/>
    </row>
    <row r="162" spans="1:16" x14ac:dyDescent="0.2">
      <c r="A162" s="32">
        <v>661</v>
      </c>
      <c r="B162" s="10">
        <v>45958</v>
      </c>
      <c r="C162" s="11"/>
      <c r="D162" s="35">
        <v>1</v>
      </c>
      <c r="E162" s="35">
        <v>1</v>
      </c>
      <c r="F162" s="35">
        <v>1</v>
      </c>
      <c r="G162" s="35"/>
      <c r="H162" s="35"/>
      <c r="I162" s="26"/>
      <c r="J162" s="35"/>
      <c r="K162" s="26"/>
      <c r="L162" s="35"/>
      <c r="M162" s="25" t="s">
        <v>24</v>
      </c>
      <c r="N162" s="27" t="s">
        <v>23</v>
      </c>
      <c r="O162" s="10">
        <v>45958</v>
      </c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>
        <v>45964</v>
      </c>
      <c r="C165" s="11"/>
      <c r="D165" s="35">
        <v>1</v>
      </c>
      <c r="E165" s="35">
        <v>2</v>
      </c>
      <c r="F165" s="35">
        <v>2</v>
      </c>
      <c r="G165" s="35"/>
      <c r="H165" s="35"/>
      <c r="I165" s="26"/>
      <c r="J165" s="35"/>
      <c r="K165" s="26"/>
      <c r="L165" s="35"/>
      <c r="M165" s="25" t="s">
        <v>21</v>
      </c>
      <c r="N165" s="27" t="s">
        <v>23</v>
      </c>
      <c r="O165" s="10">
        <v>45964</v>
      </c>
      <c r="P165" s="37"/>
    </row>
    <row r="166" spans="1:16" x14ac:dyDescent="0.2">
      <c r="A166" s="32">
        <v>665</v>
      </c>
      <c r="B166" s="10">
        <v>45958</v>
      </c>
      <c r="C166" s="11"/>
      <c r="D166" s="35">
        <v>1</v>
      </c>
      <c r="E166" s="35">
        <v>2</v>
      </c>
      <c r="F166" s="35">
        <v>1</v>
      </c>
      <c r="G166" s="35"/>
      <c r="H166" s="35"/>
      <c r="I166" s="26"/>
      <c r="J166" s="35"/>
      <c r="K166" s="26"/>
      <c r="L166" s="35"/>
      <c r="M166" s="25" t="s">
        <v>24</v>
      </c>
      <c r="N166" s="27" t="s">
        <v>23</v>
      </c>
      <c r="O166" s="10">
        <v>45958</v>
      </c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>
        <v>45958</v>
      </c>
      <c r="C169" s="11"/>
      <c r="D169" s="35">
        <v>1</v>
      </c>
      <c r="E169" s="35">
        <v>2</v>
      </c>
      <c r="F169" s="35">
        <v>1</v>
      </c>
      <c r="G169" s="35"/>
      <c r="H169" s="35"/>
      <c r="I169" s="26"/>
      <c r="J169" s="35"/>
      <c r="K169" s="26"/>
      <c r="L169" s="35"/>
      <c r="M169" s="25" t="s">
        <v>24</v>
      </c>
      <c r="N169" s="27" t="s">
        <v>23</v>
      </c>
      <c r="O169" s="10">
        <v>45958</v>
      </c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>
        <v>45964</v>
      </c>
      <c r="C173" s="11"/>
      <c r="D173" s="35">
        <v>1</v>
      </c>
      <c r="E173" s="35">
        <v>3</v>
      </c>
      <c r="F173" s="35">
        <v>3</v>
      </c>
      <c r="G173" s="35"/>
      <c r="H173" s="35"/>
      <c r="I173" s="26"/>
      <c r="J173" s="35"/>
      <c r="K173" s="26"/>
      <c r="L173" s="35"/>
      <c r="M173" s="25" t="s">
        <v>21</v>
      </c>
      <c r="N173" s="27" t="s">
        <v>23</v>
      </c>
      <c r="O173" s="10">
        <v>45964</v>
      </c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>
        <v>45964</v>
      </c>
      <c r="C180" s="11"/>
      <c r="D180" s="35">
        <v>1</v>
      </c>
      <c r="E180" s="35">
        <v>8</v>
      </c>
      <c r="F180" s="35">
        <v>8</v>
      </c>
      <c r="G180" s="35"/>
      <c r="H180" s="35"/>
      <c r="I180" s="26"/>
      <c r="J180" s="35"/>
      <c r="K180" s="26"/>
      <c r="L180" s="35"/>
      <c r="M180" s="25" t="s">
        <v>21</v>
      </c>
      <c r="N180" s="27" t="s">
        <v>23</v>
      </c>
      <c r="O180" s="10">
        <v>45964</v>
      </c>
      <c r="P180" s="37"/>
    </row>
    <row r="181" spans="1:16" x14ac:dyDescent="0.2">
      <c r="A181" s="33">
        <v>680</v>
      </c>
      <c r="B181" s="10">
        <v>45963</v>
      </c>
      <c r="C181" s="11"/>
      <c r="D181" s="35">
        <v>1</v>
      </c>
      <c r="E181" s="35">
        <v>4</v>
      </c>
      <c r="F181" s="35">
        <v>4</v>
      </c>
      <c r="G181" s="35"/>
      <c r="H181" s="35"/>
      <c r="I181" s="26"/>
      <c r="J181" s="35"/>
      <c r="K181" s="26"/>
      <c r="L181" s="35"/>
      <c r="M181" s="25" t="s">
        <v>21</v>
      </c>
      <c r="N181" s="27" t="s">
        <v>23</v>
      </c>
      <c r="O181" s="10">
        <v>45963</v>
      </c>
      <c r="P181" s="37"/>
    </row>
    <row r="182" spans="1:16" x14ac:dyDescent="0.2">
      <c r="A182" s="33">
        <v>681</v>
      </c>
      <c r="B182" s="10">
        <v>45958</v>
      </c>
      <c r="C182" s="11"/>
      <c r="D182" s="35">
        <v>1</v>
      </c>
      <c r="E182" s="35">
        <v>1</v>
      </c>
      <c r="F182" s="35">
        <v>1</v>
      </c>
      <c r="G182" s="35"/>
      <c r="H182" s="35"/>
      <c r="I182" s="26"/>
      <c r="J182" s="35"/>
      <c r="K182" s="26"/>
      <c r="L182" s="35"/>
      <c r="M182" s="25" t="s">
        <v>24</v>
      </c>
      <c r="N182" s="38" t="s">
        <v>23</v>
      </c>
      <c r="O182" s="10">
        <v>45958</v>
      </c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>
        <v>45958</v>
      </c>
      <c r="C188" s="11"/>
      <c r="D188" s="35">
        <v>1</v>
      </c>
      <c r="E188" s="35">
        <v>2</v>
      </c>
      <c r="F188" s="35">
        <v>1</v>
      </c>
      <c r="G188" s="35"/>
      <c r="H188" s="35"/>
      <c r="I188" s="26"/>
      <c r="J188" s="35"/>
      <c r="K188" s="26"/>
      <c r="L188" s="35"/>
      <c r="M188" s="25" t="s">
        <v>24</v>
      </c>
      <c r="N188" s="27" t="s">
        <v>23</v>
      </c>
      <c r="O188" s="10">
        <v>45958</v>
      </c>
      <c r="P188" s="37"/>
    </row>
    <row r="189" spans="1:16" x14ac:dyDescent="0.2">
      <c r="A189" s="33">
        <v>702</v>
      </c>
      <c r="B189" s="10">
        <v>45963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45963</v>
      </c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>
        <v>45963</v>
      </c>
      <c r="C191" s="11"/>
      <c r="D191" s="35">
        <v>1</v>
      </c>
      <c r="E191" s="35">
        <v>3</v>
      </c>
      <c r="F191" s="35">
        <v>3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45963</v>
      </c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>
        <v>45959</v>
      </c>
      <c r="C199" s="11"/>
      <c r="D199" s="35">
        <v>1</v>
      </c>
      <c r="E199" s="35">
        <v>1</v>
      </c>
      <c r="F199" s="35">
        <v>1</v>
      </c>
      <c r="G199" s="35"/>
      <c r="H199" s="35"/>
      <c r="I199" s="26"/>
      <c r="J199" s="35"/>
      <c r="K199" s="26"/>
      <c r="L199" s="35"/>
      <c r="M199" s="25" t="s">
        <v>24</v>
      </c>
      <c r="N199" s="27" t="s">
        <v>23</v>
      </c>
      <c r="O199" s="10">
        <v>45959</v>
      </c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>
        <v>45963</v>
      </c>
      <c r="C202" s="11"/>
      <c r="D202" s="35">
        <v>1</v>
      </c>
      <c r="E202" s="35">
        <v>2</v>
      </c>
      <c r="F202" s="35">
        <v>2</v>
      </c>
      <c r="G202" s="35"/>
      <c r="H202" s="35"/>
      <c r="I202" s="26"/>
      <c r="J202" s="35"/>
      <c r="K202" s="26"/>
      <c r="L202" s="35"/>
      <c r="M202" s="25" t="s">
        <v>21</v>
      </c>
      <c r="N202" s="27" t="s">
        <v>23</v>
      </c>
      <c r="O202" s="10">
        <v>45963</v>
      </c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>
        <v>45958</v>
      </c>
      <c r="C206" s="11"/>
      <c r="D206" s="35">
        <v>1</v>
      </c>
      <c r="E206" s="35">
        <v>1</v>
      </c>
      <c r="F206" s="35">
        <v>1</v>
      </c>
      <c r="G206" s="35"/>
      <c r="H206" s="35"/>
      <c r="I206" s="26"/>
      <c r="J206" s="35"/>
      <c r="K206" s="26"/>
      <c r="L206" s="35"/>
      <c r="M206" s="25" t="s">
        <v>24</v>
      </c>
      <c r="N206" s="27" t="s">
        <v>23</v>
      </c>
      <c r="O206" s="10">
        <v>45958</v>
      </c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>
        <v>45964</v>
      </c>
      <c r="C212" s="11"/>
      <c r="D212" s="35">
        <v>1</v>
      </c>
      <c r="E212" s="35">
        <v>2</v>
      </c>
      <c r="F212" s="35">
        <v>2</v>
      </c>
      <c r="G212" s="35"/>
      <c r="H212" s="35"/>
      <c r="I212" s="26"/>
      <c r="J212" s="35"/>
      <c r="K212" s="26"/>
      <c r="L212" s="35"/>
      <c r="M212" s="25" t="s">
        <v>21</v>
      </c>
      <c r="N212" s="27" t="s">
        <v>23</v>
      </c>
      <c r="O212" s="10">
        <v>45964</v>
      </c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53" workbookViewId="0">
      <selection activeCell="B173" sqref="B173:O17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8</v>
      </c>
      <c r="U4" s="21">
        <f>T4/S4</f>
        <v>3.7735849056603772E-2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>
        <v>45963</v>
      </c>
      <c r="C22" s="11"/>
      <c r="D22" s="34">
        <v>1</v>
      </c>
      <c r="E22" s="34">
        <v>2</v>
      </c>
      <c r="F22" s="34">
        <v>2</v>
      </c>
      <c r="G22" s="34"/>
      <c r="H22" s="34"/>
      <c r="I22" s="13"/>
      <c r="J22" s="34"/>
      <c r="K22" s="13"/>
      <c r="L22" s="34"/>
      <c r="M22" s="12" t="s">
        <v>21</v>
      </c>
      <c r="N22" s="14" t="s">
        <v>23</v>
      </c>
      <c r="O22" s="10">
        <v>45963</v>
      </c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>
        <v>45964</v>
      </c>
      <c r="C25" s="11"/>
      <c r="D25" s="34">
        <v>1</v>
      </c>
      <c r="E25" s="34">
        <v>1</v>
      </c>
      <c r="F25" s="34">
        <v>1</v>
      </c>
      <c r="G25" s="34"/>
      <c r="H25" s="34"/>
      <c r="I25" s="13"/>
      <c r="J25" s="34"/>
      <c r="K25" s="13"/>
      <c r="L25" s="34"/>
      <c r="M25" s="12" t="s">
        <v>21</v>
      </c>
      <c r="N25" s="14" t="s">
        <v>23</v>
      </c>
      <c r="O25" s="10">
        <v>45964</v>
      </c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>
        <v>45964</v>
      </c>
      <c r="C54" s="11"/>
      <c r="D54" s="34">
        <v>1</v>
      </c>
      <c r="E54" s="34">
        <v>4</v>
      </c>
      <c r="F54" s="34">
        <v>4</v>
      </c>
      <c r="G54" s="34"/>
      <c r="H54" s="34"/>
      <c r="I54" s="13"/>
      <c r="J54" s="34"/>
      <c r="K54" s="13"/>
      <c r="L54" s="34"/>
      <c r="M54" s="12" t="s">
        <v>21</v>
      </c>
      <c r="N54" s="14" t="s">
        <v>23</v>
      </c>
      <c r="O54" s="10">
        <v>45964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2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>
        <v>45963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23</v>
      </c>
      <c r="O130" s="10">
        <v>45963</v>
      </c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>
        <v>45964</v>
      </c>
      <c r="C183" s="11"/>
      <c r="D183" s="35">
        <v>1</v>
      </c>
      <c r="E183" s="35">
        <v>2</v>
      </c>
      <c r="F183" s="35">
        <v>2</v>
      </c>
      <c r="G183" s="35"/>
      <c r="H183" s="35"/>
      <c r="I183" s="26"/>
      <c r="J183" s="35"/>
      <c r="K183" s="26"/>
      <c r="L183" s="35"/>
      <c r="M183" s="25" t="s">
        <v>21</v>
      </c>
      <c r="N183" s="27" t="s">
        <v>23</v>
      </c>
      <c r="O183" s="10">
        <v>45964</v>
      </c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>
        <v>45964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45964</v>
      </c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>
        <v>45964</v>
      </c>
      <c r="C191" s="11"/>
      <c r="D191" s="35">
        <v>1</v>
      </c>
      <c r="E191" s="35">
        <v>1</v>
      </c>
      <c r="F191" s="35">
        <v>1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45964</v>
      </c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H4" sqref="H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YtJyTKksLxh6RI6WI0eZzr6c5K6eDFQXBZnAKoKF9iCgP6mifnOW4MpcWEjK7rpSu2FXNwH4JvGYJjZS9dTMCg==" saltValue="zRvrVhzSLhV6XGpeuWYe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768F-8CE2-4CB8-8377-353AC3ED2F6F}">
  <dimension ref="A1:U347"/>
  <sheetViews>
    <sheetView workbookViewId="0">
      <selection activeCell="F17" sqref="F1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5s4TsOKIvbbQ/6pzFKjKyI1BvwU9iLcMBNtXMMDzz9FtqSpgLLlPPL6CYCw3TEedqNqc1k62aewYI8Ttgudbow==" saltValue="Wa8Tam6aLmCW0OIBTvFhr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816DF9D-A303-49F2-AD69-230E19D58293}">
      <formula1>0</formula1>
    </dataValidation>
    <dataValidation type="date" operator="greaterThanOrEqual" allowBlank="1" showInputMessage="1" showErrorMessage="1" sqref="B2:B213 I2:I213 K2:K213 O2:O213" xr:uid="{7E46D408-4EB9-4913-BAF6-CFB2F276100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D2B4-3B40-41D6-8FBA-68860383DD9B}">
  <dimension ref="A1:U347"/>
  <sheetViews>
    <sheetView workbookViewId="0">
      <selection activeCell="D32" sqref="D3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vnM+XA6/xM0Axjl/bj5cLGKFnIWZKy9Cdv6QNKNsTS47Dcsx4tzDqQ8vYVYvYKK5eqxrT5PJBRZQhYeLBxCM9Q==" saltValue="d1dTc6JA6+H/W16cKvvMu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13F2BFC8-492C-4621-B173-3CB6B855AA8D}">
      <formula1>45658</formula1>
    </dataValidation>
    <dataValidation type="whole" operator="greaterThanOrEqual" allowBlank="1" showInputMessage="1" showErrorMessage="1" sqref="A2:A213 D2:H213 J2:J213 L2:L213 P2:P213" xr:uid="{17F03371-661D-4515-B888-0D5A9221A7F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1BF-6EDF-4C1F-8877-C0D76A873145}">
  <dimension ref="A1:U347"/>
  <sheetViews>
    <sheetView tabSelected="1" workbookViewId="0">
      <selection activeCell="H200" sqref="H200:H205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2</v>
      </c>
      <c r="U4" s="21">
        <f>T4/S4</f>
        <v>9.433962264150943E-3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>
        <v>45962</v>
      </c>
      <c r="C30" s="11"/>
      <c r="D30" s="34">
        <v>1</v>
      </c>
      <c r="E30" s="34">
        <v>1</v>
      </c>
      <c r="F30" s="34">
        <v>1</v>
      </c>
      <c r="G30" s="34"/>
      <c r="H30" s="34"/>
      <c r="I30" s="13"/>
      <c r="J30" s="34"/>
      <c r="K30" s="13"/>
      <c r="L30" s="34"/>
      <c r="M30" s="12" t="s">
        <v>21</v>
      </c>
      <c r="N30" s="14" t="s">
        <v>22</v>
      </c>
      <c r="O30" s="10">
        <v>45962</v>
      </c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>
        <v>45961</v>
      </c>
      <c r="C71" s="11"/>
      <c r="D71" s="34">
        <v>53570</v>
      </c>
      <c r="E71" s="34">
        <v>1</v>
      </c>
      <c r="F71" s="34">
        <v>2</v>
      </c>
      <c r="G71" s="34"/>
      <c r="H71" s="34"/>
      <c r="I71" s="13"/>
      <c r="J71" s="34"/>
      <c r="K71" s="13"/>
      <c r="L71" s="34"/>
      <c r="M71" s="12"/>
      <c r="N71" s="14" t="s">
        <v>29</v>
      </c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>
        <v>45962</v>
      </c>
      <c r="C80" s="11"/>
      <c r="D80" s="35">
        <v>1</v>
      </c>
      <c r="E80" s="35">
        <v>1</v>
      </c>
      <c r="F80" s="35">
        <v>1</v>
      </c>
      <c r="G80" s="35"/>
      <c r="H80" s="35"/>
      <c r="I80" s="26"/>
      <c r="J80" s="35"/>
      <c r="K80" s="26"/>
      <c r="L80" s="35"/>
      <c r="M80" s="25" t="s">
        <v>21</v>
      </c>
      <c r="N80" s="27" t="s">
        <v>28</v>
      </c>
      <c r="O80" s="10">
        <v>45962</v>
      </c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>
        <v>45960</v>
      </c>
      <c r="C200" s="11"/>
      <c r="D200" s="35">
        <v>1</v>
      </c>
      <c r="E200" s="35"/>
      <c r="F200" s="35">
        <v>1</v>
      </c>
      <c r="G200" s="35"/>
      <c r="H200" s="35"/>
      <c r="I200" s="26"/>
      <c r="J200" s="35"/>
      <c r="K200" s="26"/>
      <c r="L200" s="35"/>
      <c r="M200" s="25"/>
      <c r="N200" s="27" t="s">
        <v>29</v>
      </c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>
        <v>45961</v>
      </c>
      <c r="C205" s="11"/>
      <c r="D205" s="35">
        <v>1</v>
      </c>
      <c r="E205" s="35"/>
      <c r="F205" s="35">
        <v>1</v>
      </c>
      <c r="G205" s="35"/>
      <c r="H205" s="35"/>
      <c r="I205" s="26"/>
      <c r="J205" s="35"/>
      <c r="K205" s="26"/>
      <c r="L205" s="35"/>
      <c r="M205" s="25"/>
      <c r="N205" s="27" t="s">
        <v>29</v>
      </c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mpn5cntoMU9Q5JIIiZImfRKgYKPcV5pbPnZd0Id16ldnornNJFRFs5K80gsheIOKhi9GdVNgG62nsw7SvHqiw==" saltValue="HRI6qPiXgkl29JBM2bxYV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E2678F14-5998-4361-B3C6-D235C8CF272C}">
      <formula1>0</formula1>
    </dataValidation>
    <dataValidation type="date" operator="greaterThanOrEqual" allowBlank="1" showInputMessage="1" showErrorMessage="1" sqref="B2:B213 I2:I213 K2:K213 O2:O213" xr:uid="{30985136-C4CC-43B8-8CB1-71D92B894DF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79DEA0-BEE8-4EA0-A81B-04E7E6DB1433}">
  <ds:schemaRefs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d5486727-c7ef-48ef-8f67-294a70abf30d"/>
    <ds:schemaRef ds:uri="f09d0ae9-c6ff-4e57-bd1f-955be6ad47ac"/>
  </ds:schemaRefs>
</ds:datastoreItem>
</file>

<file path=customXml/itemProps3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2025-11-05T17:00:18Z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