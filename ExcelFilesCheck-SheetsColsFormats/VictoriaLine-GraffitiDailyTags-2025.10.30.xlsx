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658" documentId="13_ncr:1_{BE8DB9CC-F454-4940-947F-654000833014}" xr6:coauthVersionLast="47" xr6:coauthVersionMax="47" xr10:uidLastSave="{4DD0F606-0F42-4AD9-B390-5B7E932276A7}"/>
  <bookViews>
    <workbookView xWindow="-120" yWindow="-120" windowWidth="29040" windowHeight="15720" firstSheet="7" activeTab="8" xr2:uid="{DF4174D7-3B55-464B-9855-5BF5A90A54C0}"/>
  </bookViews>
  <sheets>
    <sheet name="Victoria Line" sheetId="1" r:id="rId1"/>
    <sheet name="Repeat Attacks 1" sheetId="6" r:id="rId2"/>
    <sheet name="Repeat Attacks 2" sheetId="7" r:id="rId3"/>
    <sheet name="Repeat Attacks 3" sheetId="9" r:id="rId4"/>
    <sheet name="Repeat Attacks 4" sheetId="10" r:id="rId5"/>
    <sheet name="Repeat Attacks 5" sheetId="11" r:id="rId6"/>
    <sheet name="Repeat Attacks 6" sheetId="12" r:id="rId7"/>
    <sheet name="Repeat Attacks 7" sheetId="13" r:id="rId8"/>
    <sheet name="Repeat Attacks 8" sheetId="14" r:id="rId9"/>
    <sheet name="Repeat Attacks 9" sheetId="15" r:id="rId10"/>
    <sheet name="Repeat Attacks 10" sheetId="16" r:id="rId11"/>
    <sheet name="Repeat Attacks 11" sheetId="17" r:id="rId12"/>
    <sheet name="Repeat Attacks 12" sheetId="18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8" l="1"/>
  <c r="U4" i="18" s="1"/>
  <c r="S4" i="18"/>
  <c r="T4" i="17"/>
  <c r="U4" i="17" s="1"/>
  <c r="S4" i="17"/>
  <c r="T4" i="16"/>
  <c r="U4" i="16" s="1"/>
  <c r="S4" i="16"/>
  <c r="T4" i="15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7"/>
  <c r="S4" i="7"/>
  <c r="T4" i="6"/>
  <c r="U4" i="6" s="1"/>
  <c r="S4" i="6"/>
  <c r="T4" i="1"/>
  <c r="S4" i="1"/>
  <c r="U4" i="7" l="1"/>
  <c r="U4" i="1"/>
</calcChain>
</file>

<file path=xl/sharedStrings.xml><?xml version="1.0" encoding="utf-8"?>
<sst xmlns="http://schemas.openxmlformats.org/spreadsheetml/2006/main" count="404" uniqueCount="29">
  <si>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</si>
  <si>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</si>
  <si>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</si>
  <si>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</si>
  <si>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</si>
  <si>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</si>
  <si>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</si>
  <si>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</si>
  <si>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</si>
  <si>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</si>
  <si>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</si>
  <si>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</si>
  <si>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</si>
  <si>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</si>
  <si>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</si>
  <si>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</si>
  <si>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</si>
  <si>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</si>
  <si>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</si>
  <si>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</si>
  <si>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</si>
  <si>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</si>
  <si>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Gyulbara</t>
  </si>
  <si>
    <t xml:space="preserve">Prince </t>
  </si>
  <si>
    <t>Bacar</t>
  </si>
  <si>
    <t>Anthony</t>
  </si>
  <si>
    <t>Prince</t>
  </si>
  <si>
    <t>External</t>
  </si>
  <si>
    <t>Mamie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</si>
</sst>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64" fontId="4" fillId="13" borderId="4" xfId="0" applyNumberFormat="1" applyFont="1" applyFill="1" applyBorder="1" applyAlignment="1" applyProtection="1">
      <alignment horizontal="center" vertical="center"/>
      <protection locked="0"/>
    </xf>
    <xf numFmtId="164" fontId="4" fillId="13" borderId="4" xfId="0" applyNumberFormat="1" applyFont="1" applyFill="1" applyBorder="1" applyAlignment="1" applyProtection="1">
      <alignment horizontal="left" vertical="center"/>
      <protection locked="0"/>
    </xf>
    <xf numFmtId="0" fontId="4" fillId="13" borderId="4" xfId="0" applyFont="1" applyFill="1" applyBorder="1" applyAlignment="1" applyProtection="1">
      <alignment horizontal="center" vertical="center"/>
      <protection locked="0"/>
    </xf>
    <xf numFmtId="14" fontId="4" fillId="13" borderId="4" xfId="0" applyNumberFormat="1" applyFont="1" applyFill="1" applyBorder="1" applyAlignment="1" applyProtection="1">
      <alignment horizontal="center" vertical="center"/>
      <protection locked="0"/>
    </xf>
    <xf numFmtId="0" fontId="4" fillId="13" borderId="4" xfId="0" applyFont="1" applyFill="1" applyBorder="1" applyAlignment="1" applyProtection="1">
      <alignment vertical="center"/>
      <protection locked="0"/>
    </xf>
    <xf numFmtId="1" fontId="7" fillId="13" borderId="10" xfId="0" applyNumberFormat="1" applyFont="1" applyFill="1" applyBorder="1" applyAlignment="1">
      <alignment horizontal="center"/>
    </xf>
    <xf numFmtId="1" fontId="7" fillId="12" borderId="10" xfId="0" applyNumberFormat="1" applyFont="1" applyFill="1" applyBorder="1" applyAlignment="1">
      <alignment horizontal="center"/>
    </xf>
    <xf numFmtId="1" fontId="7" fillId="12" borderId="12" xfId="0" applyNumberFormat="1" applyFont="1" applyFill="1" applyBorder="1" applyAlignment="1">
      <alignment horizontal="center"/>
    </xf>
    <xf numFmtId="1" fontId="7" fillId="13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4" fillId="13" borderId="4" xfId="0" applyNumberFormat="1" applyFont="1" applyFill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3" fillId="7" borderId="4" xfId="0" applyNumberFormat="1" applyFont="1" applyFill="1" applyBorder="1" applyAlignment="1" applyProtection="1">
      <alignment horizontal="center" vertical="center" wrapText="1"/>
      <protection hidden="1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4" fillId="13" borderId="6" xfId="0" applyNumberFormat="1" applyFont="1" applyFill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top" wrapText="1" indent="1"/>
      <protection locked="0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204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95" totalsRowShown="0" headerRowDxfId="233" tableBorderDxfId="23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23433E-2C30-47AB-B5B2-3C8E65CD84E6}" name="TagsRA1" displayName="TagsRA1" ref="A1:P95" totalsRowShown="0" headerRowDxfId="215" tableBorderDxfId="21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0C4CA5-0EA5-4A23-83AF-96171DE29A39}" name="Unit No." dataDxfId="213"/>
    <tableColumn id="2" xr3:uid="{7C25CEB0-9F82-4B43-89D0-341F9EFD144B}" name="DATE" dataDxfId="212"/>
    <tableColumn id="3" xr3:uid="{A6EB08AF-BB94-462E-B5C7-7E27A4497472}" name="Status" dataDxfId="211"/>
    <tableColumn id="4" xr3:uid="{D15CA2EE-B2FA-4995-9D05-295225F3B63B}" name="Number of cars affected by graffiti/shadows on this unit" dataDxfId="210"/>
    <tableColumn id="5" xr3:uid="{D9DF7C2A-B5B7-4577-B2D7-DAB087A33337}" name="Total Number of Tags found" dataDxfId="209"/>
    <tableColumn id="6" xr3:uid="{CE55C145-9E13-4FA8-B96A-D93798893B3F}" name="Total Tags Removed / Cleaned" dataDxfId="208"/>
    <tableColumn id="7" xr3:uid="{1AACCCB2-9606-47BD-8BAB-8E88A3E8802B}" name="Total Tags Not Cleaned on this Unit" dataDxfId="207"/>
    <tableColumn id="8" xr3:uid="{6F39DA8A-7F77-4496-ADD8-23935586B449}" name="Car Number (s)  of Tags not cleaned (shadows)" dataDxfId="206"/>
    <tableColumn id="9" xr3:uid="{5BA6B844-5238-4C7E-AE94-F4C50B0D2DB5}" name="Date of 2nd visit to clean remaining tags" dataDxfId="205"/>
    <tableColumn id="10" xr3:uid="{38C1C5F4-0675-46BD-AA6F-B1B5B48BDEB7}" name="Number of tags removed" dataDxfId="204"/>
    <tableColumn id="11" xr3:uid="{440FBDC7-9A70-402F-B067-36B9F7FE00E2}" name="Date of 3rd visit to clean remaining tags" dataDxfId="203"/>
    <tableColumn id="12" xr3:uid="{496686C7-C99C-4AA6-9190-188CBAA21A64}" name="Number of tags removed2" dataDxfId="202"/>
    <tableColumn id="13" xr3:uid="{A4C82920-F0B5-4091-AAB7-43977408C600}" name="Train Inspected and Fit for service    (Y/N)" dataDxfId="201"/>
    <tableColumn id="14" xr3:uid="{32FCFC46-0261-414B-8937-A565A6FAB270}" name="Inspected by Supervisor/Manager (Name)" dataDxfId="200"/>
    <tableColumn id="15" xr3:uid="{F2BF5DC5-631B-4FF7-A526-3C59EB90C6F4}" name="Date of Completing all shadows (Tags) on this Unit excluding acid etched shadows" dataDxfId="199"/>
    <tableColumn id="16" xr3:uid="{43C8EAC7-2C09-44CF-88CF-F2CF6C5ADAD4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9EBFF9-54C1-46FA-B840-2E84613CF78B}" name="TagsRA2" displayName="TagsRA2" ref="A1:P95" totalsRowShown="0" headerRowDxfId="197" tableBorderDxfId="19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0F60BFC-7649-4FFF-9C6E-7874CFC68FEC}" name="Unit No." dataDxfId="195"/>
    <tableColumn id="2" xr3:uid="{CD893E11-09A0-45AE-AC81-9CF209E8CA9D}" name="DATE" dataDxfId="194"/>
    <tableColumn id="3" xr3:uid="{C65E58F4-9288-432D-9AC1-E88FF1BD3BFF}" name="Status" dataDxfId="193"/>
    <tableColumn id="4" xr3:uid="{4D934883-84DD-4D72-BFAF-FF94CDD78493}" name="Number of cars affected by graffiti/shadows on this unit" dataDxfId="192"/>
    <tableColumn id="5" xr3:uid="{448D9EC4-9647-4E22-8074-E1B297025AF1}" name="Total Number of Tags found" dataDxfId="191"/>
    <tableColumn id="6" xr3:uid="{B22CC0A2-38AA-4B36-AA11-BB3B5B103E88}" name="Total Tags Removed / Cleaned" dataDxfId="190"/>
    <tableColumn id="7" xr3:uid="{85815626-2618-4C28-AF5B-03F6B14F894A}" name="Total Tags Not Cleaned on this Unit" dataDxfId="189"/>
    <tableColumn id="8" xr3:uid="{DEEE2CCE-C73D-4AA8-92F6-263440F50C67}" name="Car Number (s)  of Tags not cleaned (shadows)" dataDxfId="188"/>
    <tableColumn id="9" xr3:uid="{0B2258AC-9D9C-4B10-9FED-9B33EA60A3DC}" name="Date of 2nd visit to clean remaining tags" dataDxfId="187"/>
    <tableColumn id="10" xr3:uid="{C2E1CCB6-8B2B-4D3D-AAB0-8BBD138A95E4}" name="Number of tags removed" dataDxfId="186"/>
    <tableColumn id="11" xr3:uid="{A7A2A3B4-0BE3-4714-9278-552E4AD0CD7B}" name="Date of 3rd visit to clean remaining tags" dataDxfId="185"/>
    <tableColumn id="12" xr3:uid="{B653248D-E3E2-482A-B7E5-7AA982CFCDBC}" name="Number of tags removed2" dataDxfId="184"/>
    <tableColumn id="13" xr3:uid="{30C9378C-5F74-4CCC-A157-28F7BE3061CF}" name="Train Inspected and Fit for service    (Y/N)" dataDxfId="183"/>
    <tableColumn id="14" xr3:uid="{49E20286-DC09-4A86-BD43-F452A6AFDD81}" name="Inspected by Supervisor/Manager (Name)" dataDxfId="182"/>
    <tableColumn id="15" xr3:uid="{8F7A3E09-1F80-43F8-B597-FD3F6CB0B0B4}" name="Date of Completing all shadows (Tags) on this Unit excluding acid etched shadows" dataDxfId="181"/>
    <tableColumn id="16" xr3:uid="{7CC7E81B-3015-4CEF-85BE-08E5BB3DFA3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991987-5CFA-46AF-88C9-CFDF803FD6B5}" name="TagsRA3" displayName="TagsRA3" ref="A1:P95" totalsRowShown="0" headerRowDxfId="179" tableBorderDxfId="17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FBDA57D-7F8C-47BB-8BE0-D7B50BAF2D88}" name="Unit No." dataDxfId="177"/>
    <tableColumn id="2" xr3:uid="{49A61188-7AB0-43D9-8FD5-9DA03D2A656D}" name="DATE" dataDxfId="176"/>
    <tableColumn id="3" xr3:uid="{BF49BF21-FEFC-49C2-9236-2F37FF22E9EE}" name="Status" dataDxfId="175"/>
    <tableColumn id="4" xr3:uid="{AB1268AA-6B16-473A-971A-BBA2A30BA33A}" name="Number of cars affected by graffiti/shadows on this unit" dataDxfId="174"/>
    <tableColumn id="5" xr3:uid="{398ACB09-6829-4CBB-81D9-2425591581F7}" name="Total Number of Tags found" dataDxfId="173"/>
    <tableColumn id="6" xr3:uid="{0ADCBBF9-5A7E-4A8E-B72F-2984814CDBCD}" name="Total Tags Removed / Cleaned" dataDxfId="172"/>
    <tableColumn id="7" xr3:uid="{C2D92D7D-0F12-4418-9D1E-E14EBA2BE740}" name="Total Tags Not Cleaned on this Unit" dataDxfId="171"/>
    <tableColumn id="8" xr3:uid="{AD07119F-E637-4CF6-9489-30BC0CE29740}" name="Car Number (s)  of Tags not cleaned (shadows)" dataDxfId="170"/>
    <tableColumn id="9" xr3:uid="{B97F35D1-E7E2-4057-8644-D87BDA7BDD3D}" name="Date of 2nd visit to clean remaining tags" dataDxfId="169"/>
    <tableColumn id="10" xr3:uid="{767A755A-E4FA-44E2-A738-75EB0684D9CA}" name="Number of tags removed" dataDxfId="168"/>
    <tableColumn id="11" xr3:uid="{FEFE94B0-CC23-47E8-97E8-1EF61A8865C3}" name="Date of 3rd visit to clean remaining tags" dataDxfId="167"/>
    <tableColumn id="12" xr3:uid="{9D037FE9-34E4-469D-A32A-CA2F886C56A4}" name="Number of tags removed2" dataDxfId="166"/>
    <tableColumn id="13" xr3:uid="{99B3FDA8-2B21-41AB-9AEC-22001B54EA94}" name="Train Inspected and Fit for service    (Y/N)" dataDxfId="165"/>
    <tableColumn id="14" xr3:uid="{4FB40EEB-B62F-4F30-910B-44B5C0716C16}" name="Inspected by Supervisor/Manager (Name)" dataDxfId="164"/>
    <tableColumn id="15" xr3:uid="{8D863842-D4E5-4FE8-9E05-1A68DBB9E76E}" name="Date of Completing all shadows (Tags) on this Unit excluding acid etched shadows" dataDxfId="163"/>
    <tableColumn id="16" xr3:uid="{57A33ECA-B29A-4948-ACD9-6D8604104E2E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933CB8-CFCA-4508-92EE-9E11B80CEF74}" name="TagsRA4" displayName="TagsRA4" ref="A1:P95" totalsRowShown="0" headerRowDxfId="161" tableBorderDxfId="16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3603DF2-950E-4BD6-83FC-DA1908812D6F}" name="Unit No." dataDxfId="159"/>
    <tableColumn id="2" xr3:uid="{7B911DDD-DCF4-49B1-8162-E6411CBCFED4}" name="DATE" dataDxfId="158"/>
    <tableColumn id="3" xr3:uid="{63E3560B-E10D-4798-8A8B-74ED1C74F1DA}" name="Status" dataDxfId="157"/>
    <tableColumn id="4" xr3:uid="{52AF056F-90B7-4B4C-9360-249214EB937B}" name="Number of cars affected by graffiti/shadows on this unit" dataDxfId="156"/>
    <tableColumn id="5" xr3:uid="{13595257-3599-43B9-89CE-E6000372B97C}" name="Total Number of Tags found" dataDxfId="155"/>
    <tableColumn id="6" xr3:uid="{6964BFEB-FE97-46BE-9996-AAF5E11464EC}" name="Total Tags Removed / Cleaned" dataDxfId="154"/>
    <tableColumn id="7" xr3:uid="{4E28F363-1B3B-4404-9F63-896BF2DB76DE}" name="Total Tags Not Cleaned on this Unit" dataDxfId="153"/>
    <tableColumn id="8" xr3:uid="{A732C2F8-2DC7-4665-82E5-3CAFE5CB0479}" name="Car Number (s)  of Tags not cleaned (shadows)" dataDxfId="152"/>
    <tableColumn id="9" xr3:uid="{ED6F81EE-188D-42E2-8FF3-21DC4BEE3913}" name="Date of 2nd visit to clean remaining tags" dataDxfId="151"/>
    <tableColumn id="10" xr3:uid="{4F328F28-5A41-418D-91FC-571E0669C253}" name="Number of tags removed" dataDxfId="150"/>
    <tableColumn id="11" xr3:uid="{22ECB80A-2CE7-48F8-B00C-9F03D183FC17}" name="Date of 3rd visit to clean remaining tags" dataDxfId="149"/>
    <tableColumn id="12" xr3:uid="{6D4E1134-43EA-45E7-96D0-4C5A35ADB9EB}" name="Number of tags removed2" dataDxfId="148"/>
    <tableColumn id="13" xr3:uid="{66772316-B9B1-4BCC-905B-433EB88AB22D}" name="Train Inspected and Fit for service    (Y/N)" dataDxfId="147"/>
    <tableColumn id="14" xr3:uid="{A1D2AA2F-D40A-4933-96CA-65954C12ADEE}" name="Inspected by Supervisor/Manager (Name)" dataDxfId="146"/>
    <tableColumn id="15" xr3:uid="{301193D3-8B6C-46FA-8427-33F3DCA19C70}" name="Date of Completing all shadows (Tags) on this Unit excluding acid etched shadows" dataDxfId="145"/>
    <tableColumn id="16" xr3:uid="{7BC1C57C-67AF-4780-A7AB-BD5838DFC63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66CB57B-330B-4154-A706-F5AB3A9BB072}" name="TagsRA5" displayName="TagsRA5" ref="A1:P95" totalsRowShown="0" headerRowDxfId="143" tableBorderDxfId="14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2877D9D-1E17-4ED2-B990-5C44D78F5837}" name="Unit No." dataDxfId="141"/>
    <tableColumn id="2" xr3:uid="{6882F770-0FC3-4120-B658-C105B47E208C}" name="DATE" dataDxfId="140"/>
    <tableColumn id="3" xr3:uid="{0B22BE86-5D64-4DC1-987D-F7EDD793D2C0}" name="Status" dataDxfId="139"/>
    <tableColumn id="4" xr3:uid="{8F63768E-8FC8-4978-BC9C-4F5BCF882ABC}" name="Number of cars affected by graffiti/shadows on this unit" dataDxfId="138"/>
    <tableColumn id="5" xr3:uid="{E65A6427-23B5-4367-9B73-03E973719ECE}" name="Total Number of Tags found" dataDxfId="137"/>
    <tableColumn id="6" xr3:uid="{52F3850E-FEA6-41D5-91B6-F9318FF11CD0}" name="Total Tags Removed / Cleaned" dataDxfId="136"/>
    <tableColumn id="7" xr3:uid="{99D1C004-DC4C-4EBE-B71D-87BF05AF553B}" name="Total Tags Not Cleaned on this Unit" dataDxfId="135"/>
    <tableColumn id="8" xr3:uid="{384936E5-15E6-4E67-86FB-37771F12002F}" name="Car Number (s)  of Tags not cleaned (shadows)" dataDxfId="134"/>
    <tableColumn id="9" xr3:uid="{395C3CD6-AAE9-4C66-86B4-172952DA9644}" name="Date of 2nd visit to clean remaining tags" dataDxfId="133"/>
    <tableColumn id="10" xr3:uid="{AEB82876-53B2-4CE4-9773-0782E92154A0}" name="Number of tags removed" dataDxfId="132"/>
    <tableColumn id="11" xr3:uid="{6C3BACB9-A591-4816-9BC0-9050E7E15177}" name="Date of 3rd visit to clean remaining tags" dataDxfId="131"/>
    <tableColumn id="12" xr3:uid="{2BC2F750-AFE7-4250-850E-D3DE4B6359D2}" name="Number of tags removed2" dataDxfId="130"/>
    <tableColumn id="13" xr3:uid="{A80D9818-3938-4833-A668-B54565F3180E}" name="Train Inspected and Fit for service    (Y/N)" dataDxfId="129"/>
    <tableColumn id="14" xr3:uid="{0324BA34-7BAE-4091-9411-9E0B173E7C59}" name="Inspected by Supervisor/Manager (Name)" dataDxfId="128"/>
    <tableColumn id="15" xr3:uid="{DBA34C6D-E977-4974-8A4A-E292EF2475BD}" name="Date of Completing all shadows (Tags) on this Unit excluding acid etched shadows" dataDxfId="127"/>
    <tableColumn id="16" xr3:uid="{5377B1F1-CD25-42BB-B0B6-0D00B16447A6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FFA9A8-A3E6-4679-A7EC-18E251A50A36}" name="TagsRA6" displayName="TagsRA6" ref="A1:P95" totalsRowShown="0" headerRowDxfId="125" tableBorderDxfId="12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C532797A-27DE-41ED-8196-0C4F22C0A090}" name="Unit No." dataDxfId="123"/>
    <tableColumn id="2" xr3:uid="{C36AA0C1-11DA-4B8B-8267-EC2C8993415C}" name="DATE" dataDxfId="122"/>
    <tableColumn id="3" xr3:uid="{95251B9F-2CD1-466C-9F43-442543AF2F7E}" name="Status" dataDxfId="121"/>
    <tableColumn id="4" xr3:uid="{BA1EB398-5B8F-4309-A344-0D6330320C98}" name="Number of cars affected by graffiti/shadows on this unit" dataDxfId="120"/>
    <tableColumn id="5" xr3:uid="{1017E883-723B-44BD-B0A3-C01ADCC6F830}" name="Total Number of Tags found" dataDxfId="119"/>
    <tableColumn id="6" xr3:uid="{6E7C9005-1CFD-448A-82B5-79B882ACFFAF}" name="Total Tags Removed / Cleaned" dataDxfId="118"/>
    <tableColumn id="7" xr3:uid="{735C4385-C6D4-4B1E-AE61-61636946A7C8}" name="Total Tags Not Cleaned on this Unit" dataDxfId="117"/>
    <tableColumn id="8" xr3:uid="{726AC9BC-2D36-4552-BEA7-32D163EAF282}" name="Car Number (s)  of Tags not cleaned (shadows)" dataDxfId="116"/>
    <tableColumn id="9" xr3:uid="{C5CCD6CA-EA16-445E-A548-22046D210BCB}" name="Date of 2nd visit to clean remaining tags" dataDxfId="115"/>
    <tableColumn id="10" xr3:uid="{C58081DD-36C6-4500-85AC-4AA5EE42EBDC}" name="Number of tags removed" dataDxfId="114"/>
    <tableColumn id="11" xr3:uid="{E0DCE905-6FC1-4A29-9B2D-891367038DD4}" name="Date of 3rd visit to clean remaining tags" dataDxfId="113"/>
    <tableColumn id="12" xr3:uid="{B49A5F28-50A0-4F94-80DA-30DD9582FA99}" name="Number of tags removed2" dataDxfId="112"/>
    <tableColumn id="13" xr3:uid="{A95496EA-85CF-417E-9D78-3B6A9D145BAA}" name="Train Inspected and Fit for service    (Y/N)" dataDxfId="111"/>
    <tableColumn id="14" xr3:uid="{80C6C7FB-E96D-43D8-B2D4-B67045155A8D}" name="Inspected by Supervisor/Manager (Name)" dataDxfId="110"/>
    <tableColumn id="15" xr3:uid="{7CA536C0-6170-4A25-B7AE-D9039A25E923}" name="Date of Completing all shadows (Tags) on this Unit excluding acid etched shadows" dataDxfId="109"/>
    <tableColumn id="16" xr3:uid="{C9AABC0D-87BF-4ED2-B510-3D58237EFB07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342EC6-762C-459E-B249-ADB64B421CFD}" name="TagsRA7" displayName="TagsRA7" ref="A1:P95" totalsRowShown="0" headerRowDxfId="107" tableBorderDxfId="10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DC60A44-8511-4C4A-BBCC-BA3B93AE9562}" name="Unit No." dataDxfId="105"/>
    <tableColumn id="2" xr3:uid="{9FE1790B-AFD4-40F7-972B-8CAB7A537A3C}" name="DATE" dataDxfId="104"/>
    <tableColumn id="3" xr3:uid="{D607A70A-84B4-4FA6-A7C2-9F5BB8373393}" name="Status" dataDxfId="103"/>
    <tableColumn id="4" xr3:uid="{77A90FCB-06E2-4530-8B85-423A5E69CF28}" name="Number of cars affected by graffiti/shadows on this unit" dataDxfId="102"/>
    <tableColumn id="5" xr3:uid="{3B753EA6-B31D-469C-819A-A208A4B538C4}" name="Total Number of Tags found" dataDxfId="101"/>
    <tableColumn id="6" xr3:uid="{18FC77AE-A9DC-4DC1-A706-1F683FBA07E3}" name="Total Tags Removed / Cleaned" dataDxfId="100"/>
    <tableColumn id="7" xr3:uid="{B0301CF6-6862-47C8-9B2E-D50785031F78}" name="Total Tags Not Cleaned on this Unit" dataDxfId="99"/>
    <tableColumn id="8" xr3:uid="{5708693C-107D-486B-970D-DE5CF60F036F}" name="Car Number (s)  of Tags not cleaned (shadows)" dataDxfId="98"/>
    <tableColumn id="9" xr3:uid="{C8096202-0FA4-4D77-B816-97A66502FCFA}" name="Date of 2nd visit to clean remaining tags" dataDxfId="97"/>
    <tableColumn id="10" xr3:uid="{99039EDC-EC9E-4EE8-8157-ABACD089E04F}" name="Number of tags removed" dataDxfId="96"/>
    <tableColumn id="11" xr3:uid="{44DAE297-BB12-42DF-A61A-564417CB5247}" name="Date of 3rd visit to clean remaining tags" dataDxfId="95"/>
    <tableColumn id="12" xr3:uid="{29CC6985-CC59-4976-8A42-2D9781A5321D}" name="Number of tags removed2" dataDxfId="94"/>
    <tableColumn id="13" xr3:uid="{577D096D-22F8-4CE7-AC51-39C64BFFE889}" name="Train Inspected and Fit for service    (Y/N)" dataDxfId="93"/>
    <tableColumn id="14" xr3:uid="{35381099-059C-4B74-B106-4C3BF18888C9}" name="Inspected by Supervisor/Manager (Name)" dataDxfId="92"/>
    <tableColumn id="15" xr3:uid="{B33D8B25-F29B-42EE-B694-CF2431D2A462}" name="Date of Completing all shadows (Tags) on this Unit excluding acid etched shadows" dataDxfId="91"/>
    <tableColumn id="16" xr3:uid="{5EAE7487-68B4-4EC2-96D6-48A3670DE858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096AD8C-1116-41FB-9D15-564B55BE591B}" name="TagsRA8" displayName="TagsRA8" ref="A1:P95" totalsRowShown="0" headerRowDxfId="89" tableBorderDxfId="88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34DED6DA-C60F-45D7-9826-A85B571D3356}" name="Unit No." dataDxfId="87"/>
    <tableColumn id="2" xr3:uid="{C18878A3-E466-4CAB-A1C8-6D21E8FA982D}" name="DATE" dataDxfId="86"/>
    <tableColumn id="3" xr3:uid="{DA547895-9FA1-4F46-84FD-75F82D55A843}" name="Status" dataDxfId="85"/>
    <tableColumn id="4" xr3:uid="{C1886481-E547-4701-A999-074574736CEB}" name="Number of cars affected by graffiti/shadows on this unit" dataDxfId="84"/>
    <tableColumn id="5" xr3:uid="{DADA1E23-5527-4DB5-9F2F-993B524AB78E}" name="Total Number of Tags found" dataDxfId="83"/>
    <tableColumn id="6" xr3:uid="{5E0B6CA6-6126-4103-853A-A93D22D32267}" name="Total Tags Removed / Cleaned" dataDxfId="82"/>
    <tableColumn id="7" xr3:uid="{F05282D3-8151-45B1-BE4A-66861C37C5B8}" name="Total Tags Not Cleaned on this Unit" dataDxfId="81"/>
    <tableColumn id="8" xr3:uid="{35F856A5-1143-4196-A9B3-8676A681834D}" name="Car Number (s)  of Tags not cleaned (shadows)" dataDxfId="80"/>
    <tableColumn id="9" xr3:uid="{A7ED6614-CA88-4E3C-AA40-EAF96FDDF88E}" name="Date of 2nd visit to clean remaining tags" dataDxfId="79"/>
    <tableColumn id="10" xr3:uid="{7C7C1C13-0BFF-4D89-9037-58581D2A2453}" name="Number of tags removed" dataDxfId="78"/>
    <tableColumn id="11" xr3:uid="{71976874-8447-4EF6-88DE-F325DC9B3A21}" name="Date of 3rd visit to clean remaining tags" dataDxfId="77"/>
    <tableColumn id="12" xr3:uid="{F286CFAC-F6A6-4AE6-8F3D-C49DAB639555}" name="Number of tags removed2" dataDxfId="76"/>
    <tableColumn id="13" xr3:uid="{0E00A17C-9AFA-4C79-9CD6-41A57FD9D688}" name="Train Inspected and Fit for service    (Y/N)" dataDxfId="75"/>
    <tableColumn id="14" xr3:uid="{1ED1540C-F1F6-42E8-B0C0-B7944A60C9F8}" name="Inspected by Supervisor/Manager (Name)" dataDxfId="74"/>
    <tableColumn id="15" xr3:uid="{7F647C6D-DB6A-41F4-B6C7-3A056AF6D96B}" name="Date of Completing all shadows (Tags) on this Unit excluding acid etched shadows" dataDxfId="73"/>
    <tableColumn id="16" xr3:uid="{9CC3FCAC-DBE1-4BA8-9BB8-DD6D3660EC12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916C60-EF03-4510-9660-CFB1DE0F5CF4}" name="TagsRA9" displayName="TagsRA9" ref="A1:P95" totalsRowShown="0" headerRowDxfId="71" tableBorderDxfId="70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4C628ECE-7F28-45A4-BA2E-DA6CD1183AE1}" name="Unit No." dataDxfId="69"/>
    <tableColumn id="2" xr3:uid="{00175B7C-7940-4BA9-AB7D-345BF1A3EEA4}" name="DATE" dataDxfId="68"/>
    <tableColumn id="3" xr3:uid="{DBA4141B-361B-4641-9A7B-9148BB41ABE0}" name="Status" dataDxfId="67"/>
    <tableColumn id="4" xr3:uid="{ACEDF2EB-3B1E-420A-B2F2-C047F13861D7}" name="Number of cars affected by graffiti/shadows on this unit" dataDxfId="66"/>
    <tableColumn id="5" xr3:uid="{9E13B566-093E-4CE1-82F5-722958697CE6}" name="Total Number of Tags found" dataDxfId="65"/>
    <tableColumn id="6" xr3:uid="{1FF58F7A-56F8-43F6-B6D8-B6F52B102E6F}" name="Total Tags Removed / Cleaned" dataDxfId="64"/>
    <tableColumn id="7" xr3:uid="{A76C77F9-E225-4E4B-AA1E-7BB9E91AF61C}" name="Total Tags Not Cleaned on this Unit" dataDxfId="63"/>
    <tableColumn id="8" xr3:uid="{ED44EC7B-D34F-4698-89C7-1D31ED92FEE4}" name="Car Number (s)  of Tags not cleaned (shadows)" dataDxfId="62"/>
    <tableColumn id="9" xr3:uid="{A315E80A-C4B4-4C42-ADA6-E679FDBE6E7C}" name="Date of 2nd visit to clean remaining tags" dataDxfId="61"/>
    <tableColumn id="10" xr3:uid="{B9C96ACE-4112-425E-A91D-36501DF67315}" name="Number of tags removed" dataDxfId="60"/>
    <tableColumn id="11" xr3:uid="{0D7A61A7-44B5-498A-BBB2-9DBA97FD6615}" name="Date of 3rd visit to clean remaining tags" dataDxfId="59"/>
    <tableColumn id="12" xr3:uid="{5667D348-6C90-429F-9BB3-45706597A4D3}" name="Number of tags removed2" dataDxfId="58"/>
    <tableColumn id="13" xr3:uid="{1A0E4077-3EC7-4989-A5AB-C2F4F4A1C061}" name="Train Inspected and Fit for service    (Y/N)" dataDxfId="57"/>
    <tableColumn id="14" xr3:uid="{AFE8FABF-B365-4707-96C9-0C73AB51BBE5}" name="Inspected by Supervisor/Manager (Name)" dataDxfId="56"/>
    <tableColumn id="15" xr3:uid="{4E6CDCC3-95A9-4579-8738-A0FC32A904A4}" name="Date of Completing all shadows (Tags) on this Unit excluding acid etched shadows" dataDxfId="55"/>
    <tableColumn id="16" xr3:uid="{7DA02F4C-3D3D-425A-9283-492231F3521C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ED642D-220F-48C9-80F6-02EC73860538}" name="TagsRA10" displayName="TagsRA10" ref="A1:P95" totalsRowShown="0" headerRowDxfId="53" tableBorderDxfId="52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EB506EE3-5850-4A36-8212-5307D3DAF05E}" name="Unit No." dataDxfId="51"/>
    <tableColumn id="2" xr3:uid="{ED3CF996-E896-4084-9E55-2E40572DB4BD}" name="DATE" dataDxfId="50"/>
    <tableColumn id="3" xr3:uid="{B1DDEC6C-5791-48E6-AF03-9DF58A960FFA}" name="Status" dataDxfId="49"/>
    <tableColumn id="4" xr3:uid="{9A6596B7-A8FB-4FE0-8EDE-E78903E643CA}" name="Number of cars affected by graffiti/shadows on this unit" dataDxfId="48"/>
    <tableColumn id="5" xr3:uid="{BEE98483-580E-48FD-8B96-31A58EFAAA34}" name="Total Number of Tags found" dataDxfId="47"/>
    <tableColumn id="6" xr3:uid="{433AACCB-A256-4C67-B59F-667006CA74A1}" name="Total Tags Removed / Cleaned" dataDxfId="46"/>
    <tableColumn id="7" xr3:uid="{A42458D8-8B59-4353-8097-BA65076A74FC}" name="Total Tags Not Cleaned on this Unit" dataDxfId="45"/>
    <tableColumn id="8" xr3:uid="{7A8C3345-E53C-4114-A2ED-21E7EB41946C}" name="Car Number (s)  of Tags not cleaned (shadows)" dataDxfId="44"/>
    <tableColumn id="9" xr3:uid="{892F2888-11A2-4573-98F4-07FF6BD32A53}" name="Date of 2nd visit to clean remaining tags" dataDxfId="43"/>
    <tableColumn id="10" xr3:uid="{D723CE86-2D1D-4F69-A7CD-F1A35902F34F}" name="Number of tags removed" dataDxfId="42"/>
    <tableColumn id="11" xr3:uid="{4B1B2526-71A2-4922-A85A-45EB58016138}" name="Date of 3rd visit to clean remaining tags" dataDxfId="41"/>
    <tableColumn id="12" xr3:uid="{5B578D37-32A5-4241-9789-C574F88BE101}" name="Number of tags removed2" dataDxfId="40"/>
    <tableColumn id="13" xr3:uid="{6CAE927F-A983-44F3-82BC-CDFB5B46C7A8}" name="Train Inspected and Fit for service    (Y/N)" dataDxfId="39"/>
    <tableColumn id="14" xr3:uid="{6E920A36-A1D8-4C4A-B672-F8313073DD12}" name="Inspected by Supervisor/Manager (Name)" dataDxfId="38"/>
    <tableColumn id="15" xr3:uid="{4F1ACEF5-1739-4DD2-A4F6-9EB59004C013}" name="Date of Completing all shadows (Tags) on this Unit excluding acid etched shadows" dataDxfId="37"/>
    <tableColumn id="16" xr3:uid="{D0CAF397-39A4-469B-8BFE-2A9DC39A98BF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EA97E9-5B7E-4C6D-A3EC-AAB793C4D29A}" name="TagsRA11" displayName="TagsRA11" ref="A1:P95" totalsRowShown="0" headerRowDxfId="35" tableBorderDxfId="34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6DD2569A-3284-449F-AC66-9003BD073C66}" name="Unit No." dataDxfId="33"/>
    <tableColumn id="2" xr3:uid="{0F7E9C6F-AD14-422D-B675-B214AA2026DB}" name="DATE" dataDxfId="32"/>
    <tableColumn id="3" xr3:uid="{1629FA8F-1635-4BD5-8BBC-252622CF3CFB}" name="Status" dataDxfId="31"/>
    <tableColumn id="4" xr3:uid="{3182F048-87A3-4F8A-86FE-99605E9A8E5B}" name="Number of cars affected by graffiti/shadows on this unit" dataDxfId="30"/>
    <tableColumn id="5" xr3:uid="{618CD36A-2860-4B3F-BE14-503A7A9C8843}" name="Total Number of Tags found" dataDxfId="29"/>
    <tableColumn id="6" xr3:uid="{CC747BD1-00DA-4536-9CFA-499BFD70E2A2}" name="Total Tags Removed / Cleaned" dataDxfId="28"/>
    <tableColumn id="7" xr3:uid="{CDE23200-8AE7-4AAF-89D2-4A989B8B7850}" name="Total Tags Not Cleaned on this Unit" dataDxfId="27"/>
    <tableColumn id="8" xr3:uid="{DBCCC10E-7846-4F95-B1C1-ED5E378468FC}" name="Car Number (s)  of Tags not cleaned (shadows)" dataDxfId="26"/>
    <tableColumn id="9" xr3:uid="{45BEC0FA-206A-40C1-90EE-8A6E02DA6679}" name="Date of 2nd visit to clean remaining tags" dataDxfId="25"/>
    <tableColumn id="10" xr3:uid="{5970C9EB-0653-477A-AF84-2E6331EC55DE}" name="Number of tags removed" dataDxfId="24"/>
    <tableColumn id="11" xr3:uid="{555FAABD-2B7C-45E8-AE1B-57FEB1478BF7}" name="Date of 3rd visit to clean remaining tags" dataDxfId="23"/>
    <tableColumn id="12" xr3:uid="{77B5E041-EFC6-4AA8-8DD4-9AEBB152976C}" name="Number of tags removed2" dataDxfId="22"/>
    <tableColumn id="13" xr3:uid="{1A92A7BB-AD99-4A7D-8E5C-4E449F2B205E}" name="Train Inspected and Fit for service    (Y/N)" dataDxfId="21"/>
    <tableColumn id="14" xr3:uid="{15B6C523-74B6-4839-8334-C5D653CF2DCA}" name="Inspected by Supervisor/Manager (Name)" dataDxfId="20"/>
    <tableColumn id="15" xr3:uid="{E3B25B17-A382-4024-B060-54895E75BCAB}" name="Date of Completing all shadows (Tags) on this Unit excluding acid etched shadows" dataDxfId="19"/>
    <tableColumn id="16" xr3:uid="{132350B9-04F0-49EC-A1CA-D21C82768F97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1B2475D-F9EB-4F72-9FC9-50FDC0B6264E}" name="TagsRA12" displayName="TagsRA12" ref="A1:P95" totalsRowShown="0" headerRowDxfId="17" tableBorderDxfId="16">
  <autoFilter ref="A1:P95" xr:uid="{4D85A389-B6F7-470C-AA91-6FB3DD16320D}"/>
  <sortState xmlns:xlrd2="http://schemas.microsoft.com/office/spreadsheetml/2017/richdata2" ref="A2:P95">
    <sortCondition ref="A1:A95"/>
  </sortState>
  <tableColumns count="16">
    <tableColumn id="1" xr3:uid="{B19B5573-6CF4-4B1D-86AD-FEADB0B34207}" name="Unit No." dataDxfId="15"/>
    <tableColumn id="2" xr3:uid="{605A35C7-69A7-412F-BB2A-2330FAE5F26D}" name="DATE" dataDxfId="14"/>
    <tableColumn id="3" xr3:uid="{040A3EF2-F797-4686-97F1-F7024B84A4F1}" name="Status" dataDxfId="13"/>
    <tableColumn id="4" xr3:uid="{CFA0A345-E5B4-4C01-B5E2-A33F0AFB9052}" name="Number of cars affected by graffiti/shadows on this unit" dataDxfId="12"/>
    <tableColumn id="5" xr3:uid="{B902F619-7A53-4317-98C0-17491E30A430}" name="Total Number of Tags found" dataDxfId="11"/>
    <tableColumn id="6" xr3:uid="{376E9C9F-6537-42E9-BE2C-67B06B68516D}" name="Total Tags Removed / Cleaned" dataDxfId="10"/>
    <tableColumn id="7" xr3:uid="{CC8478AE-53EE-4B6E-89C8-DB16FEB26E6E}" name="Total Tags Not Cleaned on this Unit" dataDxfId="9"/>
    <tableColumn id="8" xr3:uid="{7A527BC8-5DAA-443B-B3B0-A711924E1330}" name="Car Number (s)  of Tags not cleaned (shadows)" dataDxfId="8"/>
    <tableColumn id="9" xr3:uid="{20E08783-23DB-41CD-B5A3-558C83A26969}" name="Date of 2nd visit to clean remaining tags" dataDxfId="7"/>
    <tableColumn id="10" xr3:uid="{606D0506-3B01-4698-91BC-11E22B478219}" name="Number of tags removed" dataDxfId="6"/>
    <tableColumn id="11" xr3:uid="{E1A9833B-FB50-4EC0-BAAD-A2165DA02213}" name="Date of 3rd visit to clean remaining tags" dataDxfId="5"/>
    <tableColumn id="12" xr3:uid="{206A9C72-F24E-4FE7-B2A8-99CC52074355}" name="Number of tags removed2" dataDxfId="4"/>
    <tableColumn id="13" xr3:uid="{91FA6A48-9EA3-4D67-B5EF-02E8E431B7C4}" name="Train Inspected and Fit for service    (Y/N)" dataDxfId="3"/>
    <tableColumn id="14" xr3:uid="{12811F51-336E-4C92-BEF7-360F2F222493}" name="Inspected by Supervisor/Manager (Name)" dataDxfId="2"/>
    <tableColumn id="15" xr3:uid="{80BA1CC8-2693-4894-92AE-06876107FF46}" name="Date of Completing all shadows (Tags) on this Unit excluding acid etched shadows" dataDxfId="1"/>
    <tableColumn id="16" xr3:uid="{ADCD8A68-FA75-47B1-AA66-F2B51E478D7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29"/>
  <sheetViews>
    <sheetView zoomScale="110" zoomScaleNormal="110" workbookViewId="0">
      <pane xSplit="1" ySplit="1" topLeftCell="B83" activePane="bottomRight" state="frozen"/>
      <selection pane="topRight"/>
      <selection pane="bottomLeft"/>
      <selection pane="bottomRight" activeCell="D90" sqref="D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>
        <v>45950</v>
      </c>
      <c r="C2" s="11"/>
      <c r="D2" s="38">
        <v>1</v>
      </c>
      <c r="E2" s="38">
        <v>6</v>
      </c>
      <c r="F2" s="38">
        <v>6</v>
      </c>
      <c r="G2" s="38">
        <v>0</v>
      </c>
      <c r="H2" s="38">
        <v>0</v>
      </c>
      <c r="I2" s="13"/>
      <c r="J2" s="38"/>
      <c r="K2" s="13"/>
      <c r="L2" s="38"/>
      <c r="M2" s="12" t="s">
        <v>21</v>
      </c>
      <c r="N2" s="14" t="s">
        <v>22</v>
      </c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>
        <v>45950</v>
      </c>
      <c r="C3" s="11"/>
      <c r="D3" s="38">
        <v>1</v>
      </c>
      <c r="E3" s="38">
        <v>3</v>
      </c>
      <c r="F3" s="38">
        <v>3</v>
      </c>
      <c r="G3" s="38">
        <v>0</v>
      </c>
      <c r="H3" s="38">
        <v>0</v>
      </c>
      <c r="I3" s="13"/>
      <c r="J3" s="38"/>
      <c r="K3" s="13"/>
      <c r="L3" s="38"/>
      <c r="M3" s="12" t="s">
        <v>21</v>
      </c>
      <c r="N3" s="14" t="s">
        <v>22</v>
      </c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>
        <v>45951</v>
      </c>
      <c r="C4" s="11"/>
      <c r="D4" s="38">
        <v>1</v>
      </c>
      <c r="E4" s="38">
        <v>1</v>
      </c>
      <c r="F4" s="38">
        <v>1</v>
      </c>
      <c r="G4" s="38">
        <v>0</v>
      </c>
      <c r="H4" s="38">
        <v>0</v>
      </c>
      <c r="I4" s="13"/>
      <c r="J4" s="38"/>
      <c r="K4" s="13"/>
      <c r="L4" s="38"/>
      <c r="M4" s="12" t="s">
        <v>21</v>
      </c>
      <c r="N4" s="14" t="s">
        <v>23</v>
      </c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>
        <v>45951</v>
      </c>
      <c r="C5" s="11"/>
      <c r="D5" s="38">
        <v>1</v>
      </c>
      <c r="E5" s="38">
        <v>1</v>
      </c>
      <c r="F5" s="38">
        <v>1</v>
      </c>
      <c r="G5" s="38">
        <v>0</v>
      </c>
      <c r="H5" s="38">
        <v>0</v>
      </c>
      <c r="I5" s="13"/>
      <c r="J5" s="38"/>
      <c r="K5" s="13"/>
      <c r="L5" s="38"/>
      <c r="M5" s="12" t="s">
        <v>21</v>
      </c>
      <c r="N5" s="14" t="s">
        <v>23</v>
      </c>
      <c r="O5" s="10"/>
      <c r="P5" s="42"/>
    </row>
    <row r="6" spans="1:21" ht="15" customHeight="1" x14ac:dyDescent="0.25">
      <c r="A6" s="33">
        <v>11005</v>
      </c>
      <c r="B6" s="10">
        <v>45951</v>
      </c>
      <c r="C6" s="11"/>
      <c r="D6" s="38">
        <v>1</v>
      </c>
      <c r="E6" s="38">
        <v>3</v>
      </c>
      <c r="F6" s="38">
        <v>3</v>
      </c>
      <c r="G6" s="38">
        <v>0</v>
      </c>
      <c r="H6" s="38">
        <v>0</v>
      </c>
      <c r="I6" s="13"/>
      <c r="J6" s="38"/>
      <c r="K6" s="13"/>
      <c r="L6" s="38"/>
      <c r="M6" s="12" t="s">
        <v>21</v>
      </c>
      <c r="N6" s="14" t="s">
        <v>23</v>
      </c>
      <c r="O6" s="10"/>
      <c r="P6" s="42"/>
    </row>
    <row r="7" spans="1:21" ht="15" customHeight="1" x14ac:dyDescent="0.25">
      <c r="A7" s="34">
        <v>11006</v>
      </c>
      <c r="B7" s="10">
        <v>45952</v>
      </c>
      <c r="C7" s="11"/>
      <c r="D7" s="38">
        <v>1</v>
      </c>
      <c r="E7" s="38">
        <v>1</v>
      </c>
      <c r="F7" s="38">
        <v>1</v>
      </c>
      <c r="G7" s="38">
        <v>0</v>
      </c>
      <c r="H7" s="38">
        <v>0</v>
      </c>
      <c r="I7" s="13"/>
      <c r="J7" s="38"/>
      <c r="K7" s="13"/>
      <c r="L7" s="38"/>
      <c r="M7" s="12" t="s">
        <v>21</v>
      </c>
      <c r="N7" s="14" t="s">
        <v>23</v>
      </c>
      <c r="O7" s="10"/>
      <c r="P7" s="42"/>
    </row>
    <row r="8" spans="1:21" ht="15" customHeight="1" x14ac:dyDescent="0.25">
      <c r="A8" s="33">
        <v>11007</v>
      </c>
      <c r="B8" s="10">
        <v>45948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 t="s">
        <v>21</v>
      </c>
      <c r="N8" s="14" t="s">
        <v>23</v>
      </c>
      <c r="O8" s="10"/>
      <c r="P8" s="42"/>
    </row>
    <row r="9" spans="1:21" ht="15" customHeight="1" x14ac:dyDescent="0.25">
      <c r="A9" s="34">
        <v>11008</v>
      </c>
      <c r="B9" s="10">
        <v>45948</v>
      </c>
      <c r="C9" s="11"/>
      <c r="D9" s="38">
        <v>1</v>
      </c>
      <c r="E9" s="38">
        <v>2</v>
      </c>
      <c r="F9" s="38">
        <v>2</v>
      </c>
      <c r="G9" s="38">
        <v>0</v>
      </c>
      <c r="H9" s="38">
        <v>0</v>
      </c>
      <c r="I9" s="13"/>
      <c r="J9" s="38"/>
      <c r="K9" s="13"/>
      <c r="L9" s="38"/>
      <c r="M9" s="12" t="s">
        <v>21</v>
      </c>
      <c r="N9" s="14" t="s">
        <v>23</v>
      </c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>
        <v>45948</v>
      </c>
      <c r="C11" s="11"/>
      <c r="D11" s="38">
        <v>1</v>
      </c>
      <c r="E11" s="38">
        <v>5</v>
      </c>
      <c r="F11" s="38">
        <v>5</v>
      </c>
      <c r="G11" s="38">
        <v>0</v>
      </c>
      <c r="H11" s="38">
        <v>0</v>
      </c>
      <c r="I11" s="13"/>
      <c r="J11" s="38"/>
      <c r="K11" s="13"/>
      <c r="L11" s="38"/>
      <c r="M11" s="12" t="s">
        <v>21</v>
      </c>
      <c r="N11" s="14" t="s">
        <v>24</v>
      </c>
      <c r="O11" s="10"/>
      <c r="P11" s="42"/>
    </row>
    <row r="12" spans="1:21" ht="15" customHeight="1" x14ac:dyDescent="0.25">
      <c r="A12" s="33">
        <v>11011</v>
      </c>
      <c r="B12" s="10">
        <v>45949</v>
      </c>
      <c r="C12" s="11"/>
      <c r="D12" s="38">
        <v>2</v>
      </c>
      <c r="E12" s="38">
        <v>3</v>
      </c>
      <c r="F12" s="38">
        <v>3</v>
      </c>
      <c r="G12" s="38">
        <v>0</v>
      </c>
      <c r="H12" s="38">
        <v>0</v>
      </c>
      <c r="I12" s="13"/>
      <c r="J12" s="38"/>
      <c r="K12" s="13"/>
      <c r="L12" s="38"/>
      <c r="M12" s="12" t="s">
        <v>21</v>
      </c>
      <c r="N12" s="14" t="s">
        <v>24</v>
      </c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>
        <v>45955</v>
      </c>
      <c r="C14" s="11"/>
      <c r="D14" s="38">
        <v>1</v>
      </c>
      <c r="E14" s="38">
        <v>1</v>
      </c>
      <c r="F14" s="38">
        <v>1</v>
      </c>
      <c r="G14" s="38">
        <v>0</v>
      </c>
      <c r="H14" s="38">
        <v>0</v>
      </c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>
        <v>45952</v>
      </c>
      <c r="C15" s="11"/>
      <c r="D15" s="38">
        <v>2</v>
      </c>
      <c r="E15" s="38">
        <v>2</v>
      </c>
      <c r="F15" s="38">
        <v>2</v>
      </c>
      <c r="G15" s="38">
        <v>0</v>
      </c>
      <c r="H15" s="38">
        <v>0</v>
      </c>
      <c r="I15" s="13"/>
      <c r="J15" s="38"/>
      <c r="K15" s="13"/>
      <c r="L15" s="38"/>
      <c r="M15" s="12" t="s">
        <v>21</v>
      </c>
      <c r="N15" s="14" t="s">
        <v>24</v>
      </c>
      <c r="O15" s="10"/>
      <c r="P15" s="42"/>
    </row>
    <row r="16" spans="1:21" ht="15" customHeight="1" x14ac:dyDescent="0.25">
      <c r="A16" s="33">
        <v>11015</v>
      </c>
      <c r="B16" s="10">
        <v>45948</v>
      </c>
      <c r="C16" s="11"/>
      <c r="D16" s="38">
        <v>1</v>
      </c>
      <c r="E16" s="38">
        <v>1</v>
      </c>
      <c r="F16" s="38">
        <v>1</v>
      </c>
      <c r="G16" s="38">
        <v>0</v>
      </c>
      <c r="H16" s="38">
        <v>0</v>
      </c>
      <c r="I16" s="13"/>
      <c r="J16" s="38"/>
      <c r="K16" s="13"/>
      <c r="L16" s="38"/>
      <c r="M16" s="12" t="s">
        <v>21</v>
      </c>
      <c r="N16" s="14" t="s">
        <v>24</v>
      </c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>
        <v>0</v>
      </c>
      <c r="I17" s="13"/>
      <c r="J17" s="38"/>
      <c r="K17" s="13"/>
      <c r="L17" s="38"/>
      <c r="M17" s="12" t="s">
        <v>21</v>
      </c>
      <c r="N17" s="14" t="s">
        <v>24</v>
      </c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>
        <v>45957</v>
      </c>
      <c r="C22" s="11"/>
      <c r="D22" s="38">
        <v>1</v>
      </c>
      <c r="E22" s="38">
        <v>1</v>
      </c>
      <c r="F22" s="38">
        <v>1</v>
      </c>
      <c r="G22" s="38">
        <v>0</v>
      </c>
      <c r="H22" s="38">
        <v>0</v>
      </c>
      <c r="I22" s="13"/>
      <c r="J22" s="38"/>
      <c r="K22" s="13"/>
      <c r="L22" s="38"/>
      <c r="M22" s="12" t="s">
        <v>21</v>
      </c>
      <c r="N22" s="14" t="s">
        <v>24</v>
      </c>
      <c r="O22" s="10"/>
      <c r="P22" s="42"/>
    </row>
    <row r="23" spans="1:16" ht="15" customHeight="1" x14ac:dyDescent="0.25">
      <c r="A23" s="34">
        <v>11022</v>
      </c>
      <c r="B23" s="10">
        <v>45954</v>
      </c>
      <c r="C23" s="11"/>
      <c r="D23" s="38">
        <v>1</v>
      </c>
      <c r="E23" s="38">
        <v>1</v>
      </c>
      <c r="F23" s="38">
        <v>1</v>
      </c>
      <c r="G23" s="38">
        <v>0</v>
      </c>
      <c r="H23" s="38">
        <v>0</v>
      </c>
      <c r="I23" s="13"/>
      <c r="J23" s="38"/>
      <c r="K23" s="13"/>
      <c r="L23" s="38"/>
      <c r="M23" s="12" t="s">
        <v>21</v>
      </c>
      <c r="N23" s="14" t="s">
        <v>25</v>
      </c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>
        <v>45953</v>
      </c>
      <c r="C26" s="11"/>
      <c r="D26" s="38">
        <v>1</v>
      </c>
      <c r="E26" s="38">
        <v>3</v>
      </c>
      <c r="F26" s="38">
        <v>3</v>
      </c>
      <c r="G26" s="38">
        <v>0</v>
      </c>
      <c r="H26" s="38">
        <v>0</v>
      </c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>
        <v>45951</v>
      </c>
      <c r="C27" s="11"/>
      <c r="D27" s="38">
        <v>1</v>
      </c>
      <c r="E27" s="38">
        <v>1</v>
      </c>
      <c r="F27" s="38">
        <v>1</v>
      </c>
      <c r="G27" s="38">
        <v>0</v>
      </c>
      <c r="H27" s="38">
        <v>0</v>
      </c>
      <c r="I27" s="13"/>
      <c r="J27" s="38"/>
      <c r="K27" s="13"/>
      <c r="L27" s="38"/>
      <c r="M27" s="12" t="s">
        <v>21</v>
      </c>
      <c r="N27" s="14" t="s">
        <v>25</v>
      </c>
      <c r="O27" s="10"/>
      <c r="P27" s="42"/>
    </row>
    <row r="28" spans="1:16" ht="15" customHeight="1" x14ac:dyDescent="0.25">
      <c r="A28" s="33">
        <v>11027</v>
      </c>
      <c r="B28" s="10">
        <v>45955</v>
      </c>
      <c r="C28" s="11"/>
      <c r="D28" s="38">
        <v>1</v>
      </c>
      <c r="E28" s="38">
        <v>1</v>
      </c>
      <c r="F28" s="38">
        <v>1</v>
      </c>
      <c r="G28" s="38">
        <v>0</v>
      </c>
      <c r="H28" s="38">
        <v>0</v>
      </c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>
        <v>0</v>
      </c>
      <c r="I31" s="13"/>
      <c r="J31" s="38"/>
      <c r="K31" s="13"/>
      <c r="L31" s="38"/>
      <c r="M31" s="12" t="s">
        <v>21</v>
      </c>
      <c r="N31" s="14" t="s">
        <v>25</v>
      </c>
      <c r="O31" s="10"/>
      <c r="P31" s="42"/>
    </row>
    <row r="32" spans="1:16" ht="15" customHeight="1" x14ac:dyDescent="0.25">
      <c r="A32" s="33">
        <v>11031</v>
      </c>
      <c r="B32" s="10">
        <v>45950</v>
      </c>
      <c r="C32" s="11"/>
      <c r="D32" s="38">
        <v>1</v>
      </c>
      <c r="E32" s="38">
        <v>2</v>
      </c>
      <c r="F32" s="38">
        <v>2</v>
      </c>
      <c r="G32" s="38">
        <v>0</v>
      </c>
      <c r="H32" s="38">
        <v>0</v>
      </c>
      <c r="I32" s="13"/>
      <c r="J32" s="38"/>
      <c r="K32" s="13"/>
      <c r="L32" s="38"/>
      <c r="M32" s="12" t="s">
        <v>21</v>
      </c>
      <c r="N32" s="14" t="s">
        <v>25</v>
      </c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 t="s">
        <v>21</v>
      </c>
      <c r="N34" s="14" t="s">
        <v>22</v>
      </c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>
        <v>45959</v>
      </c>
      <c r="C39" s="11" t="s">
        <v>27</v>
      </c>
      <c r="D39" s="38">
        <v>1</v>
      </c>
      <c r="E39" s="38">
        <v>1</v>
      </c>
      <c r="F39" s="38">
        <v>1</v>
      </c>
      <c r="G39" s="38">
        <v>0</v>
      </c>
      <c r="H39" s="38">
        <v>0</v>
      </c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>
        <v>45950</v>
      </c>
      <c r="C41" s="11"/>
      <c r="D41" s="38">
        <v>1</v>
      </c>
      <c r="E41" s="38">
        <v>3</v>
      </c>
      <c r="F41" s="38">
        <v>3</v>
      </c>
      <c r="G41" s="38">
        <v>0</v>
      </c>
      <c r="H41" s="38">
        <v>0</v>
      </c>
      <c r="I41" s="13"/>
      <c r="J41" s="38"/>
      <c r="K41" s="13"/>
      <c r="L41" s="38"/>
      <c r="M41" s="12" t="s">
        <v>21</v>
      </c>
      <c r="N41" s="14" t="s">
        <v>22</v>
      </c>
      <c r="O41" s="10"/>
      <c r="P41" s="42"/>
    </row>
    <row r="42" spans="1:16" ht="15" customHeight="1" x14ac:dyDescent="0.25">
      <c r="A42" s="33">
        <v>11041</v>
      </c>
      <c r="B42" s="10">
        <v>45953</v>
      </c>
      <c r="C42" s="11"/>
      <c r="D42" s="38">
        <v>1</v>
      </c>
      <c r="E42" s="38">
        <v>8</v>
      </c>
      <c r="F42" s="38">
        <v>8</v>
      </c>
      <c r="G42" s="38">
        <v>0</v>
      </c>
      <c r="H42" s="38">
        <v>0</v>
      </c>
      <c r="I42" s="13"/>
      <c r="J42" s="38"/>
      <c r="K42" s="13"/>
      <c r="L42" s="38"/>
      <c r="M42" s="12" t="s">
        <v>21</v>
      </c>
      <c r="N42" s="14" t="s">
        <v>22</v>
      </c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>
        <v>45955</v>
      </c>
      <c r="C47" s="11"/>
      <c r="D47" s="38">
        <v>1</v>
      </c>
      <c r="E47" s="38">
        <v>3</v>
      </c>
      <c r="F47" s="38">
        <v>3</v>
      </c>
      <c r="G47" s="38">
        <v>0</v>
      </c>
      <c r="H47" s="38">
        <v>0</v>
      </c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>
        <v>45950</v>
      </c>
      <c r="C48" s="11"/>
      <c r="D48" s="38">
        <v>1</v>
      </c>
      <c r="E48" s="38">
        <v>1</v>
      </c>
      <c r="F48" s="38">
        <v>1</v>
      </c>
      <c r="G48" s="38">
        <v>0</v>
      </c>
      <c r="H48" s="38">
        <v>0</v>
      </c>
      <c r="I48" s="13"/>
      <c r="J48" s="38"/>
      <c r="K48" s="13"/>
      <c r="L48" s="38"/>
      <c r="M48" s="12" t="s">
        <v>21</v>
      </c>
      <c r="N48" s="14" t="s">
        <v>22</v>
      </c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>
        <v>45950</v>
      </c>
      <c r="C50" s="11"/>
      <c r="D50" s="38">
        <v>1</v>
      </c>
      <c r="E50" s="38">
        <v>1</v>
      </c>
      <c r="F50" s="38">
        <v>1</v>
      </c>
      <c r="G50" s="38">
        <v>0</v>
      </c>
      <c r="H50" s="38">
        <v>0</v>
      </c>
      <c r="I50" s="13"/>
      <c r="J50" s="38"/>
      <c r="K50" s="13"/>
      <c r="L50" s="38"/>
      <c r="M50" s="12" t="s">
        <v>21</v>
      </c>
      <c r="N50" s="14" t="s">
        <v>22</v>
      </c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>
        <v>0</v>
      </c>
      <c r="I51" s="13"/>
      <c r="J51" s="38"/>
      <c r="K51" s="13"/>
      <c r="L51" s="38"/>
      <c r="M51" s="12" t="s">
        <v>21</v>
      </c>
      <c r="N51" s="14" t="s">
        <v>22</v>
      </c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>
        <v>45954</v>
      </c>
      <c r="C54" s="11"/>
      <c r="D54" s="38">
        <v>1</v>
      </c>
      <c r="E54" s="38">
        <v>3</v>
      </c>
      <c r="F54" s="38">
        <v>3</v>
      </c>
      <c r="G54" s="38">
        <v>0</v>
      </c>
      <c r="H54" s="38">
        <v>0</v>
      </c>
      <c r="I54" s="13"/>
      <c r="J54" s="38"/>
      <c r="K54" s="13"/>
      <c r="L54" s="38"/>
      <c r="M54" s="12" t="s">
        <v>21</v>
      </c>
      <c r="N54" s="14" t="s">
        <v>22</v>
      </c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45945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 t="s">
        <v>21</v>
      </c>
      <c r="N58" s="14" t="s">
        <v>22</v>
      </c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>
        <v>45953</v>
      </c>
      <c r="C63" s="11"/>
      <c r="D63" s="38">
        <v>1</v>
      </c>
      <c r="E63" s="38">
        <v>1</v>
      </c>
      <c r="F63" s="38">
        <v>1</v>
      </c>
      <c r="G63" s="38">
        <v>0</v>
      </c>
      <c r="H63" s="38">
        <v>0</v>
      </c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>
        <v>45955</v>
      </c>
      <c r="C64" s="11"/>
      <c r="D64" s="38">
        <v>1</v>
      </c>
      <c r="E64" s="38">
        <v>2</v>
      </c>
      <c r="F64" s="38">
        <v>2</v>
      </c>
      <c r="G64" s="38">
        <v>0</v>
      </c>
      <c r="H64" s="38">
        <v>0</v>
      </c>
      <c r="I64" s="13"/>
      <c r="J64" s="38"/>
      <c r="K64" s="13"/>
      <c r="L64" s="38"/>
      <c r="M64" s="12" t="s">
        <v>21</v>
      </c>
      <c r="N64" s="14" t="s">
        <v>23</v>
      </c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>
        <v>45951</v>
      </c>
      <c r="C66" s="11"/>
      <c r="D66" s="38">
        <v>1</v>
      </c>
      <c r="E66" s="38">
        <v>1</v>
      </c>
      <c r="F66" s="38">
        <v>1</v>
      </c>
      <c r="G66" s="38">
        <v>0</v>
      </c>
      <c r="H66" s="38">
        <v>0</v>
      </c>
      <c r="I66" s="13"/>
      <c r="J66" s="38"/>
      <c r="K66" s="13"/>
      <c r="L66" s="38"/>
      <c r="M66" s="12" t="s">
        <v>21</v>
      </c>
      <c r="N66" s="14" t="s">
        <v>22</v>
      </c>
      <c r="O66" s="10"/>
      <c r="P66" s="42"/>
    </row>
    <row r="67" spans="1:16" ht="15" customHeight="1" x14ac:dyDescent="0.25">
      <c r="A67" s="37">
        <v>11066</v>
      </c>
      <c r="B67" s="10">
        <v>45951</v>
      </c>
      <c r="C67" s="11"/>
      <c r="D67" s="38">
        <v>1</v>
      </c>
      <c r="E67" s="38">
        <v>1</v>
      </c>
      <c r="F67" s="38">
        <v>1</v>
      </c>
      <c r="G67" s="38">
        <v>0</v>
      </c>
      <c r="H67" s="38">
        <v>0</v>
      </c>
      <c r="I67" s="13"/>
      <c r="J67" s="38"/>
      <c r="K67" s="13"/>
      <c r="L67" s="38"/>
      <c r="M67" s="12" t="s">
        <v>21</v>
      </c>
      <c r="N67" s="14" t="s">
        <v>22</v>
      </c>
      <c r="O67" s="10"/>
      <c r="P67" s="42"/>
    </row>
    <row r="68" spans="1:16" ht="15.75" x14ac:dyDescent="0.25">
      <c r="A68" s="36">
        <v>11067</v>
      </c>
      <c r="B68" s="28">
        <v>45948</v>
      </c>
      <c r="C68" s="29"/>
      <c r="D68" s="39">
        <v>1</v>
      </c>
      <c r="E68" s="39">
        <v>3</v>
      </c>
      <c r="F68" s="39">
        <v>3</v>
      </c>
      <c r="G68" s="39">
        <v>0</v>
      </c>
      <c r="H68" s="39">
        <v>0</v>
      </c>
      <c r="I68" s="31"/>
      <c r="J68" s="39"/>
      <c r="K68" s="31"/>
      <c r="L68" s="39"/>
      <c r="M68" s="30" t="s">
        <v>21</v>
      </c>
      <c r="N68" s="32" t="s">
        <v>22</v>
      </c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>
        <v>45949</v>
      </c>
      <c r="C70" s="11"/>
      <c r="D70" s="38">
        <v>3</v>
      </c>
      <c r="E70" s="38">
        <v>4</v>
      </c>
      <c r="F70" s="38">
        <v>4</v>
      </c>
      <c r="G70" s="38">
        <v>0</v>
      </c>
      <c r="H70" s="38">
        <v>0</v>
      </c>
      <c r="I70" s="13"/>
      <c r="J70" s="38"/>
      <c r="K70" s="13"/>
      <c r="L70" s="38"/>
      <c r="M70" s="12" t="s">
        <v>21</v>
      </c>
      <c r="N70" s="14" t="s">
        <v>22</v>
      </c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>
        <v>45955</v>
      </c>
      <c r="C73" s="11"/>
      <c r="D73" s="38">
        <v>1</v>
      </c>
      <c r="E73" s="38">
        <v>1</v>
      </c>
      <c r="F73" s="38">
        <v>1</v>
      </c>
      <c r="G73" s="38">
        <v>0</v>
      </c>
      <c r="H73" s="38">
        <v>0</v>
      </c>
      <c r="I73" s="13"/>
      <c r="J73" s="38"/>
      <c r="K73" s="13"/>
      <c r="L73" s="38"/>
      <c r="M73" s="12" t="s">
        <v>21</v>
      </c>
      <c r="N73" s="14" t="s">
        <v>22</v>
      </c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>
        <v>45947</v>
      </c>
      <c r="C76" s="11"/>
      <c r="D76" s="40">
        <v>1</v>
      </c>
      <c r="E76" s="40">
        <v>1</v>
      </c>
      <c r="F76" s="40">
        <v>1</v>
      </c>
      <c r="G76" s="40">
        <v>0</v>
      </c>
      <c r="H76" s="40">
        <v>0</v>
      </c>
      <c r="I76" s="26"/>
      <c r="J76" s="40"/>
      <c r="K76" s="26"/>
      <c r="L76" s="40"/>
      <c r="M76" s="25" t="s">
        <v>21</v>
      </c>
      <c r="N76" s="27" t="s">
        <v>22</v>
      </c>
      <c r="O76" s="10"/>
      <c r="P76" s="44"/>
    </row>
    <row r="77" spans="1:16" ht="15.75" x14ac:dyDescent="0.25">
      <c r="A77" s="37">
        <v>11076</v>
      </c>
      <c r="B77" s="10">
        <v>45947</v>
      </c>
      <c r="C77" s="11"/>
      <c r="D77" s="40">
        <v>1</v>
      </c>
      <c r="E77" s="40">
        <v>3</v>
      </c>
      <c r="F77" s="40">
        <v>3</v>
      </c>
      <c r="G77" s="40">
        <v>0</v>
      </c>
      <c r="H77" s="40">
        <v>0</v>
      </c>
      <c r="I77" s="26"/>
      <c r="J77" s="40"/>
      <c r="K77" s="26"/>
      <c r="L77" s="40"/>
      <c r="M77" s="25" t="s">
        <v>21</v>
      </c>
      <c r="N77" s="27" t="s">
        <v>22</v>
      </c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>
        <v>45953</v>
      </c>
      <c r="C80" s="11"/>
      <c r="D80" s="40">
        <v>1</v>
      </c>
      <c r="E80" s="40">
        <v>1</v>
      </c>
      <c r="F80" s="40">
        <v>1</v>
      </c>
      <c r="G80" s="40">
        <v>0</v>
      </c>
      <c r="H80" s="40">
        <v>0</v>
      </c>
      <c r="I80" s="26"/>
      <c r="J80" s="40"/>
      <c r="K80" s="26"/>
      <c r="L80" s="40"/>
      <c r="M80" s="25" t="s">
        <v>21</v>
      </c>
      <c r="N80" s="27" t="s">
        <v>23</v>
      </c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>
        <v>45953</v>
      </c>
      <c r="C86" s="11"/>
      <c r="D86" s="40">
        <v>1</v>
      </c>
      <c r="E86" s="40">
        <v>1</v>
      </c>
      <c r="F86" s="40">
        <v>1</v>
      </c>
      <c r="G86" s="40">
        <v>0</v>
      </c>
      <c r="H86" s="40">
        <v>0</v>
      </c>
      <c r="I86" s="26"/>
      <c r="J86" s="40"/>
      <c r="K86" s="26"/>
      <c r="L86" s="40"/>
      <c r="M86" s="25" t="s">
        <v>21</v>
      </c>
      <c r="N86" s="27" t="s">
        <v>25</v>
      </c>
      <c r="O86" s="10"/>
      <c r="P86" s="44"/>
    </row>
    <row r="87" spans="1:16" ht="15.75" x14ac:dyDescent="0.25">
      <c r="A87" s="37">
        <v>11086</v>
      </c>
      <c r="B87" s="10">
        <v>45952</v>
      </c>
      <c r="C87" s="11"/>
      <c r="D87" s="40">
        <v>1</v>
      </c>
      <c r="E87" s="40">
        <v>1</v>
      </c>
      <c r="F87" s="40">
        <v>1</v>
      </c>
      <c r="G87" s="40">
        <v>0</v>
      </c>
      <c r="H87" s="40">
        <v>0</v>
      </c>
      <c r="I87" s="26"/>
      <c r="J87" s="40"/>
      <c r="K87" s="26"/>
      <c r="L87" s="40"/>
      <c r="M87" s="25" t="s">
        <v>21</v>
      </c>
      <c r="N87" s="27" t="s">
        <v>22</v>
      </c>
      <c r="O87" s="10"/>
      <c r="P87" s="44"/>
    </row>
    <row r="88" spans="1:16" ht="15.75" x14ac:dyDescent="0.25">
      <c r="A88" s="36">
        <v>11087</v>
      </c>
      <c r="B88" s="10">
        <v>45947</v>
      </c>
      <c r="C88" s="11"/>
      <c r="D88" s="40">
        <v>1</v>
      </c>
      <c r="E88" s="40">
        <v>3</v>
      </c>
      <c r="F88" s="40">
        <v>3</v>
      </c>
      <c r="G88" s="40">
        <v>0</v>
      </c>
      <c r="H88" s="40">
        <v>0</v>
      </c>
      <c r="I88" s="26"/>
      <c r="J88" s="40"/>
      <c r="K88" s="26"/>
      <c r="L88" s="40"/>
      <c r="M88" s="25" t="s">
        <v>21</v>
      </c>
      <c r="N88" s="27" t="s">
        <v>22</v>
      </c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>
        <v>45955</v>
      </c>
      <c r="C90" s="11"/>
      <c r="D90" s="40">
        <v>1</v>
      </c>
      <c r="E90" s="40">
        <v>3</v>
      </c>
      <c r="F90" s="40">
        <v>3</v>
      </c>
      <c r="G90" s="40">
        <v>0</v>
      </c>
      <c r="H90" s="40">
        <v>0</v>
      </c>
      <c r="I90" s="26"/>
      <c r="J90" s="40"/>
      <c r="K90" s="26"/>
      <c r="L90" s="40"/>
      <c r="M90" s="25" t="s">
        <v>21</v>
      </c>
      <c r="N90" s="27" t="s">
        <v>23</v>
      </c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>
        <v>45956</v>
      </c>
      <c r="C92" s="11" t="s">
        <v>27</v>
      </c>
      <c r="D92" s="40">
        <v>1</v>
      </c>
      <c r="E92" s="40">
        <v>125</v>
      </c>
      <c r="F92" s="40">
        <v>125</v>
      </c>
      <c r="G92" s="40">
        <v>0</v>
      </c>
      <c r="H92" s="40">
        <v>0</v>
      </c>
      <c r="I92" s="26"/>
      <c r="J92" s="40"/>
      <c r="K92" s="26"/>
      <c r="L92" s="40"/>
      <c r="M92" s="25" t="s">
        <v>21</v>
      </c>
      <c r="N92" s="27" t="s">
        <v>28</v>
      </c>
      <c r="O92" s="10"/>
      <c r="P92" s="44"/>
    </row>
    <row r="93" spans="1:16" ht="15.75" x14ac:dyDescent="0.25">
      <c r="A93" s="37">
        <v>11092</v>
      </c>
      <c r="B93" s="10">
        <v>45955</v>
      </c>
      <c r="C93" s="11"/>
      <c r="D93" s="40">
        <v>1</v>
      </c>
      <c r="E93" s="40">
        <v>1</v>
      </c>
      <c r="F93" s="40">
        <v>1</v>
      </c>
      <c r="G93" s="40">
        <v>0</v>
      </c>
      <c r="H93" s="40">
        <v>0</v>
      </c>
      <c r="I93" s="26"/>
      <c r="J93" s="40"/>
      <c r="K93" s="26"/>
      <c r="L93" s="40"/>
      <c r="M93" s="25" t="s">
        <v>21</v>
      </c>
      <c r="N93" s="27" t="s">
        <v>22</v>
      </c>
      <c r="O93" s="10"/>
      <c r="P93" s="44"/>
    </row>
    <row r="94" spans="1:16" ht="15.75" x14ac:dyDescent="0.25">
      <c r="A94" s="36">
        <v>11093</v>
      </c>
      <c r="B94" s="10">
        <v>45949</v>
      </c>
      <c r="C94" s="11"/>
      <c r="D94" s="40">
        <v>1</v>
      </c>
      <c r="E94" s="40">
        <v>4</v>
      </c>
      <c r="F94" s="40">
        <v>4</v>
      </c>
      <c r="G94" s="40">
        <v>0</v>
      </c>
      <c r="H94" s="40">
        <v>0</v>
      </c>
      <c r="I94" s="26"/>
      <c r="J94" s="40"/>
      <c r="K94" s="26"/>
      <c r="L94" s="40"/>
      <c r="M94" s="25" t="s">
        <v>21</v>
      </c>
      <c r="N94" s="27" t="s">
        <v>22</v>
      </c>
      <c r="O94" s="10"/>
      <c r="P94" s="44"/>
    </row>
    <row r="95" spans="1:16" ht="15.75" x14ac:dyDescent="0.25">
      <c r="A95" s="37">
        <v>11094</v>
      </c>
      <c r="B95" s="10">
        <v>45953</v>
      </c>
      <c r="C95" s="11"/>
      <c r="D95" s="40">
        <v>1</v>
      </c>
      <c r="E95" s="40">
        <v>1</v>
      </c>
      <c r="F95" s="40">
        <v>1</v>
      </c>
      <c r="G95" s="40">
        <v>0</v>
      </c>
      <c r="H95" s="40">
        <v>0</v>
      </c>
      <c r="I95" s="26"/>
      <c r="J95" s="40"/>
      <c r="K95" s="26"/>
      <c r="L95" s="40"/>
      <c r="M95" s="25" t="s">
        <v>21</v>
      </c>
      <c r="N95" s="27" t="s">
        <v>25</v>
      </c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bj19i6zInoodidgwrHMaomtI0BxQbitF+k3trJrZ2gjfW28kaSjeItUjPxA+aMul2VW+9d6/pZ9Z7XGLtuwufg==" saltValue="k4QEIIv1rZ/pD1NzK0SJt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D339B586-D44C-470E-B010-C5E1CB0C6886}">
      <formula1>45658</formula1>
    </dataValidation>
    <dataValidation type="whole" operator="greaterThanOrEqual" allowBlank="1" showInputMessage="1" showErrorMessage="1" sqref="P2:P95 D2:H95 J2:J95 L2:L95 A2:A21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8683-5633-495A-8E81-1B2DBBD50EFF}">
  <dimension ref="A1:U229"/>
  <sheetViews>
    <sheetView topLeftCell="A81" zoomScale="110" zoomScaleNormal="110" workbookViewId="0">
      <selection activeCell="E88" sqref="E88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>
        <v>45959</v>
      </c>
      <c r="C4" s="11"/>
      <c r="D4" s="38">
        <v>1</v>
      </c>
      <c r="E4" s="38">
        <v>3</v>
      </c>
      <c r="F4" s="38">
        <v>3</v>
      </c>
      <c r="G4" s="38">
        <v>0</v>
      </c>
      <c r="H4" s="38">
        <v>0</v>
      </c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>
        <v>45955</v>
      </c>
      <c r="C5" s="11"/>
      <c r="D5" s="38">
        <v>1</v>
      </c>
      <c r="E5" s="38">
        <v>4</v>
      </c>
      <c r="F5" s="38">
        <v>4</v>
      </c>
      <c r="G5" s="38">
        <v>0</v>
      </c>
      <c r="H5" s="38">
        <v>0</v>
      </c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>
        <v>45952</v>
      </c>
      <c r="C8" s="11"/>
      <c r="D8" s="38">
        <v>1</v>
      </c>
      <c r="E8" s="38">
        <v>1</v>
      </c>
      <c r="F8" s="38">
        <v>1</v>
      </c>
      <c r="G8" s="38">
        <v>0</v>
      </c>
      <c r="H8" s="38">
        <v>0</v>
      </c>
      <c r="I8" s="13"/>
      <c r="J8" s="38"/>
      <c r="K8" s="13"/>
      <c r="L8" s="38"/>
      <c r="M8" s="12" t="s">
        <v>21</v>
      </c>
      <c r="N8" s="14" t="s">
        <v>26</v>
      </c>
      <c r="O8" s="10"/>
      <c r="P8" s="42"/>
    </row>
    <row r="9" spans="1:21" ht="15" customHeight="1" x14ac:dyDescent="0.25">
      <c r="A9" s="34">
        <v>11008</v>
      </c>
      <c r="B9" s="10">
        <v>45957</v>
      </c>
      <c r="C9" s="11"/>
      <c r="D9" s="38">
        <v>1</v>
      </c>
      <c r="E9" s="38">
        <v>1</v>
      </c>
      <c r="F9" s="38">
        <v>1</v>
      </c>
      <c r="G9" s="38">
        <v>0</v>
      </c>
      <c r="H9" s="38">
        <v>0</v>
      </c>
      <c r="I9" s="13"/>
      <c r="J9" s="38"/>
      <c r="K9" s="13"/>
      <c r="L9" s="38"/>
      <c r="M9" s="12" t="s">
        <v>21</v>
      </c>
      <c r="N9" s="14" t="s">
        <v>24</v>
      </c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>
        <v>45952</v>
      </c>
      <c r="C11" s="11"/>
      <c r="D11" s="38">
        <v>1</v>
      </c>
      <c r="E11" s="38">
        <v>2</v>
      </c>
      <c r="F11" s="38">
        <v>2</v>
      </c>
      <c r="G11" s="38">
        <v>0</v>
      </c>
      <c r="H11" s="38">
        <v>0</v>
      </c>
      <c r="I11" s="13"/>
      <c r="J11" s="38"/>
      <c r="K11" s="13"/>
      <c r="L11" s="38"/>
      <c r="M11" s="12" t="s">
        <v>21</v>
      </c>
      <c r="N11" s="14" t="s">
        <v>24</v>
      </c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>
        <v>45955</v>
      </c>
      <c r="C15" s="11"/>
      <c r="D15" s="38">
        <v>1</v>
      </c>
      <c r="E15" s="38">
        <v>1</v>
      </c>
      <c r="F15" s="38">
        <v>1</v>
      </c>
      <c r="G15" s="38">
        <v>0</v>
      </c>
      <c r="H15" s="38">
        <v>0</v>
      </c>
      <c r="I15" s="13"/>
      <c r="J15" s="38"/>
      <c r="K15" s="13"/>
      <c r="L15" s="38"/>
      <c r="M15" s="12" t="s">
        <v>21</v>
      </c>
      <c r="N15" s="14" t="s">
        <v>26</v>
      </c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>
        <v>45945</v>
      </c>
      <c r="C17" s="11"/>
      <c r="D17" s="38">
        <v>1</v>
      </c>
      <c r="E17" s="38">
        <v>2</v>
      </c>
      <c r="F17" s="38">
        <v>2</v>
      </c>
      <c r="G17" s="38">
        <v>0</v>
      </c>
      <c r="H17" s="38">
        <v>0</v>
      </c>
      <c r="I17" s="13"/>
      <c r="J17" s="38"/>
      <c r="K17" s="13"/>
      <c r="L17" s="38"/>
      <c r="M17" s="12" t="s">
        <v>21</v>
      </c>
      <c r="N17" s="14" t="s">
        <v>26</v>
      </c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>
        <v>45953</v>
      </c>
      <c r="C23" s="11"/>
      <c r="D23" s="38">
        <v>1</v>
      </c>
      <c r="E23" s="38">
        <v>1</v>
      </c>
      <c r="F23" s="38">
        <v>1</v>
      </c>
      <c r="G23" s="38">
        <v>0</v>
      </c>
      <c r="H23" s="38">
        <v>0</v>
      </c>
      <c r="I23" s="13"/>
      <c r="J23" s="38"/>
      <c r="K23" s="13"/>
      <c r="L23" s="38"/>
      <c r="M23" s="12" t="s">
        <v>21</v>
      </c>
      <c r="N23" s="14" t="s">
        <v>26</v>
      </c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>
        <v>45946</v>
      </c>
      <c r="C31" s="11"/>
      <c r="D31" s="38">
        <v>1</v>
      </c>
      <c r="E31" s="38">
        <v>1</v>
      </c>
      <c r="F31" s="38">
        <v>1</v>
      </c>
      <c r="G31" s="38">
        <v>0</v>
      </c>
      <c r="H31" s="38">
        <v>0</v>
      </c>
      <c r="I31" s="13"/>
      <c r="J31" s="38"/>
      <c r="K31" s="13"/>
      <c r="L31" s="38"/>
      <c r="M31" s="12" t="s">
        <v>21</v>
      </c>
      <c r="N31" s="14" t="s">
        <v>22</v>
      </c>
      <c r="O31" s="10"/>
      <c r="P31" s="42"/>
    </row>
    <row r="32" spans="1:16" ht="15" customHeight="1" x14ac:dyDescent="0.25">
      <c r="A32" s="33">
        <v>11031</v>
      </c>
      <c r="B32" s="10">
        <v>45951</v>
      </c>
      <c r="C32" s="11"/>
      <c r="D32" s="38">
        <v>1</v>
      </c>
      <c r="E32" s="38">
        <v>1</v>
      </c>
      <c r="F32" s="38">
        <v>1</v>
      </c>
      <c r="G32" s="38">
        <v>0</v>
      </c>
      <c r="H32" s="38">
        <v>0</v>
      </c>
      <c r="I32" s="13"/>
      <c r="J32" s="38"/>
      <c r="K32" s="13"/>
      <c r="L32" s="38"/>
      <c r="M32" s="12" t="s">
        <v>21</v>
      </c>
      <c r="N32" s="14" t="s">
        <v>22</v>
      </c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>
        <v>45945</v>
      </c>
      <c r="C35" s="11"/>
      <c r="D35" s="38">
        <v>1</v>
      </c>
      <c r="E35" s="38">
        <v>2</v>
      </c>
      <c r="F35" s="38">
        <v>2</v>
      </c>
      <c r="G35" s="38">
        <v>0</v>
      </c>
      <c r="H35" s="38">
        <v>0</v>
      </c>
      <c r="I35" s="13"/>
      <c r="J35" s="38"/>
      <c r="K35" s="13"/>
      <c r="L35" s="38"/>
      <c r="M35" s="12" t="s">
        <v>21</v>
      </c>
      <c r="N35" s="14" t="s">
        <v>22</v>
      </c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>
        <v>45959</v>
      </c>
      <c r="C41" s="11"/>
      <c r="D41" s="38">
        <v>1</v>
      </c>
      <c r="E41" s="38">
        <v>1</v>
      </c>
      <c r="F41" s="38">
        <v>1</v>
      </c>
      <c r="G41" s="38">
        <v>0</v>
      </c>
      <c r="H41" s="38">
        <v>0</v>
      </c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>
        <v>45957</v>
      </c>
      <c r="C42" s="11"/>
      <c r="D42" s="38">
        <v>1</v>
      </c>
      <c r="E42" s="38">
        <v>1</v>
      </c>
      <c r="F42" s="38">
        <v>1</v>
      </c>
      <c r="G42" s="38">
        <v>0</v>
      </c>
      <c r="H42" s="38">
        <v>0</v>
      </c>
      <c r="I42" s="13"/>
      <c r="J42" s="38"/>
      <c r="K42" s="13"/>
      <c r="L42" s="38"/>
      <c r="M42" s="12" t="s">
        <v>21</v>
      </c>
      <c r="N42" s="14" t="s">
        <v>26</v>
      </c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>
        <v>45957</v>
      </c>
      <c r="C47" s="11"/>
      <c r="D47" s="38">
        <v>1</v>
      </c>
      <c r="E47" s="38">
        <v>1</v>
      </c>
      <c r="F47" s="38">
        <v>1</v>
      </c>
      <c r="G47" s="38">
        <v>0</v>
      </c>
      <c r="H47" s="38">
        <v>0</v>
      </c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>
        <v>45954</v>
      </c>
      <c r="C50" s="11"/>
      <c r="D50" s="38">
        <v>1</v>
      </c>
      <c r="E50" s="38">
        <v>1</v>
      </c>
      <c r="F50" s="38">
        <v>1</v>
      </c>
      <c r="G50" s="38">
        <v>0</v>
      </c>
      <c r="H50" s="38"/>
      <c r="I50" s="13"/>
      <c r="J50" s="38"/>
      <c r="K50" s="13"/>
      <c r="L50" s="38"/>
      <c r="M50" s="12" t="s">
        <v>21</v>
      </c>
      <c r="N50" s="14" t="s">
        <v>22</v>
      </c>
      <c r="O50" s="10"/>
      <c r="P50" s="42"/>
    </row>
    <row r="51" spans="1:16" ht="15" customHeight="1" x14ac:dyDescent="0.25">
      <c r="A51" s="37">
        <v>11050</v>
      </c>
      <c r="B51" s="10">
        <v>45946</v>
      </c>
      <c r="C51" s="11"/>
      <c r="D51" s="38">
        <v>1</v>
      </c>
      <c r="E51" s="38">
        <v>2</v>
      </c>
      <c r="F51" s="38">
        <v>2</v>
      </c>
      <c r="G51" s="38">
        <v>0</v>
      </c>
      <c r="H51" s="38"/>
      <c r="I51" s="13"/>
      <c r="J51" s="38"/>
      <c r="K51" s="13"/>
      <c r="L51" s="38"/>
      <c r="M51" s="12" t="s">
        <v>21</v>
      </c>
      <c r="N51" s="14" t="s">
        <v>25</v>
      </c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>
        <v>45950</v>
      </c>
      <c r="C58" s="11"/>
      <c r="D58" s="38">
        <v>1</v>
      </c>
      <c r="E58" s="38">
        <v>1</v>
      </c>
      <c r="F58" s="38">
        <v>1</v>
      </c>
      <c r="G58" s="38">
        <v>0</v>
      </c>
      <c r="H58" s="38">
        <v>0</v>
      </c>
      <c r="I58" s="13"/>
      <c r="J58" s="38"/>
      <c r="K58" s="13"/>
      <c r="L58" s="38"/>
      <c r="M58" s="12" t="s">
        <v>21</v>
      </c>
      <c r="N58" s="14" t="s">
        <v>25</v>
      </c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>
        <v>45959</v>
      </c>
      <c r="C63" s="11"/>
      <c r="D63" s="38">
        <v>1</v>
      </c>
      <c r="E63" s="38">
        <v>2</v>
      </c>
      <c r="F63" s="38">
        <v>2</v>
      </c>
      <c r="G63" s="38">
        <v>0</v>
      </c>
      <c r="H63" s="38">
        <v>0</v>
      </c>
      <c r="I63" s="13"/>
      <c r="J63" s="38"/>
      <c r="K63" s="13"/>
      <c r="L63" s="38"/>
      <c r="M63" s="12" t="s">
        <v>21</v>
      </c>
      <c r="N63" s="14" t="s">
        <v>26</v>
      </c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>
        <v>45954</v>
      </c>
      <c r="C66" s="11"/>
      <c r="D66" s="38">
        <v>1</v>
      </c>
      <c r="E66" s="38">
        <v>1</v>
      </c>
      <c r="F66" s="38">
        <v>1</v>
      </c>
      <c r="G66" s="38">
        <v>0</v>
      </c>
      <c r="H66" s="38">
        <v>0</v>
      </c>
      <c r="I66" s="13"/>
      <c r="J66" s="38"/>
      <c r="K66" s="13"/>
      <c r="L66" s="38"/>
      <c r="M66" s="12" t="s">
        <v>21</v>
      </c>
      <c r="N66" s="14" t="s">
        <v>22</v>
      </c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>
        <v>45950</v>
      </c>
      <c r="C68" s="29"/>
      <c r="D68" s="39">
        <v>1</v>
      </c>
      <c r="E68" s="39">
        <v>2</v>
      </c>
      <c r="F68" s="39">
        <v>2</v>
      </c>
      <c r="G68" s="39">
        <v>0</v>
      </c>
      <c r="H68" s="39">
        <v>0</v>
      </c>
      <c r="I68" s="31"/>
      <c r="J68" s="39"/>
      <c r="K68" s="31"/>
      <c r="L68" s="39"/>
      <c r="M68" s="30" t="s">
        <v>21</v>
      </c>
      <c r="N68" s="32" t="s">
        <v>25</v>
      </c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>
        <v>45951</v>
      </c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>
        <v>45952</v>
      </c>
      <c r="C76" s="11"/>
      <c r="D76" s="40">
        <v>1</v>
      </c>
      <c r="E76" s="40">
        <v>2</v>
      </c>
      <c r="F76" s="40">
        <v>2</v>
      </c>
      <c r="G76" s="40">
        <v>0</v>
      </c>
      <c r="H76" s="40">
        <v>0</v>
      </c>
      <c r="I76" s="26"/>
      <c r="J76" s="40"/>
      <c r="K76" s="26"/>
      <c r="L76" s="40"/>
      <c r="M76" s="25" t="s">
        <v>21</v>
      </c>
      <c r="N76" s="27" t="s">
        <v>22</v>
      </c>
      <c r="O76" s="10"/>
      <c r="P76" s="44"/>
    </row>
    <row r="77" spans="1:16" ht="15.75" x14ac:dyDescent="0.25">
      <c r="A77" s="37">
        <v>11076</v>
      </c>
      <c r="B77" s="10">
        <v>45951</v>
      </c>
      <c r="C77" s="11"/>
      <c r="D77" s="40">
        <v>1</v>
      </c>
      <c r="E77" s="40">
        <v>5</v>
      </c>
      <c r="F77" s="40">
        <v>5</v>
      </c>
      <c r="G77" s="40">
        <v>0</v>
      </c>
      <c r="H77" s="40">
        <v>0</v>
      </c>
      <c r="I77" s="26"/>
      <c r="J77" s="40"/>
      <c r="K77" s="26"/>
      <c r="L77" s="40"/>
      <c r="M77" s="25" t="s">
        <v>21</v>
      </c>
      <c r="N77" s="27" t="s">
        <v>22</v>
      </c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>
        <v>45955</v>
      </c>
      <c r="C86" s="11"/>
      <c r="D86" s="40">
        <v>2</v>
      </c>
      <c r="E86" s="40">
        <v>6</v>
      </c>
      <c r="F86" s="40">
        <v>6</v>
      </c>
      <c r="G86" s="40">
        <v>0</v>
      </c>
      <c r="H86" s="40">
        <v>0</v>
      </c>
      <c r="I86" s="26"/>
      <c r="J86" s="40"/>
      <c r="K86" s="26"/>
      <c r="L86" s="40"/>
      <c r="M86" s="25" t="s">
        <v>21</v>
      </c>
      <c r="N86" s="27" t="s">
        <v>22</v>
      </c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6"/>
      <c r="N92" s="45"/>
      <c r="O92" s="10"/>
      <c r="P92" s="44"/>
    </row>
    <row r="93" spans="1:16" ht="15.75" x14ac:dyDescent="0.25">
      <c r="A93" s="37">
        <v>11092</v>
      </c>
      <c r="B93" s="10">
        <v>45956</v>
      </c>
      <c r="C93" s="11" t="s">
        <v>27</v>
      </c>
      <c r="D93" s="40">
        <v>1</v>
      </c>
      <c r="E93" s="40">
        <v>125</v>
      </c>
      <c r="F93" s="40">
        <v>125</v>
      </c>
      <c r="G93" s="40">
        <v>0</v>
      </c>
      <c r="H93" s="40">
        <v>0</v>
      </c>
      <c r="I93" s="26"/>
      <c r="J93" s="40"/>
      <c r="K93" s="26"/>
      <c r="L93" s="40"/>
      <c r="M93" s="25" t="s">
        <v>21</v>
      </c>
      <c r="N93" s="27" t="s">
        <v>28</v>
      </c>
      <c r="O93" s="10"/>
      <c r="P93" s="44"/>
    </row>
    <row r="94" spans="1:16" ht="15.75" x14ac:dyDescent="0.25">
      <c r="A94" s="36">
        <v>11093</v>
      </c>
      <c r="B94" s="10">
        <v>45955</v>
      </c>
      <c r="C94" s="11"/>
      <c r="D94" s="40">
        <v>2</v>
      </c>
      <c r="E94" s="40">
        <v>2</v>
      </c>
      <c r="F94" s="40">
        <v>2</v>
      </c>
      <c r="G94" s="40">
        <v>0</v>
      </c>
      <c r="H94" s="40">
        <v>0</v>
      </c>
      <c r="I94" s="26"/>
      <c r="J94" s="40"/>
      <c r="K94" s="26"/>
      <c r="L94" s="40"/>
      <c r="M94" s="25" t="s">
        <v>21</v>
      </c>
      <c r="N94" s="27" t="s">
        <v>22</v>
      </c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nRajxyh9+RGxDpPIxWPmJtbaW5x+vmmidH4DhXXzmGeA7/AP3QSEn5PkXOvbwpS58UdSEwNKac5g00lHUDfSKA==" saltValue="46OhZwvBxeD29xbvqHhqa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A2:A21 L2:L91 L93:L95 J2:J91 J93:J95 D2:H91 D93:H95" xr:uid="{F145FBF8-9016-462E-8B73-46118E83B400}">
      <formula1>0</formula1>
    </dataValidation>
    <dataValidation type="date" operator="greaterThanOrEqual" allowBlank="1" showInputMessage="1" showErrorMessage="1" sqref="O2:O95 B2:B91 B93:B95 K2:K91 K93:K95 I2:I91 I93:I95" xr:uid="{E7314FC5-D000-4275-900B-3339896D3BD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2EFA-F0A4-4B53-90F5-00FB63015BCB}">
  <dimension ref="A1:U229"/>
  <sheetViews>
    <sheetView topLeftCell="A81" zoomScale="110" zoomScaleNormal="110" workbookViewId="0">
      <selection activeCell="I84" sqref="I84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z9B7K9RPxq8WMsd28O3G9cEaIK67TUGFMi9nMXTslc9zNZWH9FHSwtTbPSPo825HGtxmYW3fhxOOxYSdpLnrVg==" saltValue="bTceiopp2lh5zgle8YN1s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79C907-0F9A-49E9-92D3-42BF3AE28820}">
      <formula1>45658</formula1>
    </dataValidation>
    <dataValidation type="whole" operator="greaterThanOrEqual" allowBlank="1" showInputMessage="1" showErrorMessage="1" sqref="P2:P95 D2:H95 J2:J95 L2:L95 A2:A21" xr:uid="{D7D56420-108C-4120-AA09-2F5B36AE6176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1E87-3EA6-4D4F-A355-ED7C9BEA80F8}">
  <dimension ref="A1:U229"/>
  <sheetViews>
    <sheetView topLeftCell="A81" zoomScale="110" zoomScaleNormal="110" workbookViewId="0">
      <selection activeCell="E89" sqref="E8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nbLfAjey5trxXxT8NfI4QJPKp+EGfQeQi1nnkVSfxpeB4UFLOn7//mi9sdaXxKunsUgoqHgFrZWfXsee+KgCkQ==" saltValue="3zM14lDh5oMRteNqzDQHl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AA020C0-93B5-4679-B285-7FB9AA44A124}">
      <formula1>45658</formula1>
    </dataValidation>
    <dataValidation type="whole" operator="greaterThanOrEqual" allowBlank="1" showInputMessage="1" showErrorMessage="1" sqref="P2:P95 D2:H95 J2:J95 L2:L95 A2:A21" xr:uid="{3C4FCDAA-1F2A-4E6B-86C8-CB16CEA176C8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6C92-D65B-48B8-9DB2-AF53324D38A3}">
  <dimension ref="A1:U229"/>
  <sheetViews>
    <sheetView topLeftCell="A81" zoomScale="110" zoomScaleNormal="110" workbookViewId="0">
      <selection activeCell="H91" sqref="H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2O+5eayL+4zBR/rybx7feVYEVZHL5pc57pOh9v1vKau5cN/yT0Qmv7m0xWIo4N+xDInPGdonI33P/NSMR3Wz3A==" saltValue="dkPm67xyxNkPs5PU6tKq1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3E2E7836-5785-40C0-AF3B-83FB56D5602B}">
      <formula1>0</formula1>
    </dataValidation>
    <dataValidation type="date" operator="greaterThanOrEqual" allowBlank="1" showInputMessage="1" showErrorMessage="1" sqref="O2:O95 I2:I95 K2:K95 B2:B95" xr:uid="{0C7B0EF9-5D9F-4220-B70A-9AC8E2880D8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92F94-32FC-48AC-B6D4-34D6FC3B7116}">
  <dimension ref="A1:U229"/>
  <sheetViews>
    <sheetView topLeftCell="A81" zoomScale="110" zoomScaleNormal="110" workbookViewId="0">
      <selection activeCell="I89" sqref="I8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+x7Ec7QvsoNoqzq+aO7F7Fn+3cejOOUwifXDYYQUU5OxkfnJ/uEu6RGydjjxfJ4xtkjPn/c61GAayk7wt4fX9w==" saltValue="UAcw9pTWGoxAmKZlgNLRH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6CA593F6-3FF6-40BE-A0B0-78C3077A7EF8}">
      <formula1>45658</formula1>
    </dataValidation>
    <dataValidation type="whole" operator="greaterThanOrEqual" allowBlank="1" showInputMessage="1" showErrorMessage="1" sqref="P2:P95 D2:H95 J2:J95 L2:L95 A2:A21" xr:uid="{A49C7EC3-B145-427B-91DB-257CAA7459E1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75D5-54DB-4096-9DC6-7105EAC81FAD}">
  <dimension ref="A1:U229"/>
  <sheetViews>
    <sheetView topLeftCell="A81" zoomScale="110" zoomScaleNormal="110" workbookViewId="0">
      <selection activeCell="H87" sqref="H87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5WqCnltGLPGyDe+oaynrXKUqzC4Cvkfqk3InTSD73RvRjutmJQUWgaQGIzpc4pl0kKf9cTIa9ZwbPLHc2N0UPA==" saltValue="S+ce7vtf1rREu9uedmoTl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2301566B-391E-408A-8BEC-8150979CD6B7}">
      <formula1>0</formula1>
    </dataValidation>
    <dataValidation type="date" operator="greaterThanOrEqual" allowBlank="1" showInputMessage="1" showErrorMessage="1" sqref="O2:O95 I2:I95 K2:K95 B2:B95" xr:uid="{887CE98A-88DD-4A95-B73D-2569372F89D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66AE-F2DE-4884-ABFC-1900A4505CF6}">
  <dimension ref="A1:U229"/>
  <sheetViews>
    <sheetView topLeftCell="A81" zoomScale="110" zoomScaleNormal="110" workbookViewId="0">
      <selection activeCell="E90" sqref="E90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8v+jQlAKW6h+U04PfOhxZh8VUCpYEGWKzX7GA1in5IpjduvrFih3LXJYqin9bhXUJIZcDCYjKJTAG7PQacVifg==" saltValue="h1XAvR15JKG+WrAm6vQ8e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8EA7A349-0848-4514-BBE3-204682A693A5}">
      <formula1>45658</formula1>
    </dataValidation>
    <dataValidation type="whole" operator="greaterThanOrEqual" allowBlank="1" showInputMessage="1" showErrorMessage="1" sqref="P2:P95 D2:H95 J2:J95 L2:L95 A2:A21" xr:uid="{4E58F6FB-7052-40F7-9EF8-C9814BC3CC9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AC5D-0E7F-4A44-A051-A5A6E9AC092B}">
  <dimension ref="A1:U229"/>
  <sheetViews>
    <sheetView tabSelected="1" topLeftCell="A72" zoomScale="110" zoomScaleNormal="110" workbookViewId="0">
      <selection activeCell="F89" sqref="F89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MUuW2qR964CocvSQ8YGJj2KIj5TQzf9erovRloa4gfnAh7WKMFq4wFqqnUyZfhDcvv3DSQgBWGklWWFGlF7azA==" saltValue="vQfCoGbSA843uE4c31wO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7E2517A2-D54B-4DB7-B281-CCF852022BA8}">
      <formula1>0</formula1>
    </dataValidation>
    <dataValidation type="date" operator="greaterThanOrEqual" allowBlank="1" showInputMessage="1" showErrorMessage="1" sqref="O2:O95 I2:I95 K2:K95 B2:B95" xr:uid="{F1E849EB-1788-485C-88CA-C4175044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51F7-1CAD-4CD1-AB4A-405408B809FE}">
  <dimension ref="A1:U229"/>
  <sheetViews>
    <sheetView topLeftCell="A75" zoomScale="110" zoomScaleNormal="110" workbookViewId="0">
      <selection activeCell="I91" sqref="I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ynIQk6A4Q8dJL79Abvptd2WQKAcE0NFqhTK/BcFyvKcoPt4vSoOCElIyh8U7BwI+7h+fo7vwHqZXRVFTkLMXVQ==" saltValue="dcNHRCVcZwnTNkpuem76Z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4BEF0019-C6B1-4870-837D-6D776904BCD3}">
      <formula1>45658</formula1>
    </dataValidation>
    <dataValidation type="whole" operator="greaterThanOrEqual" allowBlank="1" showInputMessage="1" showErrorMessage="1" sqref="P2:P95 D2:H95 J2:J95 L2:L95 A2:A21" xr:uid="{1CBEF130-0E15-42B2-B946-A42CD9D4769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CD1EF-1D62-4741-85B2-C566972BF66E}">
  <dimension ref="A1:U229"/>
  <sheetViews>
    <sheetView zoomScale="110" zoomScaleNormal="110" workbookViewId="0">
      <selection activeCell="F18" sqref="F18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gwWPYUzGYVvxTBWe6Z3NTFW3WGU1BokSdCRc0lHktCggj0wvoRrpnQ9oEojvFV5PUGCbc6lZJZ73nf8g7WUscg==" saltValue="ajBEJerViN9YaFXN8sQz5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E392881E-4083-4301-9BBD-D073CECFF039}">
      <formula1>0</formula1>
    </dataValidation>
    <dataValidation type="date" operator="greaterThanOrEqual" allowBlank="1" showInputMessage="1" showErrorMessage="1" sqref="O2:O95 I2:I95 K2:K95 B2:B95" xr:uid="{0743A6A0-D503-47EC-AC0B-E11988FA214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EE71-4FD5-4103-972E-C58E43FEE74C}">
  <dimension ref="A1:U229"/>
  <sheetViews>
    <sheetView zoomScale="110" zoomScaleNormal="110" workbookViewId="0">
      <selection activeCell="I91" sqref="I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VOW2fG0pLzT35bEuOgf89Bp/XK/xsjebWG6QnyOk3/kmefnPrWEU7bnOPORNETjQrz7m8y8K3My2wEd5Z8MvSg==" saltValue="EIjlGT0BmBKAUxfgptOX0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95 I2:I95 K2:K95 B2:B95" xr:uid="{1ADD346B-5853-40BA-A848-0C85A3EA3433}">
      <formula1>45658</formula1>
    </dataValidation>
    <dataValidation type="whole" operator="greaterThanOrEqual" allowBlank="1" showInputMessage="1" showErrorMessage="1" sqref="P2:P95 D2:H95 J2:J95 L2:L95 A2:A21" xr:uid="{F394E32D-24C9-4C10-A3CF-C22BBDDB4F5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AD04-3A42-405F-AAF4-F730AFD2FDD0}">
  <dimension ref="A1:U229"/>
  <sheetViews>
    <sheetView zoomScale="110" zoomScaleNormal="110" workbookViewId="0">
      <selection activeCell="I91" sqref="I91"/>
    </sheetView>
  </sheetViews>
  <sheetFormatPr defaultColWidth="9.140625" defaultRowHeight="15" x14ac:dyDescent="0.25"/>
  <cols>
    <col min="1" max="1" width="11.7109375" style="9" bestFit="1" customWidth="1"/>
    <col min="2" max="2" width="10.28515625" style="9" customWidth="1"/>
    <col min="3" max="3" width="11.7109375" style="9" customWidth="1"/>
    <col min="4" max="4" width="21.140625" style="9" customWidth="1"/>
    <col min="5" max="6" width="12.28515625" style="9" customWidth="1"/>
    <col min="7" max="7" width="13.140625" style="9" customWidth="1"/>
    <col min="8" max="8" width="17.140625" style="9" customWidth="1"/>
    <col min="9" max="9" width="16.140625" style="9" customWidth="1"/>
    <col min="10" max="10" width="9.85546875" style="9" customWidth="1"/>
    <col min="11" max="11" width="15" style="9" customWidth="1"/>
    <col min="12" max="12" width="12.85546875" style="9" customWidth="1"/>
    <col min="13" max="13" width="14.140625" style="22" customWidth="1"/>
    <col min="14" max="14" width="15.140625" style="9" customWidth="1"/>
    <col min="15" max="15" width="28.85546875" style="9" customWidth="1"/>
    <col min="16" max="16" width="21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41" t="s">
        <v>15</v>
      </c>
    </row>
    <row r="2" spans="1:21" ht="15" customHeight="1" x14ac:dyDescent="0.25">
      <c r="A2" s="33">
        <v>11001</v>
      </c>
      <c r="B2" s="10"/>
      <c r="C2" s="11"/>
      <c r="D2" s="38"/>
      <c r="E2" s="38"/>
      <c r="F2" s="38"/>
      <c r="G2" s="38"/>
      <c r="H2" s="38"/>
      <c r="I2" s="13"/>
      <c r="J2" s="38"/>
      <c r="K2" s="13"/>
      <c r="L2" s="38"/>
      <c r="M2" s="12"/>
      <c r="N2" s="14"/>
      <c r="O2" s="10"/>
      <c r="P2" s="42"/>
      <c r="R2" s="47" t="s">
        <v>16</v>
      </c>
      <c r="S2" s="48"/>
      <c r="T2" s="48"/>
      <c r="U2" s="49"/>
    </row>
    <row r="3" spans="1:21" ht="15" customHeight="1" x14ac:dyDescent="0.25">
      <c r="A3" s="34">
        <v>11002</v>
      </c>
      <c r="B3" s="10"/>
      <c r="C3" s="11"/>
      <c r="D3" s="38"/>
      <c r="E3" s="38"/>
      <c r="F3" s="38"/>
      <c r="G3" s="38"/>
      <c r="H3" s="38"/>
      <c r="I3" s="13"/>
      <c r="J3" s="38"/>
      <c r="K3" s="13"/>
      <c r="L3" s="38"/>
      <c r="M3" s="12"/>
      <c r="N3" s="14"/>
      <c r="O3" s="10"/>
      <c r="P3" s="42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3">
      <c r="A4" s="33">
        <v>11003</v>
      </c>
      <c r="B4" s="10"/>
      <c r="C4" s="11"/>
      <c r="D4" s="38"/>
      <c r="E4" s="38"/>
      <c r="F4" s="38"/>
      <c r="G4" s="38"/>
      <c r="H4" s="38"/>
      <c r="I4" s="13"/>
      <c r="J4" s="38"/>
      <c r="K4" s="13"/>
      <c r="L4" s="38"/>
      <c r="M4" s="12"/>
      <c r="N4" s="14"/>
      <c r="O4" s="10"/>
      <c r="P4" s="42"/>
      <c r="R4" s="19">
        <v>0</v>
      </c>
      <c r="S4" s="20">
        <f>COUNTA(A:A)-1</f>
        <v>94</v>
      </c>
      <c r="T4" s="20">
        <f>COUNTA(O:O)-1</f>
        <v>0</v>
      </c>
      <c r="U4" s="21">
        <f>T4/S4</f>
        <v>0</v>
      </c>
    </row>
    <row r="5" spans="1:21" ht="15" customHeight="1" x14ac:dyDescent="0.25">
      <c r="A5" s="34">
        <v>11004</v>
      </c>
      <c r="B5" s="10"/>
      <c r="C5" s="11"/>
      <c r="D5" s="38"/>
      <c r="E5" s="38"/>
      <c r="F5" s="38"/>
      <c r="G5" s="38"/>
      <c r="H5" s="38"/>
      <c r="I5" s="13"/>
      <c r="J5" s="38"/>
      <c r="K5" s="13"/>
      <c r="L5" s="38"/>
      <c r="M5" s="12"/>
      <c r="N5" s="14"/>
      <c r="O5" s="10"/>
      <c r="P5" s="42"/>
    </row>
    <row r="6" spans="1:21" ht="15" customHeight="1" x14ac:dyDescent="0.25">
      <c r="A6" s="33">
        <v>11005</v>
      </c>
      <c r="B6" s="10"/>
      <c r="C6" s="11"/>
      <c r="D6" s="38"/>
      <c r="E6" s="38"/>
      <c r="F6" s="38"/>
      <c r="G6" s="38"/>
      <c r="H6" s="38"/>
      <c r="I6" s="13"/>
      <c r="J6" s="38"/>
      <c r="K6" s="13"/>
      <c r="L6" s="38"/>
      <c r="M6" s="12"/>
      <c r="N6" s="14"/>
      <c r="O6" s="10"/>
      <c r="P6" s="42"/>
    </row>
    <row r="7" spans="1:21" ht="15" customHeight="1" x14ac:dyDescent="0.25">
      <c r="A7" s="34">
        <v>11006</v>
      </c>
      <c r="B7" s="10"/>
      <c r="C7" s="11"/>
      <c r="D7" s="38"/>
      <c r="E7" s="38"/>
      <c r="F7" s="38"/>
      <c r="G7" s="38"/>
      <c r="H7" s="38"/>
      <c r="I7" s="13"/>
      <c r="J7" s="38"/>
      <c r="K7" s="13"/>
      <c r="L7" s="38"/>
      <c r="M7" s="12"/>
      <c r="N7" s="14"/>
      <c r="O7" s="10"/>
      <c r="P7" s="42"/>
    </row>
    <row r="8" spans="1:21" ht="15" customHeight="1" x14ac:dyDescent="0.25">
      <c r="A8" s="33">
        <v>11007</v>
      </c>
      <c r="B8" s="10"/>
      <c r="C8" s="11"/>
      <c r="D8" s="38"/>
      <c r="E8" s="38"/>
      <c r="F8" s="38"/>
      <c r="G8" s="38"/>
      <c r="H8" s="38"/>
      <c r="I8" s="13"/>
      <c r="J8" s="38"/>
      <c r="K8" s="13"/>
      <c r="L8" s="38"/>
      <c r="M8" s="12"/>
      <c r="N8" s="14"/>
      <c r="O8" s="10"/>
      <c r="P8" s="42"/>
    </row>
    <row r="9" spans="1:21" ht="15" customHeight="1" x14ac:dyDescent="0.25">
      <c r="A9" s="34">
        <v>11008</v>
      </c>
      <c r="B9" s="10"/>
      <c r="C9" s="11"/>
      <c r="D9" s="38"/>
      <c r="E9" s="38"/>
      <c r="F9" s="38"/>
      <c r="G9" s="38"/>
      <c r="H9" s="38"/>
      <c r="I9" s="13"/>
      <c r="J9" s="38"/>
      <c r="K9" s="13"/>
      <c r="L9" s="38"/>
      <c r="M9" s="12"/>
      <c r="N9" s="14"/>
      <c r="O9" s="10"/>
      <c r="P9" s="42"/>
    </row>
    <row r="10" spans="1:21" ht="15" customHeight="1" x14ac:dyDescent="0.25">
      <c r="A10" s="33">
        <v>11009</v>
      </c>
      <c r="B10" s="10"/>
      <c r="C10" s="11"/>
      <c r="D10" s="38"/>
      <c r="E10" s="38"/>
      <c r="F10" s="38"/>
      <c r="G10" s="38"/>
      <c r="H10" s="38"/>
      <c r="I10" s="13"/>
      <c r="J10" s="38"/>
      <c r="K10" s="13"/>
      <c r="L10" s="38"/>
      <c r="M10" s="12"/>
      <c r="N10" s="14"/>
      <c r="O10" s="10"/>
      <c r="P10" s="42"/>
    </row>
    <row r="11" spans="1:21" ht="15" customHeight="1" x14ac:dyDescent="0.25">
      <c r="A11" s="34">
        <v>11010</v>
      </c>
      <c r="B11" s="10"/>
      <c r="C11" s="11"/>
      <c r="D11" s="38"/>
      <c r="E11" s="38"/>
      <c r="F11" s="38"/>
      <c r="G11" s="38"/>
      <c r="H11" s="38"/>
      <c r="I11" s="13"/>
      <c r="J11" s="38"/>
      <c r="K11" s="13"/>
      <c r="L11" s="38"/>
      <c r="M11" s="12"/>
      <c r="N11" s="14"/>
      <c r="O11" s="10"/>
      <c r="P11" s="42"/>
    </row>
    <row r="12" spans="1:21" ht="15" customHeight="1" x14ac:dyDescent="0.25">
      <c r="A12" s="33">
        <v>11011</v>
      </c>
      <c r="B12" s="10"/>
      <c r="C12" s="11"/>
      <c r="D12" s="38"/>
      <c r="E12" s="38"/>
      <c r="F12" s="38"/>
      <c r="G12" s="38"/>
      <c r="H12" s="38"/>
      <c r="I12" s="13"/>
      <c r="J12" s="38"/>
      <c r="K12" s="13"/>
      <c r="L12" s="38"/>
      <c r="M12" s="12"/>
      <c r="N12" s="14"/>
      <c r="O12" s="10"/>
      <c r="P12" s="42"/>
    </row>
    <row r="13" spans="1:21" ht="15" customHeight="1" x14ac:dyDescent="0.25">
      <c r="A13" s="34">
        <v>11012</v>
      </c>
      <c r="B13" s="10"/>
      <c r="C13" s="11"/>
      <c r="D13" s="38"/>
      <c r="E13" s="38"/>
      <c r="F13" s="38"/>
      <c r="G13" s="38"/>
      <c r="H13" s="38"/>
      <c r="I13" s="13"/>
      <c r="J13" s="38"/>
      <c r="K13" s="13"/>
      <c r="L13" s="38"/>
      <c r="M13" s="12"/>
      <c r="N13" s="14"/>
      <c r="O13" s="10"/>
      <c r="P13" s="42"/>
    </row>
    <row r="14" spans="1:21" ht="15" customHeight="1" x14ac:dyDescent="0.25">
      <c r="A14" s="33">
        <v>11013</v>
      </c>
      <c r="B14" s="10"/>
      <c r="C14" s="11"/>
      <c r="D14" s="38"/>
      <c r="E14" s="38"/>
      <c r="F14" s="38"/>
      <c r="G14" s="38"/>
      <c r="H14" s="38"/>
      <c r="I14" s="13"/>
      <c r="J14" s="38"/>
      <c r="K14" s="13"/>
      <c r="L14" s="38"/>
      <c r="M14" s="12"/>
      <c r="N14" s="14"/>
      <c r="O14" s="10"/>
      <c r="P14" s="42"/>
    </row>
    <row r="15" spans="1:21" ht="15" customHeight="1" x14ac:dyDescent="0.25">
      <c r="A15" s="34">
        <v>11014</v>
      </c>
      <c r="B15" s="10"/>
      <c r="C15" s="11"/>
      <c r="D15" s="38"/>
      <c r="E15" s="38"/>
      <c r="F15" s="38"/>
      <c r="G15" s="38"/>
      <c r="H15" s="38"/>
      <c r="I15" s="13"/>
      <c r="J15" s="38"/>
      <c r="K15" s="13"/>
      <c r="L15" s="38"/>
      <c r="M15" s="12"/>
      <c r="N15" s="14"/>
      <c r="O15" s="10"/>
      <c r="P15" s="42"/>
    </row>
    <row r="16" spans="1:21" ht="15" customHeight="1" x14ac:dyDescent="0.25">
      <c r="A16" s="33">
        <v>11015</v>
      </c>
      <c r="B16" s="10"/>
      <c r="C16" s="11"/>
      <c r="D16" s="38"/>
      <c r="E16" s="38"/>
      <c r="F16" s="38"/>
      <c r="G16" s="38"/>
      <c r="H16" s="38"/>
      <c r="I16" s="13"/>
      <c r="J16" s="38"/>
      <c r="K16" s="13"/>
      <c r="L16" s="38"/>
      <c r="M16" s="12"/>
      <c r="N16" s="14"/>
      <c r="O16" s="10"/>
      <c r="P16" s="42"/>
    </row>
    <row r="17" spans="1:16" ht="15" customHeight="1" x14ac:dyDescent="0.25">
      <c r="A17" s="34">
        <v>11016</v>
      </c>
      <c r="B17" s="10"/>
      <c r="C17" s="11"/>
      <c r="D17" s="38"/>
      <c r="E17" s="38"/>
      <c r="F17" s="38"/>
      <c r="G17" s="38"/>
      <c r="H17" s="38"/>
      <c r="I17" s="13"/>
      <c r="J17" s="38"/>
      <c r="K17" s="13"/>
      <c r="L17" s="38"/>
      <c r="M17" s="12"/>
      <c r="N17" s="14"/>
      <c r="O17" s="10"/>
      <c r="P17" s="42"/>
    </row>
    <row r="18" spans="1:16" ht="15" customHeight="1" x14ac:dyDescent="0.25">
      <c r="A18" s="33">
        <v>11017</v>
      </c>
      <c r="B18" s="10"/>
      <c r="C18" s="11"/>
      <c r="D18" s="38"/>
      <c r="E18" s="38"/>
      <c r="F18" s="38"/>
      <c r="G18" s="38"/>
      <c r="H18" s="38"/>
      <c r="I18" s="13"/>
      <c r="J18" s="38"/>
      <c r="K18" s="13"/>
      <c r="L18" s="38"/>
      <c r="M18" s="12"/>
      <c r="N18" s="14"/>
      <c r="O18" s="10"/>
      <c r="P18" s="42"/>
    </row>
    <row r="19" spans="1:16" ht="15" customHeight="1" x14ac:dyDescent="0.25">
      <c r="A19" s="34">
        <v>11018</v>
      </c>
      <c r="B19" s="10"/>
      <c r="C19" s="11"/>
      <c r="D19" s="38"/>
      <c r="E19" s="38"/>
      <c r="F19" s="38"/>
      <c r="G19" s="38"/>
      <c r="H19" s="38"/>
      <c r="I19" s="13"/>
      <c r="J19" s="38"/>
      <c r="K19" s="13"/>
      <c r="L19" s="38"/>
      <c r="M19" s="12"/>
      <c r="N19" s="14"/>
      <c r="O19" s="10"/>
      <c r="P19" s="42"/>
    </row>
    <row r="20" spans="1:16" ht="15" customHeight="1" x14ac:dyDescent="0.25">
      <c r="A20" s="33">
        <v>11019</v>
      </c>
      <c r="B20" s="10"/>
      <c r="C20" s="11"/>
      <c r="D20" s="38"/>
      <c r="E20" s="38"/>
      <c r="F20" s="38"/>
      <c r="G20" s="38"/>
      <c r="H20" s="38"/>
      <c r="I20" s="13"/>
      <c r="J20" s="38"/>
      <c r="K20" s="13"/>
      <c r="L20" s="38"/>
      <c r="M20" s="12"/>
      <c r="N20" s="14"/>
      <c r="O20" s="10"/>
      <c r="P20" s="42"/>
    </row>
    <row r="21" spans="1:16" ht="15" customHeight="1" x14ac:dyDescent="0.25">
      <c r="A21" s="34">
        <v>11020</v>
      </c>
      <c r="B21" s="10"/>
      <c r="C21" s="11"/>
      <c r="D21" s="38"/>
      <c r="E21" s="38"/>
      <c r="F21" s="38"/>
      <c r="G21" s="38"/>
      <c r="H21" s="38"/>
      <c r="I21" s="13"/>
      <c r="J21" s="38"/>
      <c r="K21" s="13"/>
      <c r="L21" s="38"/>
      <c r="M21" s="12"/>
      <c r="N21" s="14"/>
      <c r="O21" s="10"/>
      <c r="P21" s="42"/>
    </row>
    <row r="22" spans="1:16" ht="15" customHeight="1" x14ac:dyDescent="0.25">
      <c r="A22" s="33">
        <v>11021</v>
      </c>
      <c r="B22" s="10"/>
      <c r="C22" s="11"/>
      <c r="D22" s="38"/>
      <c r="E22" s="38"/>
      <c r="F22" s="38"/>
      <c r="G22" s="38"/>
      <c r="H22" s="38"/>
      <c r="I22" s="13"/>
      <c r="J22" s="38"/>
      <c r="K22" s="13"/>
      <c r="L22" s="38"/>
      <c r="M22" s="12"/>
      <c r="N22" s="14"/>
      <c r="O22" s="10"/>
      <c r="P22" s="42"/>
    </row>
    <row r="23" spans="1:16" ht="15" customHeight="1" x14ac:dyDescent="0.25">
      <c r="A23" s="34">
        <v>11022</v>
      </c>
      <c r="B23" s="10"/>
      <c r="C23" s="11"/>
      <c r="D23" s="38"/>
      <c r="E23" s="38"/>
      <c r="F23" s="38"/>
      <c r="G23" s="38"/>
      <c r="H23" s="38"/>
      <c r="I23" s="13"/>
      <c r="J23" s="38"/>
      <c r="K23" s="13"/>
      <c r="L23" s="38"/>
      <c r="M23" s="12"/>
      <c r="N23" s="14"/>
      <c r="O23" s="10"/>
      <c r="P23" s="42"/>
    </row>
    <row r="24" spans="1:16" ht="15" customHeight="1" x14ac:dyDescent="0.25">
      <c r="A24" s="33">
        <v>11023</v>
      </c>
      <c r="B24" s="10"/>
      <c r="C24" s="11"/>
      <c r="D24" s="38"/>
      <c r="E24" s="38"/>
      <c r="F24" s="38"/>
      <c r="G24" s="38"/>
      <c r="H24" s="38"/>
      <c r="I24" s="13"/>
      <c r="J24" s="38"/>
      <c r="K24" s="13"/>
      <c r="L24" s="38"/>
      <c r="M24" s="12"/>
      <c r="N24" s="14"/>
      <c r="O24" s="10"/>
      <c r="P24" s="42"/>
    </row>
    <row r="25" spans="1:16" ht="15" customHeight="1" x14ac:dyDescent="0.25">
      <c r="A25" s="34">
        <v>11024</v>
      </c>
      <c r="B25" s="10"/>
      <c r="C25" s="11"/>
      <c r="D25" s="38"/>
      <c r="E25" s="38"/>
      <c r="F25" s="38"/>
      <c r="G25" s="38"/>
      <c r="H25" s="38"/>
      <c r="I25" s="13"/>
      <c r="J25" s="38"/>
      <c r="K25" s="13"/>
      <c r="L25" s="38"/>
      <c r="M25" s="12"/>
      <c r="N25" s="14"/>
      <c r="O25" s="10"/>
      <c r="P25" s="42"/>
    </row>
    <row r="26" spans="1:16" ht="15" customHeight="1" x14ac:dyDescent="0.25">
      <c r="A26" s="33">
        <v>11025</v>
      </c>
      <c r="B26" s="10"/>
      <c r="C26" s="11"/>
      <c r="D26" s="38"/>
      <c r="E26" s="38"/>
      <c r="F26" s="38"/>
      <c r="G26" s="38"/>
      <c r="H26" s="38"/>
      <c r="I26" s="13"/>
      <c r="J26" s="38"/>
      <c r="K26" s="13"/>
      <c r="L26" s="38"/>
      <c r="M26" s="12"/>
      <c r="N26" s="14"/>
      <c r="O26" s="10"/>
      <c r="P26" s="42"/>
    </row>
    <row r="27" spans="1:16" ht="15" customHeight="1" x14ac:dyDescent="0.25">
      <c r="A27" s="34">
        <v>11026</v>
      </c>
      <c r="B27" s="10"/>
      <c r="C27" s="11"/>
      <c r="D27" s="38"/>
      <c r="E27" s="38"/>
      <c r="F27" s="38"/>
      <c r="G27" s="38"/>
      <c r="H27" s="38"/>
      <c r="I27" s="13"/>
      <c r="J27" s="38"/>
      <c r="K27" s="13"/>
      <c r="L27" s="38"/>
      <c r="M27" s="12"/>
      <c r="N27" s="14"/>
      <c r="O27" s="10"/>
      <c r="P27" s="42"/>
    </row>
    <row r="28" spans="1:16" ht="15" customHeight="1" x14ac:dyDescent="0.25">
      <c r="A28" s="33">
        <v>11027</v>
      </c>
      <c r="B28" s="10"/>
      <c r="C28" s="11"/>
      <c r="D28" s="38"/>
      <c r="E28" s="38"/>
      <c r="F28" s="38"/>
      <c r="G28" s="38"/>
      <c r="H28" s="38"/>
      <c r="I28" s="13"/>
      <c r="J28" s="38"/>
      <c r="K28" s="13"/>
      <c r="L28" s="38"/>
      <c r="M28" s="12"/>
      <c r="N28" s="14"/>
      <c r="O28" s="10"/>
      <c r="P28" s="42"/>
    </row>
    <row r="29" spans="1:16" ht="15" customHeight="1" x14ac:dyDescent="0.25">
      <c r="A29" s="34">
        <v>11028</v>
      </c>
      <c r="B29" s="10"/>
      <c r="C29" s="11"/>
      <c r="D29" s="38"/>
      <c r="E29" s="38"/>
      <c r="F29" s="38"/>
      <c r="G29" s="38"/>
      <c r="H29" s="38"/>
      <c r="I29" s="13"/>
      <c r="J29" s="38"/>
      <c r="K29" s="13"/>
      <c r="L29" s="38"/>
      <c r="M29" s="12"/>
      <c r="N29" s="14"/>
      <c r="O29" s="10"/>
      <c r="P29" s="42"/>
    </row>
    <row r="30" spans="1:16" ht="15" customHeight="1" x14ac:dyDescent="0.25">
      <c r="A30" s="33">
        <v>11029</v>
      </c>
      <c r="B30" s="10"/>
      <c r="C30" s="11"/>
      <c r="D30" s="38"/>
      <c r="E30" s="38"/>
      <c r="F30" s="38"/>
      <c r="G30" s="38"/>
      <c r="H30" s="38"/>
      <c r="I30" s="13"/>
      <c r="J30" s="38"/>
      <c r="K30" s="13"/>
      <c r="L30" s="38"/>
      <c r="M30" s="12"/>
      <c r="N30" s="14"/>
      <c r="O30" s="10"/>
      <c r="P30" s="42"/>
    </row>
    <row r="31" spans="1:16" ht="15" customHeight="1" x14ac:dyDescent="0.25">
      <c r="A31" s="34">
        <v>11030</v>
      </c>
      <c r="B31" s="10"/>
      <c r="C31" s="11"/>
      <c r="D31" s="38"/>
      <c r="E31" s="38"/>
      <c r="F31" s="38"/>
      <c r="G31" s="38"/>
      <c r="H31" s="38"/>
      <c r="I31" s="13"/>
      <c r="J31" s="38"/>
      <c r="K31" s="13"/>
      <c r="L31" s="38"/>
      <c r="M31" s="12"/>
      <c r="N31" s="14"/>
      <c r="O31" s="10"/>
      <c r="P31" s="42"/>
    </row>
    <row r="32" spans="1:16" ht="15" customHeight="1" x14ac:dyDescent="0.25">
      <c r="A32" s="33">
        <v>11031</v>
      </c>
      <c r="B32" s="10"/>
      <c r="C32" s="11"/>
      <c r="D32" s="38"/>
      <c r="E32" s="38"/>
      <c r="F32" s="38"/>
      <c r="G32" s="38"/>
      <c r="H32" s="38"/>
      <c r="I32" s="13"/>
      <c r="J32" s="38"/>
      <c r="K32" s="13"/>
      <c r="L32" s="38"/>
      <c r="M32" s="12"/>
      <c r="N32" s="14"/>
      <c r="O32" s="10"/>
      <c r="P32" s="42"/>
    </row>
    <row r="33" spans="1:16" ht="15" customHeight="1" x14ac:dyDescent="0.25">
      <c r="A33" s="34">
        <v>11032</v>
      </c>
      <c r="B33" s="10"/>
      <c r="C33" s="11"/>
      <c r="D33" s="38"/>
      <c r="E33" s="38"/>
      <c r="F33" s="38"/>
      <c r="G33" s="38"/>
      <c r="H33" s="38"/>
      <c r="I33" s="13"/>
      <c r="J33" s="38"/>
      <c r="K33" s="13"/>
      <c r="L33" s="38"/>
      <c r="M33" s="12"/>
      <c r="N33" s="14"/>
      <c r="O33" s="10"/>
      <c r="P33" s="42"/>
    </row>
    <row r="34" spans="1:16" ht="15" customHeight="1" x14ac:dyDescent="0.25">
      <c r="A34" s="33">
        <v>11033</v>
      </c>
      <c r="B34" s="10"/>
      <c r="C34" s="11"/>
      <c r="D34" s="38"/>
      <c r="E34" s="38"/>
      <c r="F34" s="38"/>
      <c r="G34" s="38"/>
      <c r="H34" s="38"/>
      <c r="I34" s="13"/>
      <c r="J34" s="38"/>
      <c r="K34" s="13"/>
      <c r="L34" s="38"/>
      <c r="M34" s="12"/>
      <c r="N34" s="14"/>
      <c r="O34" s="10"/>
      <c r="P34" s="42"/>
    </row>
    <row r="35" spans="1:16" ht="15" customHeight="1" x14ac:dyDescent="0.25">
      <c r="A35" s="34">
        <v>11034</v>
      </c>
      <c r="B35" s="10"/>
      <c r="C35" s="11"/>
      <c r="D35" s="38"/>
      <c r="E35" s="38"/>
      <c r="F35" s="38"/>
      <c r="G35" s="38"/>
      <c r="H35" s="38"/>
      <c r="I35" s="13"/>
      <c r="J35" s="38"/>
      <c r="K35" s="13"/>
      <c r="L35" s="38"/>
      <c r="M35" s="12"/>
      <c r="N35" s="14"/>
      <c r="O35" s="10"/>
      <c r="P35" s="42"/>
    </row>
    <row r="36" spans="1:16" ht="15" customHeight="1" x14ac:dyDescent="0.25">
      <c r="A36" s="33">
        <v>11035</v>
      </c>
      <c r="B36" s="10"/>
      <c r="C36" s="11"/>
      <c r="D36" s="38"/>
      <c r="E36" s="38"/>
      <c r="F36" s="38"/>
      <c r="G36" s="38"/>
      <c r="H36" s="38"/>
      <c r="I36" s="13"/>
      <c r="J36" s="38"/>
      <c r="K36" s="13"/>
      <c r="L36" s="38"/>
      <c r="M36" s="12"/>
      <c r="N36" s="14"/>
      <c r="O36" s="10"/>
      <c r="P36" s="42"/>
    </row>
    <row r="37" spans="1:16" ht="15" customHeight="1" x14ac:dyDescent="0.25">
      <c r="A37" s="34">
        <v>11036</v>
      </c>
      <c r="B37" s="10"/>
      <c r="C37" s="11"/>
      <c r="D37" s="38"/>
      <c r="E37" s="38"/>
      <c r="F37" s="38"/>
      <c r="G37" s="38"/>
      <c r="H37" s="38"/>
      <c r="I37" s="13"/>
      <c r="J37" s="38"/>
      <c r="K37" s="13"/>
      <c r="L37" s="38"/>
      <c r="M37" s="12"/>
      <c r="N37" s="14"/>
      <c r="O37" s="10"/>
      <c r="P37" s="42"/>
    </row>
    <row r="38" spans="1:16" ht="15" customHeight="1" x14ac:dyDescent="0.25">
      <c r="A38" s="33">
        <v>11037</v>
      </c>
      <c r="B38" s="10"/>
      <c r="C38" s="11"/>
      <c r="D38" s="38"/>
      <c r="E38" s="38"/>
      <c r="F38" s="38"/>
      <c r="G38" s="38"/>
      <c r="H38" s="38"/>
      <c r="I38" s="13"/>
      <c r="J38" s="38"/>
      <c r="K38" s="13"/>
      <c r="L38" s="38"/>
      <c r="M38" s="12"/>
      <c r="N38" s="14"/>
      <c r="O38" s="10"/>
      <c r="P38" s="42"/>
    </row>
    <row r="39" spans="1:16" ht="15" customHeight="1" x14ac:dyDescent="0.25">
      <c r="A39" s="34">
        <v>11038</v>
      </c>
      <c r="B39" s="10"/>
      <c r="C39" s="11"/>
      <c r="D39" s="38"/>
      <c r="E39" s="38"/>
      <c r="F39" s="38"/>
      <c r="G39" s="38"/>
      <c r="H39" s="38"/>
      <c r="I39" s="13"/>
      <c r="J39" s="38"/>
      <c r="K39" s="13"/>
      <c r="L39" s="38"/>
      <c r="M39" s="12"/>
      <c r="N39" s="14"/>
      <c r="O39" s="10"/>
      <c r="P39" s="42"/>
    </row>
    <row r="40" spans="1:16" ht="15" customHeight="1" x14ac:dyDescent="0.25">
      <c r="A40" s="33">
        <v>11039</v>
      </c>
      <c r="B40" s="10"/>
      <c r="C40" s="11"/>
      <c r="D40" s="38"/>
      <c r="E40" s="38"/>
      <c r="F40" s="38"/>
      <c r="G40" s="38"/>
      <c r="H40" s="38"/>
      <c r="I40" s="13"/>
      <c r="J40" s="38"/>
      <c r="K40" s="13"/>
      <c r="L40" s="38"/>
      <c r="M40" s="12"/>
      <c r="N40" s="14"/>
      <c r="O40" s="10"/>
      <c r="P40" s="42"/>
    </row>
    <row r="41" spans="1:16" ht="15" customHeight="1" x14ac:dyDescent="0.25">
      <c r="A41" s="34">
        <v>11040</v>
      </c>
      <c r="B41" s="10"/>
      <c r="C41" s="11"/>
      <c r="D41" s="38"/>
      <c r="E41" s="38"/>
      <c r="F41" s="38"/>
      <c r="G41" s="38"/>
      <c r="H41" s="38"/>
      <c r="I41" s="13"/>
      <c r="J41" s="38"/>
      <c r="K41" s="13"/>
      <c r="L41" s="38"/>
      <c r="M41" s="12"/>
      <c r="N41" s="14"/>
      <c r="O41" s="10"/>
      <c r="P41" s="42"/>
    </row>
    <row r="42" spans="1:16" ht="15" customHeight="1" x14ac:dyDescent="0.25">
      <c r="A42" s="33">
        <v>11041</v>
      </c>
      <c r="B42" s="10"/>
      <c r="C42" s="11"/>
      <c r="D42" s="38"/>
      <c r="E42" s="38"/>
      <c r="F42" s="38"/>
      <c r="G42" s="38"/>
      <c r="H42" s="38"/>
      <c r="I42" s="13"/>
      <c r="J42" s="38"/>
      <c r="K42" s="13"/>
      <c r="L42" s="38"/>
      <c r="M42" s="12"/>
      <c r="N42" s="14"/>
      <c r="O42" s="10"/>
      <c r="P42" s="42"/>
    </row>
    <row r="43" spans="1:16" ht="15" customHeight="1" x14ac:dyDescent="0.25">
      <c r="A43" s="34">
        <v>11042</v>
      </c>
      <c r="B43" s="10"/>
      <c r="C43" s="11"/>
      <c r="D43" s="38"/>
      <c r="E43" s="38"/>
      <c r="F43" s="38"/>
      <c r="G43" s="38"/>
      <c r="H43" s="38"/>
      <c r="I43" s="13"/>
      <c r="J43" s="38"/>
      <c r="K43" s="13"/>
      <c r="L43" s="38"/>
      <c r="M43" s="12"/>
      <c r="N43" s="14"/>
      <c r="O43" s="10"/>
      <c r="P43" s="42"/>
    </row>
    <row r="44" spans="1:16" ht="15" customHeight="1" x14ac:dyDescent="0.25">
      <c r="A44" s="33">
        <v>11043</v>
      </c>
      <c r="B44" s="10"/>
      <c r="C44" s="11"/>
      <c r="D44" s="38"/>
      <c r="E44" s="38"/>
      <c r="F44" s="38"/>
      <c r="G44" s="38"/>
      <c r="H44" s="38"/>
      <c r="I44" s="13"/>
      <c r="J44" s="38"/>
      <c r="K44" s="13"/>
      <c r="L44" s="38"/>
      <c r="M44" s="12"/>
      <c r="N44" s="14"/>
      <c r="O44" s="10"/>
      <c r="P44" s="42"/>
    </row>
    <row r="45" spans="1:16" ht="15" customHeight="1" x14ac:dyDescent="0.25">
      <c r="A45" s="34">
        <v>11044</v>
      </c>
      <c r="B45" s="10"/>
      <c r="C45" s="11"/>
      <c r="D45" s="38"/>
      <c r="E45" s="38"/>
      <c r="F45" s="38"/>
      <c r="G45" s="38"/>
      <c r="H45" s="38"/>
      <c r="I45" s="13"/>
      <c r="J45" s="38"/>
      <c r="K45" s="13"/>
      <c r="L45" s="38"/>
      <c r="M45" s="12"/>
      <c r="N45" s="14"/>
      <c r="O45" s="10"/>
      <c r="P45" s="42"/>
    </row>
    <row r="46" spans="1:16" ht="15" customHeight="1" x14ac:dyDescent="0.25">
      <c r="A46" s="33">
        <v>11045</v>
      </c>
      <c r="B46" s="10"/>
      <c r="C46" s="11"/>
      <c r="D46" s="38"/>
      <c r="E46" s="38"/>
      <c r="F46" s="38"/>
      <c r="G46" s="38"/>
      <c r="H46" s="38"/>
      <c r="I46" s="13"/>
      <c r="J46" s="38"/>
      <c r="K46" s="13"/>
      <c r="L46" s="38"/>
      <c r="M46" s="12"/>
      <c r="N46" s="14"/>
      <c r="O46" s="10"/>
      <c r="P46" s="42"/>
    </row>
    <row r="47" spans="1:16" ht="15" customHeight="1" x14ac:dyDescent="0.25">
      <c r="A47" s="34">
        <v>11046</v>
      </c>
      <c r="B47" s="10"/>
      <c r="C47" s="11"/>
      <c r="D47" s="38"/>
      <c r="E47" s="38"/>
      <c r="F47" s="38"/>
      <c r="G47" s="38"/>
      <c r="H47" s="38"/>
      <c r="I47" s="13"/>
      <c r="J47" s="38"/>
      <c r="K47" s="13"/>
      <c r="L47" s="38"/>
      <c r="M47" s="12"/>
      <c r="N47" s="14"/>
      <c r="O47" s="10"/>
      <c r="P47" s="42"/>
    </row>
    <row r="48" spans="1:16" ht="15" customHeight="1" x14ac:dyDescent="0.25">
      <c r="A48" s="33">
        <v>11047</v>
      </c>
      <c r="B48" s="10"/>
      <c r="C48" s="11"/>
      <c r="D48" s="38"/>
      <c r="E48" s="38"/>
      <c r="F48" s="38"/>
      <c r="G48" s="38"/>
      <c r="H48" s="38"/>
      <c r="I48" s="13"/>
      <c r="J48" s="38"/>
      <c r="K48" s="13"/>
      <c r="L48" s="38"/>
      <c r="M48" s="12"/>
      <c r="N48" s="14"/>
      <c r="O48" s="10"/>
      <c r="P48" s="42"/>
    </row>
    <row r="49" spans="1:16" ht="15" customHeight="1" thickBot="1" x14ac:dyDescent="0.3">
      <c r="A49" s="35">
        <v>11048</v>
      </c>
      <c r="B49" s="10"/>
      <c r="C49" s="11"/>
      <c r="D49" s="38"/>
      <c r="E49" s="38"/>
      <c r="F49" s="38"/>
      <c r="G49" s="38"/>
      <c r="H49" s="38"/>
      <c r="I49" s="13"/>
      <c r="J49" s="38"/>
      <c r="K49" s="13"/>
      <c r="L49" s="38"/>
      <c r="M49" s="12"/>
      <c r="N49" s="14"/>
      <c r="O49" s="10"/>
      <c r="P49" s="42"/>
    </row>
    <row r="50" spans="1:16" ht="15" customHeight="1" x14ac:dyDescent="0.25">
      <c r="A50" s="36">
        <v>11049</v>
      </c>
      <c r="B50" s="10"/>
      <c r="C50" s="11"/>
      <c r="D50" s="38"/>
      <c r="E50" s="38"/>
      <c r="F50" s="38"/>
      <c r="G50" s="38"/>
      <c r="H50" s="38"/>
      <c r="I50" s="13"/>
      <c r="J50" s="38"/>
      <c r="K50" s="13"/>
      <c r="L50" s="38"/>
      <c r="M50" s="12"/>
      <c r="N50" s="14"/>
      <c r="O50" s="10"/>
      <c r="P50" s="42"/>
    </row>
    <row r="51" spans="1:16" ht="15" customHeight="1" x14ac:dyDescent="0.25">
      <c r="A51" s="37">
        <v>11050</v>
      </c>
      <c r="B51" s="10"/>
      <c r="C51" s="11"/>
      <c r="D51" s="38"/>
      <c r="E51" s="38"/>
      <c r="F51" s="38"/>
      <c r="G51" s="38"/>
      <c r="H51" s="38"/>
      <c r="I51" s="13"/>
      <c r="J51" s="38"/>
      <c r="K51" s="13"/>
      <c r="L51" s="38"/>
      <c r="M51" s="12"/>
      <c r="N51" s="14"/>
      <c r="O51" s="10"/>
      <c r="P51" s="42"/>
    </row>
    <row r="52" spans="1:16" ht="15" customHeight="1" x14ac:dyDescent="0.25">
      <c r="A52" s="36">
        <v>11051</v>
      </c>
      <c r="B52" s="10"/>
      <c r="C52" s="11"/>
      <c r="D52" s="38"/>
      <c r="E52" s="38"/>
      <c r="F52" s="38"/>
      <c r="G52" s="38"/>
      <c r="H52" s="38"/>
      <c r="I52" s="13"/>
      <c r="J52" s="38"/>
      <c r="K52" s="13"/>
      <c r="L52" s="38"/>
      <c r="M52" s="12"/>
      <c r="N52" s="14"/>
      <c r="O52" s="10"/>
      <c r="P52" s="42"/>
    </row>
    <row r="53" spans="1:16" ht="15" customHeight="1" x14ac:dyDescent="0.25">
      <c r="A53" s="37">
        <v>11052</v>
      </c>
      <c r="B53" s="10"/>
      <c r="C53" s="11"/>
      <c r="D53" s="38"/>
      <c r="E53" s="38"/>
      <c r="F53" s="38"/>
      <c r="G53" s="38"/>
      <c r="H53" s="38"/>
      <c r="I53" s="13"/>
      <c r="J53" s="38"/>
      <c r="K53" s="13"/>
      <c r="L53" s="38"/>
      <c r="M53" s="12"/>
      <c r="N53" s="14"/>
      <c r="O53" s="10"/>
      <c r="P53" s="42"/>
    </row>
    <row r="54" spans="1:16" ht="15" customHeight="1" x14ac:dyDescent="0.25">
      <c r="A54" s="36">
        <v>11053</v>
      </c>
      <c r="B54" s="10"/>
      <c r="C54" s="11"/>
      <c r="D54" s="38"/>
      <c r="E54" s="38"/>
      <c r="F54" s="38"/>
      <c r="G54" s="38"/>
      <c r="H54" s="38"/>
      <c r="I54" s="13"/>
      <c r="J54" s="38"/>
      <c r="K54" s="13"/>
      <c r="L54" s="38"/>
      <c r="M54" s="12"/>
      <c r="N54" s="14"/>
      <c r="O54" s="10"/>
      <c r="P54" s="42"/>
    </row>
    <row r="55" spans="1:16" ht="15" customHeight="1" x14ac:dyDescent="0.25">
      <c r="A55" s="37">
        <v>11054</v>
      </c>
      <c r="B55" s="10"/>
      <c r="C55" s="11"/>
      <c r="D55" s="38"/>
      <c r="E55" s="38"/>
      <c r="F55" s="38"/>
      <c r="G55" s="38"/>
      <c r="H55" s="38"/>
      <c r="I55" s="13"/>
      <c r="J55" s="38"/>
      <c r="K55" s="13"/>
      <c r="L55" s="38"/>
      <c r="M55" s="12"/>
      <c r="N55" s="14"/>
      <c r="O55" s="10"/>
      <c r="P55" s="42"/>
    </row>
    <row r="56" spans="1:16" ht="15" customHeight="1" x14ac:dyDescent="0.25">
      <c r="A56" s="36">
        <v>11055</v>
      </c>
      <c r="B56" s="10"/>
      <c r="C56" s="11"/>
      <c r="D56" s="38"/>
      <c r="E56" s="38"/>
      <c r="F56" s="38"/>
      <c r="G56" s="38"/>
      <c r="H56" s="38"/>
      <c r="I56" s="13"/>
      <c r="J56" s="38"/>
      <c r="K56" s="13"/>
      <c r="L56" s="38"/>
      <c r="M56" s="12"/>
      <c r="N56" s="14"/>
      <c r="O56" s="10"/>
      <c r="P56" s="42"/>
    </row>
    <row r="57" spans="1:16" ht="15" customHeight="1" x14ac:dyDescent="0.25">
      <c r="A57" s="37">
        <v>11056</v>
      </c>
      <c r="B57" s="10"/>
      <c r="C57" s="11"/>
      <c r="D57" s="38"/>
      <c r="E57" s="38"/>
      <c r="F57" s="38"/>
      <c r="G57" s="38"/>
      <c r="H57" s="38"/>
      <c r="I57" s="13"/>
      <c r="J57" s="38"/>
      <c r="K57" s="13"/>
      <c r="L57" s="38"/>
      <c r="M57" s="12"/>
      <c r="N57" s="14"/>
      <c r="O57" s="10"/>
      <c r="P57" s="42"/>
    </row>
    <row r="58" spans="1:16" ht="15" customHeight="1" x14ac:dyDescent="0.25">
      <c r="A58" s="36">
        <v>11057</v>
      </c>
      <c r="B58" s="10"/>
      <c r="C58" s="11"/>
      <c r="D58" s="38"/>
      <c r="E58" s="38"/>
      <c r="F58" s="38"/>
      <c r="G58" s="38"/>
      <c r="H58" s="38"/>
      <c r="I58" s="13"/>
      <c r="J58" s="38"/>
      <c r="K58" s="13"/>
      <c r="L58" s="38"/>
      <c r="M58" s="12"/>
      <c r="N58" s="14"/>
      <c r="O58" s="10"/>
      <c r="P58" s="42"/>
    </row>
    <row r="59" spans="1:16" ht="15" customHeight="1" x14ac:dyDescent="0.25">
      <c r="A59" s="37">
        <v>11058</v>
      </c>
      <c r="B59" s="10"/>
      <c r="C59" s="11"/>
      <c r="D59" s="38"/>
      <c r="E59" s="38"/>
      <c r="F59" s="38"/>
      <c r="G59" s="38"/>
      <c r="H59" s="38"/>
      <c r="I59" s="13"/>
      <c r="J59" s="38"/>
      <c r="K59" s="13"/>
      <c r="L59" s="38"/>
      <c r="M59" s="12"/>
      <c r="N59" s="14"/>
      <c r="O59" s="10"/>
      <c r="P59" s="42"/>
    </row>
    <row r="60" spans="1:16" ht="15" customHeight="1" x14ac:dyDescent="0.25">
      <c r="A60" s="36">
        <v>11059</v>
      </c>
      <c r="B60" s="10"/>
      <c r="C60" s="11"/>
      <c r="D60" s="38"/>
      <c r="E60" s="38"/>
      <c r="F60" s="38"/>
      <c r="G60" s="38"/>
      <c r="H60" s="38"/>
      <c r="I60" s="13"/>
      <c r="J60" s="38"/>
      <c r="K60" s="13"/>
      <c r="L60" s="38"/>
      <c r="M60" s="12"/>
      <c r="N60" s="14"/>
      <c r="O60" s="10"/>
      <c r="P60" s="42"/>
    </row>
    <row r="61" spans="1:16" ht="15" customHeight="1" x14ac:dyDescent="0.25">
      <c r="A61" s="37">
        <v>11060</v>
      </c>
      <c r="B61" s="10"/>
      <c r="C61" s="11"/>
      <c r="D61" s="38"/>
      <c r="E61" s="38"/>
      <c r="F61" s="38"/>
      <c r="G61" s="38"/>
      <c r="H61" s="38"/>
      <c r="I61" s="13"/>
      <c r="J61" s="38"/>
      <c r="K61" s="13"/>
      <c r="L61" s="38"/>
      <c r="M61" s="12"/>
      <c r="N61" s="14"/>
      <c r="O61" s="10"/>
      <c r="P61" s="42"/>
    </row>
    <row r="62" spans="1:16" ht="15" customHeight="1" x14ac:dyDescent="0.25">
      <c r="A62" s="36">
        <v>11061</v>
      </c>
      <c r="B62" s="10"/>
      <c r="C62" s="11"/>
      <c r="D62" s="38"/>
      <c r="E62" s="38"/>
      <c r="F62" s="38"/>
      <c r="G62" s="38"/>
      <c r="H62" s="38"/>
      <c r="I62" s="13"/>
      <c r="J62" s="38"/>
      <c r="K62" s="13"/>
      <c r="L62" s="38"/>
      <c r="M62" s="12"/>
      <c r="N62" s="14"/>
      <c r="O62" s="10"/>
      <c r="P62" s="42"/>
    </row>
    <row r="63" spans="1:16" ht="15" customHeight="1" x14ac:dyDescent="0.25">
      <c r="A63" s="37">
        <v>11062</v>
      </c>
      <c r="B63" s="10"/>
      <c r="C63" s="11"/>
      <c r="D63" s="38"/>
      <c r="E63" s="38"/>
      <c r="F63" s="38"/>
      <c r="G63" s="38"/>
      <c r="H63" s="38"/>
      <c r="I63" s="13"/>
      <c r="J63" s="38"/>
      <c r="K63" s="13"/>
      <c r="L63" s="38"/>
      <c r="M63" s="12"/>
      <c r="N63" s="14"/>
      <c r="O63" s="10"/>
      <c r="P63" s="42"/>
    </row>
    <row r="64" spans="1:16" ht="15" customHeight="1" x14ac:dyDescent="0.25">
      <c r="A64" s="36">
        <v>11063</v>
      </c>
      <c r="B64" s="10"/>
      <c r="C64" s="11"/>
      <c r="D64" s="38"/>
      <c r="E64" s="38"/>
      <c r="F64" s="38"/>
      <c r="G64" s="38"/>
      <c r="H64" s="38"/>
      <c r="I64" s="13"/>
      <c r="J64" s="38"/>
      <c r="K64" s="13"/>
      <c r="L64" s="38"/>
      <c r="M64" s="12"/>
      <c r="N64" s="14"/>
      <c r="O64" s="10"/>
      <c r="P64" s="42"/>
    </row>
    <row r="65" spans="1:16" ht="15" customHeight="1" x14ac:dyDescent="0.25">
      <c r="A65" s="37">
        <v>11064</v>
      </c>
      <c r="B65" s="10"/>
      <c r="C65" s="11"/>
      <c r="D65" s="38"/>
      <c r="E65" s="38"/>
      <c r="F65" s="38"/>
      <c r="G65" s="38"/>
      <c r="H65" s="38"/>
      <c r="I65" s="13"/>
      <c r="J65" s="38"/>
      <c r="K65" s="13"/>
      <c r="L65" s="38"/>
      <c r="M65" s="12"/>
      <c r="N65" s="14"/>
      <c r="O65" s="10"/>
      <c r="P65" s="42"/>
    </row>
    <row r="66" spans="1:16" ht="15" customHeight="1" x14ac:dyDescent="0.25">
      <c r="A66" s="36">
        <v>11065</v>
      </c>
      <c r="B66" s="10"/>
      <c r="C66" s="11"/>
      <c r="D66" s="38"/>
      <c r="E66" s="38"/>
      <c r="F66" s="38"/>
      <c r="G66" s="38"/>
      <c r="H66" s="38"/>
      <c r="I66" s="13"/>
      <c r="J66" s="38"/>
      <c r="K66" s="13"/>
      <c r="L66" s="38"/>
      <c r="M66" s="12"/>
      <c r="N66" s="14"/>
      <c r="O66" s="10"/>
      <c r="P66" s="42"/>
    </row>
    <row r="67" spans="1:16" ht="15" customHeight="1" x14ac:dyDescent="0.25">
      <c r="A67" s="37">
        <v>11066</v>
      </c>
      <c r="B67" s="10"/>
      <c r="C67" s="11"/>
      <c r="D67" s="38"/>
      <c r="E67" s="38"/>
      <c r="F67" s="38"/>
      <c r="G67" s="38"/>
      <c r="H67" s="38"/>
      <c r="I67" s="13"/>
      <c r="J67" s="38"/>
      <c r="K67" s="13"/>
      <c r="L67" s="38"/>
      <c r="M67" s="12"/>
      <c r="N67" s="14"/>
      <c r="O67" s="10"/>
      <c r="P67" s="42"/>
    </row>
    <row r="68" spans="1:16" ht="15.75" x14ac:dyDescent="0.25">
      <c r="A68" s="36">
        <v>11067</v>
      </c>
      <c r="B68" s="28"/>
      <c r="C68" s="29"/>
      <c r="D68" s="39"/>
      <c r="E68" s="39"/>
      <c r="F68" s="39"/>
      <c r="G68" s="39"/>
      <c r="H68" s="39"/>
      <c r="I68" s="31"/>
      <c r="J68" s="39"/>
      <c r="K68" s="31"/>
      <c r="L68" s="39"/>
      <c r="M68" s="30"/>
      <c r="N68" s="32"/>
      <c r="O68" s="28"/>
      <c r="P68" s="43"/>
    </row>
    <row r="69" spans="1:16" ht="15.75" x14ac:dyDescent="0.25">
      <c r="A69" s="37">
        <v>11068</v>
      </c>
      <c r="B69" s="10"/>
      <c r="C69" s="11"/>
      <c r="D69" s="38"/>
      <c r="E69" s="38"/>
      <c r="F69" s="38"/>
      <c r="G69" s="38"/>
      <c r="H69" s="38"/>
      <c r="I69" s="13"/>
      <c r="J69" s="38"/>
      <c r="K69" s="13"/>
      <c r="L69" s="38"/>
      <c r="M69" s="12"/>
      <c r="N69" s="14"/>
      <c r="O69" s="10"/>
      <c r="P69" s="42"/>
    </row>
    <row r="70" spans="1:16" ht="15.75" x14ac:dyDescent="0.25">
      <c r="A70" s="36">
        <v>11069</v>
      </c>
      <c r="B70" s="10"/>
      <c r="C70" s="11"/>
      <c r="D70" s="38"/>
      <c r="E70" s="38"/>
      <c r="F70" s="38"/>
      <c r="G70" s="38"/>
      <c r="H70" s="38"/>
      <c r="I70" s="13"/>
      <c r="J70" s="38"/>
      <c r="K70" s="13"/>
      <c r="L70" s="38"/>
      <c r="M70" s="12"/>
      <c r="N70" s="14"/>
      <c r="O70" s="10"/>
      <c r="P70" s="42"/>
    </row>
    <row r="71" spans="1:16" ht="15.75" x14ac:dyDescent="0.25">
      <c r="A71" s="37">
        <v>11070</v>
      </c>
      <c r="B71" s="10"/>
      <c r="C71" s="11"/>
      <c r="D71" s="38"/>
      <c r="E71" s="38"/>
      <c r="F71" s="38"/>
      <c r="G71" s="38"/>
      <c r="H71" s="38"/>
      <c r="I71" s="13"/>
      <c r="J71" s="38"/>
      <c r="K71" s="13"/>
      <c r="L71" s="38"/>
      <c r="M71" s="12"/>
      <c r="N71" s="14"/>
      <c r="O71" s="10"/>
      <c r="P71" s="42"/>
    </row>
    <row r="72" spans="1:16" ht="15.75" x14ac:dyDescent="0.25">
      <c r="A72" s="36">
        <v>11071</v>
      </c>
      <c r="B72" s="10"/>
      <c r="C72" s="11"/>
      <c r="D72" s="38"/>
      <c r="E72" s="38"/>
      <c r="F72" s="38"/>
      <c r="G72" s="38"/>
      <c r="H72" s="38"/>
      <c r="I72" s="13"/>
      <c r="J72" s="38"/>
      <c r="K72" s="13"/>
      <c r="L72" s="38"/>
      <c r="M72" s="12"/>
      <c r="N72" s="14"/>
      <c r="O72" s="10"/>
      <c r="P72" s="42"/>
    </row>
    <row r="73" spans="1:16" ht="15.75" x14ac:dyDescent="0.25">
      <c r="A73" s="37">
        <v>11072</v>
      </c>
      <c r="B73" s="10"/>
      <c r="C73" s="11"/>
      <c r="D73" s="38"/>
      <c r="E73" s="38"/>
      <c r="F73" s="38"/>
      <c r="G73" s="38"/>
      <c r="H73" s="38"/>
      <c r="I73" s="13"/>
      <c r="J73" s="38"/>
      <c r="K73" s="13"/>
      <c r="L73" s="38"/>
      <c r="M73" s="12"/>
      <c r="N73" s="14"/>
      <c r="O73" s="10"/>
      <c r="P73" s="42"/>
    </row>
    <row r="74" spans="1:16" ht="15.75" x14ac:dyDescent="0.25">
      <c r="A74" s="36">
        <v>11073</v>
      </c>
      <c r="B74" s="10"/>
      <c r="C74" s="11"/>
      <c r="D74" s="40"/>
      <c r="E74" s="40"/>
      <c r="F74" s="40"/>
      <c r="G74" s="40"/>
      <c r="H74" s="40"/>
      <c r="I74" s="26"/>
      <c r="J74" s="40"/>
      <c r="K74" s="26"/>
      <c r="L74" s="40"/>
      <c r="M74" s="25"/>
      <c r="N74" s="27"/>
      <c r="O74" s="10"/>
      <c r="P74" s="44"/>
    </row>
    <row r="75" spans="1:16" ht="15.75" x14ac:dyDescent="0.25">
      <c r="A75" s="37">
        <v>11074</v>
      </c>
      <c r="B75" s="10"/>
      <c r="C75" s="11"/>
      <c r="D75" s="40"/>
      <c r="E75" s="40"/>
      <c r="F75" s="40"/>
      <c r="G75" s="40"/>
      <c r="H75" s="40"/>
      <c r="I75" s="26"/>
      <c r="J75" s="40"/>
      <c r="K75" s="26"/>
      <c r="L75" s="40"/>
      <c r="M75" s="25"/>
      <c r="N75" s="27"/>
      <c r="O75" s="10"/>
      <c r="P75" s="44"/>
    </row>
    <row r="76" spans="1:16" ht="15.75" x14ac:dyDescent="0.25">
      <c r="A76" s="36">
        <v>11075</v>
      </c>
      <c r="B76" s="10"/>
      <c r="C76" s="11"/>
      <c r="D76" s="40"/>
      <c r="E76" s="40"/>
      <c r="F76" s="40"/>
      <c r="G76" s="40"/>
      <c r="H76" s="40"/>
      <c r="I76" s="26"/>
      <c r="J76" s="40"/>
      <c r="K76" s="26"/>
      <c r="L76" s="40"/>
      <c r="M76" s="25"/>
      <c r="N76" s="27"/>
      <c r="O76" s="10"/>
      <c r="P76" s="44"/>
    </row>
    <row r="77" spans="1:16" ht="15.75" x14ac:dyDescent="0.25">
      <c r="A77" s="37">
        <v>11076</v>
      </c>
      <c r="B77" s="10"/>
      <c r="C77" s="11"/>
      <c r="D77" s="40"/>
      <c r="E77" s="40"/>
      <c r="F77" s="40"/>
      <c r="G77" s="40"/>
      <c r="H77" s="40"/>
      <c r="I77" s="26"/>
      <c r="J77" s="40"/>
      <c r="K77" s="26"/>
      <c r="L77" s="40"/>
      <c r="M77" s="25"/>
      <c r="N77" s="27"/>
      <c r="O77" s="10"/>
      <c r="P77" s="44"/>
    </row>
    <row r="78" spans="1:16" ht="15.75" x14ac:dyDescent="0.25">
      <c r="A78" s="36">
        <v>11077</v>
      </c>
      <c r="B78" s="10"/>
      <c r="C78" s="11"/>
      <c r="D78" s="40"/>
      <c r="E78" s="40"/>
      <c r="F78" s="40"/>
      <c r="G78" s="40"/>
      <c r="H78" s="40"/>
      <c r="I78" s="26"/>
      <c r="J78" s="40"/>
      <c r="K78" s="26"/>
      <c r="L78" s="40"/>
      <c r="M78" s="25"/>
      <c r="N78" s="27"/>
      <c r="O78" s="10"/>
      <c r="P78" s="44"/>
    </row>
    <row r="79" spans="1:16" ht="15.75" x14ac:dyDescent="0.25">
      <c r="A79" s="37">
        <v>11078</v>
      </c>
      <c r="B79" s="10"/>
      <c r="C79" s="11"/>
      <c r="D79" s="40"/>
      <c r="E79" s="40"/>
      <c r="F79" s="40"/>
      <c r="G79" s="40"/>
      <c r="H79" s="40"/>
      <c r="I79" s="26"/>
      <c r="J79" s="40"/>
      <c r="K79" s="26"/>
      <c r="L79" s="40"/>
      <c r="M79" s="25"/>
      <c r="N79" s="27"/>
      <c r="O79" s="10"/>
      <c r="P79" s="44"/>
    </row>
    <row r="80" spans="1:16" ht="15.75" x14ac:dyDescent="0.25">
      <c r="A80" s="36">
        <v>11079</v>
      </c>
      <c r="B80" s="10"/>
      <c r="C80" s="11"/>
      <c r="D80" s="40"/>
      <c r="E80" s="40"/>
      <c r="F80" s="40"/>
      <c r="G80" s="40"/>
      <c r="H80" s="40"/>
      <c r="I80" s="26"/>
      <c r="J80" s="40"/>
      <c r="K80" s="26"/>
      <c r="L80" s="40"/>
      <c r="M80" s="25"/>
      <c r="N80" s="27"/>
      <c r="O80" s="10"/>
      <c r="P80" s="44"/>
    </row>
    <row r="81" spans="1:16" ht="15.75" x14ac:dyDescent="0.25">
      <c r="A81" s="37">
        <v>11080</v>
      </c>
      <c r="B81" s="10"/>
      <c r="C81" s="11"/>
      <c r="D81" s="40"/>
      <c r="E81" s="40"/>
      <c r="F81" s="40"/>
      <c r="G81" s="40"/>
      <c r="H81" s="40"/>
      <c r="I81" s="26"/>
      <c r="J81" s="40"/>
      <c r="K81" s="26"/>
      <c r="L81" s="40"/>
      <c r="M81" s="25"/>
      <c r="N81" s="27"/>
      <c r="O81" s="10"/>
      <c r="P81" s="44"/>
    </row>
    <row r="82" spans="1:16" ht="15.75" x14ac:dyDescent="0.25">
      <c r="A82" s="36">
        <v>11081</v>
      </c>
      <c r="B82" s="10"/>
      <c r="C82" s="11"/>
      <c r="D82" s="40"/>
      <c r="E82" s="40"/>
      <c r="F82" s="40"/>
      <c r="G82" s="40"/>
      <c r="H82" s="40"/>
      <c r="I82" s="26"/>
      <c r="J82" s="40"/>
      <c r="K82" s="26"/>
      <c r="L82" s="40"/>
      <c r="M82" s="25"/>
      <c r="N82" s="27"/>
      <c r="O82" s="10"/>
      <c r="P82" s="44"/>
    </row>
    <row r="83" spans="1:16" ht="15.75" x14ac:dyDescent="0.25">
      <c r="A83" s="37">
        <v>11082</v>
      </c>
      <c r="B83" s="10"/>
      <c r="C83" s="11"/>
      <c r="D83" s="40"/>
      <c r="E83" s="40"/>
      <c r="F83" s="40"/>
      <c r="G83" s="40"/>
      <c r="H83" s="40"/>
      <c r="I83" s="26"/>
      <c r="J83" s="40"/>
      <c r="K83" s="26"/>
      <c r="L83" s="40"/>
      <c r="M83" s="25"/>
      <c r="N83" s="27"/>
      <c r="O83" s="10"/>
      <c r="P83" s="44"/>
    </row>
    <row r="84" spans="1:16" ht="15.75" x14ac:dyDescent="0.25">
      <c r="A84" s="36">
        <v>11083</v>
      </c>
      <c r="B84" s="10"/>
      <c r="C84" s="11"/>
      <c r="D84" s="40"/>
      <c r="E84" s="40"/>
      <c r="F84" s="40"/>
      <c r="G84" s="40"/>
      <c r="H84" s="40"/>
      <c r="I84" s="26"/>
      <c r="J84" s="40"/>
      <c r="K84" s="26"/>
      <c r="L84" s="40"/>
      <c r="M84" s="25"/>
      <c r="N84" s="27"/>
      <c r="O84" s="10"/>
      <c r="P84" s="44"/>
    </row>
    <row r="85" spans="1:16" ht="15.75" x14ac:dyDescent="0.25">
      <c r="A85" s="37">
        <v>11084</v>
      </c>
      <c r="B85" s="10"/>
      <c r="C85" s="11"/>
      <c r="D85" s="40"/>
      <c r="E85" s="40"/>
      <c r="F85" s="40"/>
      <c r="G85" s="40"/>
      <c r="H85" s="40"/>
      <c r="I85" s="26"/>
      <c r="J85" s="40"/>
      <c r="K85" s="26"/>
      <c r="L85" s="40"/>
      <c r="M85" s="25"/>
      <c r="N85" s="27"/>
      <c r="O85" s="10"/>
      <c r="P85" s="44"/>
    </row>
    <row r="86" spans="1:16" ht="15.75" x14ac:dyDescent="0.25">
      <c r="A86" s="36">
        <v>11085</v>
      </c>
      <c r="B86" s="10"/>
      <c r="C86" s="11"/>
      <c r="D86" s="40"/>
      <c r="E86" s="40"/>
      <c r="F86" s="40"/>
      <c r="G86" s="40"/>
      <c r="H86" s="40"/>
      <c r="I86" s="26"/>
      <c r="J86" s="40"/>
      <c r="K86" s="26"/>
      <c r="L86" s="40"/>
      <c r="M86" s="25"/>
      <c r="N86" s="27"/>
      <c r="O86" s="10"/>
      <c r="P86" s="44"/>
    </row>
    <row r="87" spans="1:16" ht="15.75" x14ac:dyDescent="0.25">
      <c r="A87" s="37">
        <v>11086</v>
      </c>
      <c r="B87" s="10"/>
      <c r="C87" s="11"/>
      <c r="D87" s="40"/>
      <c r="E87" s="40"/>
      <c r="F87" s="40"/>
      <c r="G87" s="40"/>
      <c r="H87" s="40"/>
      <c r="I87" s="26"/>
      <c r="J87" s="40"/>
      <c r="K87" s="26"/>
      <c r="L87" s="40"/>
      <c r="M87" s="25"/>
      <c r="N87" s="27"/>
      <c r="O87" s="10"/>
      <c r="P87" s="44"/>
    </row>
    <row r="88" spans="1:16" ht="15.75" x14ac:dyDescent="0.25">
      <c r="A88" s="36">
        <v>11087</v>
      </c>
      <c r="B88" s="10"/>
      <c r="C88" s="11"/>
      <c r="D88" s="40"/>
      <c r="E88" s="40"/>
      <c r="F88" s="40"/>
      <c r="G88" s="40"/>
      <c r="H88" s="40"/>
      <c r="I88" s="26"/>
      <c r="J88" s="40"/>
      <c r="K88" s="26"/>
      <c r="L88" s="40"/>
      <c r="M88" s="25"/>
      <c r="N88" s="27"/>
      <c r="O88" s="10"/>
      <c r="P88" s="44"/>
    </row>
    <row r="89" spans="1:16" ht="15.75" x14ac:dyDescent="0.25">
      <c r="A89" s="37">
        <v>11088</v>
      </c>
      <c r="B89" s="10"/>
      <c r="C89" s="11"/>
      <c r="D89" s="40"/>
      <c r="E89" s="40"/>
      <c r="F89" s="40"/>
      <c r="G89" s="40"/>
      <c r="H89" s="40"/>
      <c r="I89" s="26"/>
      <c r="J89" s="40"/>
      <c r="K89" s="26"/>
      <c r="L89" s="40"/>
      <c r="M89" s="25"/>
      <c r="N89" s="27"/>
      <c r="O89" s="10"/>
      <c r="P89" s="44"/>
    </row>
    <row r="90" spans="1:16" ht="15.75" x14ac:dyDescent="0.25">
      <c r="A90" s="36">
        <v>11089</v>
      </c>
      <c r="B90" s="10"/>
      <c r="C90" s="11"/>
      <c r="D90" s="40"/>
      <c r="E90" s="40"/>
      <c r="F90" s="40"/>
      <c r="G90" s="40"/>
      <c r="H90" s="40"/>
      <c r="I90" s="26"/>
      <c r="J90" s="40"/>
      <c r="K90" s="26"/>
      <c r="L90" s="40"/>
      <c r="M90" s="25"/>
      <c r="N90" s="27"/>
      <c r="O90" s="10"/>
      <c r="P90" s="44"/>
    </row>
    <row r="91" spans="1:16" ht="15.75" x14ac:dyDescent="0.25">
      <c r="A91" s="37">
        <v>11090</v>
      </c>
      <c r="B91" s="10"/>
      <c r="C91" s="11"/>
      <c r="D91" s="40"/>
      <c r="E91" s="40"/>
      <c r="F91" s="40"/>
      <c r="G91" s="40"/>
      <c r="H91" s="40"/>
      <c r="I91" s="26"/>
      <c r="J91" s="40"/>
      <c r="K91" s="26"/>
      <c r="L91" s="40"/>
      <c r="M91" s="25"/>
      <c r="N91" s="27"/>
      <c r="O91" s="10"/>
      <c r="P91" s="44"/>
    </row>
    <row r="92" spans="1:16" ht="15.75" x14ac:dyDescent="0.25">
      <c r="A92" s="36">
        <v>11091</v>
      </c>
      <c r="B92" s="10"/>
      <c r="C92" s="11"/>
      <c r="D92" s="40"/>
      <c r="E92" s="40"/>
      <c r="F92" s="40"/>
      <c r="G92" s="40"/>
      <c r="H92" s="40"/>
      <c r="I92" s="26"/>
      <c r="J92" s="40"/>
      <c r="K92" s="26"/>
      <c r="L92" s="40"/>
      <c r="M92" s="25"/>
      <c r="N92" s="27"/>
      <c r="O92" s="10"/>
      <c r="P92" s="44"/>
    </row>
    <row r="93" spans="1:16" ht="15.75" x14ac:dyDescent="0.25">
      <c r="A93" s="37">
        <v>11092</v>
      </c>
      <c r="B93" s="10"/>
      <c r="C93" s="11"/>
      <c r="D93" s="40"/>
      <c r="E93" s="40"/>
      <c r="F93" s="40"/>
      <c r="G93" s="40"/>
      <c r="H93" s="40"/>
      <c r="I93" s="26"/>
      <c r="J93" s="40"/>
      <c r="K93" s="26"/>
      <c r="L93" s="40"/>
      <c r="M93" s="25"/>
      <c r="N93" s="27"/>
      <c r="O93" s="10"/>
      <c r="P93" s="44"/>
    </row>
    <row r="94" spans="1:16" ht="15.75" x14ac:dyDescent="0.25">
      <c r="A94" s="36">
        <v>11093</v>
      </c>
      <c r="B94" s="10"/>
      <c r="C94" s="11"/>
      <c r="D94" s="40"/>
      <c r="E94" s="40"/>
      <c r="F94" s="40"/>
      <c r="G94" s="40"/>
      <c r="H94" s="40"/>
      <c r="I94" s="26"/>
      <c r="J94" s="40"/>
      <c r="K94" s="26"/>
      <c r="L94" s="40"/>
      <c r="M94" s="25"/>
      <c r="N94" s="27"/>
      <c r="O94" s="10"/>
      <c r="P94" s="44"/>
    </row>
    <row r="95" spans="1:16" ht="15.75" x14ac:dyDescent="0.25">
      <c r="A95" s="37">
        <v>11094</v>
      </c>
      <c r="B95" s="10"/>
      <c r="C95" s="11"/>
      <c r="D95" s="40"/>
      <c r="E95" s="40"/>
      <c r="F95" s="40"/>
      <c r="G95" s="40"/>
      <c r="H95" s="40"/>
      <c r="I95" s="26"/>
      <c r="J95" s="40"/>
      <c r="K95" s="26"/>
      <c r="L95" s="40"/>
      <c r="M95" s="25"/>
      <c r="N95" s="27"/>
      <c r="O95" s="10"/>
      <c r="P95" s="44"/>
    </row>
    <row r="96" spans="1:16" x14ac:dyDescent="0.25">
      <c r="P96" s="23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4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3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4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  <row r="208" spans="16:16" x14ac:dyDescent="0.25">
      <c r="P208" s="23"/>
    </row>
    <row r="209" spans="16:16" x14ac:dyDescent="0.25">
      <c r="P209" s="23"/>
    </row>
    <row r="210" spans="16:16" x14ac:dyDescent="0.25">
      <c r="P210" s="23"/>
    </row>
    <row r="211" spans="16:16" x14ac:dyDescent="0.25">
      <c r="P211" s="23"/>
    </row>
    <row r="212" spans="16:16" x14ac:dyDescent="0.25">
      <c r="P212" s="23"/>
    </row>
    <row r="213" spans="16:16" x14ac:dyDescent="0.25">
      <c r="P213" s="23"/>
    </row>
    <row r="214" spans="16:16" x14ac:dyDescent="0.25">
      <c r="P214" s="23"/>
    </row>
    <row r="215" spans="16:16" x14ac:dyDescent="0.25">
      <c r="P215" s="23"/>
    </row>
    <row r="216" spans="16:16" x14ac:dyDescent="0.25">
      <c r="P216" s="23"/>
    </row>
    <row r="217" spans="16:16" x14ac:dyDescent="0.25">
      <c r="P217" s="23"/>
    </row>
    <row r="218" spans="16:16" x14ac:dyDescent="0.25">
      <c r="P218" s="23"/>
    </row>
    <row r="219" spans="16:16" x14ac:dyDescent="0.25">
      <c r="P219" s="23"/>
    </row>
    <row r="220" spans="16:16" x14ac:dyDescent="0.25">
      <c r="P220" s="23"/>
    </row>
    <row r="221" spans="16:16" x14ac:dyDescent="0.25">
      <c r="P221" s="23"/>
    </row>
    <row r="222" spans="16:16" x14ac:dyDescent="0.25">
      <c r="P222" s="23"/>
    </row>
    <row r="223" spans="16:16" x14ac:dyDescent="0.25">
      <c r="P223" s="23"/>
    </row>
    <row r="224" spans="16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</sheetData>
  <sheetProtection algorithmName="SHA-512" hashValue="j7v0x6n/vFtq+ZkbKpDyek0p6MYS5S4A5QYumUwoPiAu1g9hF9zuPTTnnwa6GfvM8ZkHDAfJfpe0vahgQqQPpg==" saltValue="pcUlc33yw8s2t5ei7NVs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95 D2:H95 J2:J95 L2:L95 A2:A21" xr:uid="{438F6EE2-48D7-47B5-83DD-453494087DA8}">
      <formula1>0</formula1>
    </dataValidation>
    <dataValidation type="date" operator="greaterThanOrEqual" allowBlank="1" showInputMessage="1" showErrorMessage="1" sqref="O2:O95 I2:I95 K2:K95 B2:B95" xr:uid="{70E3BCF7-2ACB-4355-BA97-A2A8EBFB1F1D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23EC4B-2DB8-4D80-8F7D-ECE58E61B3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FE02F4-9308-451C-8569-95ACA256ABC2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f09d0ae9-c6ff-4e57-bd1f-955be6ad47ac"/>
    <ds:schemaRef ds:uri="d5486727-c7ef-48ef-8f67-294a70abf30d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32490EF-C7C2-4082-8A13-215F1730EF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Victoria Line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2025-10-31T16:03:17Z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