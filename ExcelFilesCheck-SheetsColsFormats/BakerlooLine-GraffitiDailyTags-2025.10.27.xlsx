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38" documentId="13_ncr:1_{396C4AB3-B9B8-4642-B625-64F39B46BC53}" xr6:coauthVersionLast="47" xr6:coauthVersionMax="47" xr10:uidLastSave="{75F655A5-D98B-40BF-A86B-61130AEE1A73}"/>
  <bookViews>
    <workbookView xWindow="-289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<sst xmlns="http://schemas.openxmlformats.org/spreadsheetml/2006/main" count="1054" uniqueCount="34">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</sst>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ECB9EB-50E4-482E-AA68-C8CA15DD27BD}" name="TagsRA11" displayName="TagsRA11" ref="A1:P73" totalsRowShown="0" headerRowDxfId="35" tableBorderDxfId="34">
  <autoFilter ref="A1:P73" xr:uid="{30E73D74-4515-4083-9342-4DA04CAF52D8}"/>
  <tableColumns count="16">
    <tableColumn id="1" xr3:uid="{6157D760-AE93-4281-A697-3145DA936AFF}" name="Unit No." dataDxfId="33"/>
    <tableColumn id="2" xr3:uid="{D14C95BA-92D9-4E5A-92B9-F8FB3A8EA302}" name="DATE" dataDxfId="32"/>
    <tableColumn id="3" xr3:uid="{D454F075-8558-4291-B42A-A10423F8749B}" name="Status" dataDxfId="31"/>
    <tableColumn id="4" xr3:uid="{94235F50-B3E9-4D80-B557-4568A00579F4}" name="Number of cars affected by graffiti/shadows on this unit" dataDxfId="30"/>
    <tableColumn id="5" xr3:uid="{F89833CB-E9EB-4A1A-BC7C-A9FC5DE39C46}" name="Total Number of Tags found" dataDxfId="29"/>
    <tableColumn id="6" xr3:uid="{D606368E-2129-47A1-B68B-4E4087B82E38}" name="Total Tags Removed / Cleaned" dataDxfId="28"/>
    <tableColumn id="7" xr3:uid="{23278657-15E2-4426-B2EC-884DD427A606}" name="Total Tags Not Cleaned on this Unit" dataDxfId="27"/>
    <tableColumn id="8" xr3:uid="{A97974FE-028A-4038-B022-0386A65AD054}" name="Car Number (s)  of Tags not cleaned (shadows)" dataDxfId="26"/>
    <tableColumn id="9" xr3:uid="{017EBC51-4EB9-4AC2-B749-5AD50CECD0A2}" name="Date of 2nd visit to clean remaining tags" dataDxfId="25"/>
    <tableColumn id="10" xr3:uid="{DE7229C2-53E5-4BC6-9118-CA7315D61297}" name="Number of tags removed" dataDxfId="24"/>
    <tableColumn id="11" xr3:uid="{7CC3EE61-DEA3-40AF-AF98-995CCEE48155}" name="Date of 3rd visit to clean remaining tags" dataDxfId="23"/>
    <tableColumn id="12" xr3:uid="{CE0D7419-61A5-46D1-AA3E-0C4ADE1CCEB0}" name="Number of tags removed2" dataDxfId="22"/>
    <tableColumn id="13" xr3:uid="{721F8B5D-30ED-440E-9F95-C4DAE3C909C0}" name="Train Inspected and Fit for service    (Y/N)" dataDxfId="21"/>
    <tableColumn id="14" xr3:uid="{15618DE3-DD4C-43F3-AD46-4B0D9C85A7A0}" name="Inspected by Supervisor/Manager (Name)" dataDxfId="20"/>
    <tableColumn id="15" xr3:uid="{0CBF76E8-7D92-4281-85AE-F294E7DCFA91}" name="Date of Completing all shadows (Tags) on this Unit excluding acid etched shadows" dataDxfId="19"/>
    <tableColumn id="16" xr3:uid="{1180E1F4-012D-4DD6-8DBF-5EE2DBEBE92B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640594-DDD9-4134-A75B-B7D6E080E255}" name="TagsRA12" displayName="TagsRA12" ref="A1:P73" totalsRowShown="0" headerRowDxfId="17" tableBorderDxfId="16">
  <autoFilter ref="A1:P73" xr:uid="{30E73D74-4515-4083-9342-4DA04CAF52D8}"/>
  <tableColumns count="16">
    <tableColumn id="1" xr3:uid="{F1D29F75-7064-4DF6-A22D-3AEFD2BD59BD}" name="Unit No." dataDxfId="15"/>
    <tableColumn id="2" xr3:uid="{EAA90235-729A-4AF6-B5AC-229D6D1BB636}" name="DATE" dataDxfId="14"/>
    <tableColumn id="3" xr3:uid="{EF70628E-BDC6-4FFF-8EAF-30E626D57C78}" name="Status" dataDxfId="13"/>
    <tableColumn id="4" xr3:uid="{51D01AAD-5691-4503-9381-5BA7674CFABE}" name="Number of cars affected by graffiti/shadows on this unit" dataDxfId="12"/>
    <tableColumn id="5" xr3:uid="{E1B8AF9D-73E7-4606-83CF-4054F06F8FB6}" name="Total Number of Tags found" dataDxfId="11"/>
    <tableColumn id="6" xr3:uid="{F5D452A3-D2D6-40A6-90E5-50D023CA429F}" name="Total Tags Removed / Cleaned" dataDxfId="10"/>
    <tableColumn id="7" xr3:uid="{A52DE779-3912-4A5A-A682-AEB2EFFB9516}" name="Total Tags Not Cleaned on this Unit" dataDxfId="9"/>
    <tableColumn id="8" xr3:uid="{FF78D12B-D3F5-4233-A660-0E6B82CFA547}" name="Car Number (s)  of Tags not cleaned (shadows)" dataDxfId="8"/>
    <tableColumn id="9" xr3:uid="{3DA63885-17D0-4C03-BDCD-0E1EC33E0E0C}" name="Date of 2nd visit to clean remaining tags" dataDxfId="7"/>
    <tableColumn id="10" xr3:uid="{46BCBCAD-4DB0-4209-A8B8-A774F61A7E2B}" name="Number of tags removed" dataDxfId="6"/>
    <tableColumn id="11" xr3:uid="{E27223A1-155A-4F90-81EC-B20F0B52B331}" name="Date of 3rd visit to clean remaining tags" dataDxfId="5"/>
    <tableColumn id="12" xr3:uid="{A9660914-CDCA-4886-AB86-A84348DE2CEF}" name="Number of tags removed2" dataDxfId="4"/>
    <tableColumn id="13" xr3:uid="{423C5E93-E1E6-424E-947B-61BD3987C9A8}" name="Train Inspected and Fit for service    (Y/N)" dataDxfId="3"/>
    <tableColumn id="14" xr3:uid="{38185FAB-D982-4AB9-A7FE-047E0821CF27}" name="Inspected by Supervisor/Manager (Name)" dataDxfId="2"/>
    <tableColumn id="15" xr3:uid="{665FF2D3-A2D1-49AA-AE85-DF328529A8DD}" name="Date of Completing all shadows (Tags) on this Unit excluding acid etched shadows" dataDxfId="1"/>
    <tableColumn id="16" xr3:uid="{6E92C878-BA1E-4A81-9048-E6D13A72957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2" workbookViewId="0">
      <selection activeCell="Q43" sqref="Q43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 x14ac:dyDescent="0.35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 x14ac:dyDescent="0.3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 x14ac:dyDescent="0.3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 x14ac:dyDescent="0.3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 x14ac:dyDescent="0.3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 x14ac:dyDescent="0.3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 x14ac:dyDescent="0.3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 x14ac:dyDescent="0.3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 x14ac:dyDescent="0.3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 x14ac:dyDescent="0.3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 x14ac:dyDescent="0.3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 x14ac:dyDescent="0.3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 x14ac:dyDescent="0.3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 x14ac:dyDescent="0.3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 x14ac:dyDescent="0.3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 x14ac:dyDescent="0.3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 x14ac:dyDescent="0.3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 x14ac:dyDescent="0.3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 x14ac:dyDescent="0.3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 x14ac:dyDescent="0.3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 x14ac:dyDescent="0.3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 x14ac:dyDescent="0.3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 x14ac:dyDescent="0.3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 x14ac:dyDescent="0.3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 x14ac:dyDescent="0.3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 x14ac:dyDescent="0.3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 x14ac:dyDescent="0.3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 x14ac:dyDescent="0.3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 x14ac:dyDescent="0.3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 x14ac:dyDescent="0.3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 x14ac:dyDescent="0.3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 x14ac:dyDescent="0.3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 x14ac:dyDescent="0.3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 x14ac:dyDescent="0.3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 x14ac:dyDescent="0.3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 x14ac:dyDescent="0.3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 x14ac:dyDescent="0.3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 x14ac:dyDescent="0.3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 x14ac:dyDescent="0.3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 x14ac:dyDescent="0.3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 x14ac:dyDescent="0.3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 x14ac:dyDescent="0.3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 x14ac:dyDescent="0.3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 x14ac:dyDescent="0.3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 x14ac:dyDescent="0.3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 x14ac:dyDescent="0.3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 x14ac:dyDescent="0.3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 x14ac:dyDescent="0.3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 x14ac:dyDescent="0.3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 x14ac:dyDescent="0.3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 x14ac:dyDescent="0.3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 x14ac:dyDescent="0.3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 x14ac:dyDescent="0.3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 x14ac:dyDescent="0.3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 x14ac:dyDescent="0.3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 x14ac:dyDescent="0.3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 x14ac:dyDescent="0.3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.75" x14ac:dyDescent="0.3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.75" x14ac:dyDescent="0.3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.75" x14ac:dyDescent="0.3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.75" x14ac:dyDescent="0.3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.75" x14ac:dyDescent="0.3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 x14ac:dyDescent="0.25">
      <c r="A75" s="27" t="s">
        <v>26</v>
      </c>
      <c r="B75" s="28"/>
    </row>
    <row r="76" spans="1:16" ht="30" x14ac:dyDescent="0.25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" workbookViewId="0">
      <selection activeCell="I37" sqref="I37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64</v>
      </c>
      <c r="U4" s="16">
        <f>T4/S4</f>
        <v>0.88888888888888884</v>
      </c>
    </row>
    <row r="5" spans="1:21" ht="15" customHeight="1" x14ac:dyDescent="0.3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 x14ac:dyDescent="0.3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 x14ac:dyDescent="0.3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 x14ac:dyDescent="0.3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 x14ac:dyDescent="0.3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 x14ac:dyDescent="0.3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 x14ac:dyDescent="0.3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 x14ac:dyDescent="0.3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 x14ac:dyDescent="0.3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 x14ac:dyDescent="0.3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 x14ac:dyDescent="0.3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 x14ac:dyDescent="0.3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 x14ac:dyDescent="0.3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 x14ac:dyDescent="0.3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 x14ac:dyDescent="0.3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 x14ac:dyDescent="0.3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 x14ac:dyDescent="0.3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 x14ac:dyDescent="0.3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 x14ac:dyDescent="0.3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 x14ac:dyDescent="0.3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 x14ac:dyDescent="0.3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 x14ac:dyDescent="0.3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 x14ac:dyDescent="0.3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 x14ac:dyDescent="0.3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 x14ac:dyDescent="0.3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 x14ac:dyDescent="0.3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 x14ac:dyDescent="0.3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 x14ac:dyDescent="0.3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 x14ac:dyDescent="0.3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5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 x14ac:dyDescent="0.3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 x14ac:dyDescent="0.3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 x14ac:dyDescent="0.3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 x14ac:dyDescent="0.3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 x14ac:dyDescent="0.3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 x14ac:dyDescent="0.3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 x14ac:dyDescent="0.3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 x14ac:dyDescent="0.3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 x14ac:dyDescent="0.3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 x14ac:dyDescent="0.3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 x14ac:dyDescent="0.3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 x14ac:dyDescent="0.3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 x14ac:dyDescent="0.3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 x14ac:dyDescent="0.3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 x14ac:dyDescent="0.3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 x14ac:dyDescent="0.3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 x14ac:dyDescent="0.3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 x14ac:dyDescent="0.3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 x14ac:dyDescent="0.3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.75" x14ac:dyDescent="0.3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.75" x14ac:dyDescent="0.3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.75" x14ac:dyDescent="0.3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.75" x14ac:dyDescent="0.3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.75" x14ac:dyDescent="0.3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 x14ac:dyDescent="0.3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 x14ac:dyDescent="0.3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 x14ac:dyDescent="0.3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 x14ac:dyDescent="0.3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 x14ac:dyDescent="0.3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 x14ac:dyDescent="0.3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 x14ac:dyDescent="0.3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 x14ac:dyDescent="0.3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 x14ac:dyDescent="0.3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 x14ac:dyDescent="0.3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 x14ac:dyDescent="0.3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 x14ac:dyDescent="0.3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 x14ac:dyDescent="0.3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 x14ac:dyDescent="0.3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 x14ac:dyDescent="0.3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 x14ac:dyDescent="0.3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 x14ac:dyDescent="0.3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 x14ac:dyDescent="0.3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 x14ac:dyDescent="0.3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 x14ac:dyDescent="0.3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 x14ac:dyDescent="0.3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 x14ac:dyDescent="0.3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 x14ac:dyDescent="0.3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 x14ac:dyDescent="0.3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 x14ac:dyDescent="0.3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 x14ac:dyDescent="0.3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 x14ac:dyDescent="0.3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 x14ac:dyDescent="0.3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 x14ac:dyDescent="0.3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 x14ac:dyDescent="0.3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 x14ac:dyDescent="0.3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 x14ac:dyDescent="0.3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 x14ac:dyDescent="0.3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 x14ac:dyDescent="0.3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 x14ac:dyDescent="0.3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 x14ac:dyDescent="0.3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 x14ac:dyDescent="0.3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 x14ac:dyDescent="0.3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 x14ac:dyDescent="0.3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 x14ac:dyDescent="0.3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 x14ac:dyDescent="0.3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.75" x14ac:dyDescent="0.3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.75" x14ac:dyDescent="0.3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.75" x14ac:dyDescent="0.3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.75" x14ac:dyDescent="0.3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.75" x14ac:dyDescent="0.3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7" workbookViewId="0">
      <selection activeCell="J21" sqref="J2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8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53</v>
      </c>
      <c r="U4" s="16">
        <f>T4/S4</f>
        <v>0.73611111111111116</v>
      </c>
    </row>
    <row r="5" spans="1:21" ht="15" customHeight="1" x14ac:dyDescent="0.3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 x14ac:dyDescent="0.3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 x14ac:dyDescent="0.3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 x14ac:dyDescent="0.3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 x14ac:dyDescent="0.3">
      <c r="A10" s="63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 x14ac:dyDescent="0.3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customHeight="1" x14ac:dyDescent="0.3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 x14ac:dyDescent="0.3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customHeight="1" x14ac:dyDescent="0.3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 x14ac:dyDescent="0.3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 x14ac:dyDescent="0.3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 x14ac:dyDescent="0.3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 x14ac:dyDescent="0.3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 x14ac:dyDescent="0.3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customHeight="1" x14ac:dyDescent="0.3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customHeight="1" x14ac:dyDescent="0.3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customHeight="1" x14ac:dyDescent="0.3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 x14ac:dyDescent="0.3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 x14ac:dyDescent="0.3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 x14ac:dyDescent="0.3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 x14ac:dyDescent="0.3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customHeight="1" x14ac:dyDescent="0.3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 x14ac:dyDescent="0.3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 x14ac:dyDescent="0.3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 x14ac:dyDescent="0.3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 x14ac:dyDescent="0.3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 x14ac:dyDescent="0.3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 x14ac:dyDescent="0.3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 x14ac:dyDescent="0.3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customHeight="1" x14ac:dyDescent="0.3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customHeight="1" x14ac:dyDescent="0.3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 x14ac:dyDescent="0.3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customHeight="1" x14ac:dyDescent="0.3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 x14ac:dyDescent="0.3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customHeight="1" x14ac:dyDescent="0.3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 x14ac:dyDescent="0.3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customHeight="1" x14ac:dyDescent="0.3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 x14ac:dyDescent="0.3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.75" x14ac:dyDescent="0.3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.75" x14ac:dyDescent="0.3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.75" x14ac:dyDescent="0.3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.75" x14ac:dyDescent="0.3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9" workbookViewId="0">
      <selection activeCell="L14" sqref="L14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45</v>
      </c>
      <c r="U4" s="21">
        <f>T4/S4</f>
        <v>0.625</v>
      </c>
    </row>
    <row r="5" spans="1:21" ht="15" customHeight="1" x14ac:dyDescent="0.3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 x14ac:dyDescent="0.3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 x14ac:dyDescent="0.3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 x14ac:dyDescent="0.3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 x14ac:dyDescent="0.3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 x14ac:dyDescent="0.35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 x14ac:dyDescent="0.3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 x14ac:dyDescent="0.3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 x14ac:dyDescent="0.3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 x14ac:dyDescent="0.3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 x14ac:dyDescent="0.3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 x14ac:dyDescent="0.3">
      <c r="A20" s="18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3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18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 x14ac:dyDescent="0.3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 x14ac:dyDescent="0.3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 x14ac:dyDescent="0.3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 x14ac:dyDescent="0.3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 x14ac:dyDescent="0.35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 x14ac:dyDescent="0.3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 x14ac:dyDescent="0.3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 x14ac:dyDescent="0.3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 x14ac:dyDescent="0.3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 x14ac:dyDescent="0.3">
      <c r="A43" s="18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 x14ac:dyDescent="0.35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 x14ac:dyDescent="0.3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 x14ac:dyDescent="0.3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 x14ac:dyDescent="0.3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 x14ac:dyDescent="0.3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 x14ac:dyDescent="0.3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 x14ac:dyDescent="0.3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 x14ac:dyDescent="0.35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 x14ac:dyDescent="0.3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 x14ac:dyDescent="0.3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 x14ac:dyDescent="0.3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 x14ac:dyDescent="0.3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 x14ac:dyDescent="0.3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 x14ac:dyDescent="0.3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 x14ac:dyDescent="0.3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 x14ac:dyDescent="0.35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 x14ac:dyDescent="0.3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 x14ac:dyDescent="0.3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.75" x14ac:dyDescent="0.3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.75" x14ac:dyDescent="0.3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.75" x14ac:dyDescent="0.3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.75" x14ac:dyDescent="0.3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.75" x14ac:dyDescent="0.3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12" workbookViewId="0">
      <selection activeCell="N60" sqref="N6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40</v>
      </c>
      <c r="U4" s="21">
        <f>T4/S4</f>
        <v>0.55555555555555558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5"/>
      <c r="N5" s="25"/>
      <c r="O5" s="51"/>
      <c r="P5" s="61"/>
    </row>
    <row r="6" spans="1:21" ht="15" customHeight="1" x14ac:dyDescent="0.3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 x14ac:dyDescent="0.3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 x14ac:dyDescent="0.3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 x14ac:dyDescent="0.3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 x14ac:dyDescent="0.35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 x14ac:dyDescent="0.3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 x14ac:dyDescent="0.3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 x14ac:dyDescent="0.3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 x14ac:dyDescent="0.3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 x14ac:dyDescent="0.3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 x14ac:dyDescent="0.3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 x14ac:dyDescent="0.3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 x14ac:dyDescent="0.3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 x14ac:dyDescent="0.3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 x14ac:dyDescent="0.3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 x14ac:dyDescent="0.3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 x14ac:dyDescent="0.3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 x14ac:dyDescent="0.3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5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 x14ac:dyDescent="0.3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 x14ac:dyDescent="0.35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 x14ac:dyDescent="0.3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 x14ac:dyDescent="0.3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 x14ac:dyDescent="0.3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 x14ac:dyDescent="0.3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 x14ac:dyDescent="0.3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 x14ac:dyDescent="0.3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 x14ac:dyDescent="0.35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 x14ac:dyDescent="0.3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 x14ac:dyDescent="0.3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 x14ac:dyDescent="0.3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 x14ac:dyDescent="0.3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 x14ac:dyDescent="0.3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 x14ac:dyDescent="0.3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 x14ac:dyDescent="0.35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 x14ac:dyDescent="0.3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 x14ac:dyDescent="0.3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.75" x14ac:dyDescent="0.3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.75" x14ac:dyDescent="0.3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.75" x14ac:dyDescent="0.3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R20" sqref="R2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29</v>
      </c>
      <c r="U4" s="21">
        <f>T4/S4</f>
        <v>0.40277777777777779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 x14ac:dyDescent="0.3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 x14ac:dyDescent="0.3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 x14ac:dyDescent="0.3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 x14ac:dyDescent="0.3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 x14ac:dyDescent="0.3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 x14ac:dyDescent="0.3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 x14ac:dyDescent="0.3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 x14ac:dyDescent="0.3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 x14ac:dyDescent="0.35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.75" x14ac:dyDescent="0.3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topLeftCell="A5" zoomScaleNormal="100" workbookViewId="0">
      <selection activeCell="K56" sqref="K5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15</v>
      </c>
      <c r="U4" s="21">
        <f>T4/S4</f>
        <v>0.20833333333333334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 x14ac:dyDescent="0.3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 x14ac:dyDescent="0.3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 x14ac:dyDescent="0.3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 x14ac:dyDescent="0.35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.75" x14ac:dyDescent="0.3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5" zoomScaleNormal="100" workbookViewId="0">
      <selection activeCell="P9" sqref="P9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7</v>
      </c>
      <c r="U4" s="21">
        <f>T4/S4</f>
        <v>9.7222222222222224E-2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D58" zoomScaleNormal="100" workbookViewId="0">
      <selection activeCell="K70" sqref="K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</v>
      </c>
      <c r="U4" s="21">
        <f>T4/S4</f>
        <v>4.1666666666666664E-2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zoomScaleNormal="100" workbookViewId="0">
      <selection activeCell="L18" sqref="L1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" x14ac:dyDescent="0.2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x14ac:dyDescent="0.3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x14ac:dyDescent="0.3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x14ac:dyDescent="0.3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x14ac:dyDescent="0.3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x14ac:dyDescent="0.3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x14ac:dyDescent="0.3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8DBC-066F-4F5B-9795-79BB00EB71E8}">
  <dimension ref="A1:U207"/>
  <sheetViews>
    <sheetView topLeftCell="A58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D88F2329-931B-4F30-8D04-892CAB8942B3}">
      <formula1>0</formula1>
    </dataValidation>
    <dataValidation type="date" operator="greaterThanOrEqual" allowBlank="1" showInputMessage="1" showErrorMessage="1" sqref="B2:B73 I2:I73 K2:K73 O2:O73" xr:uid="{1EDE78F3-D611-42B6-9704-B52A2B60201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E509FA-28F6-40B5-9CE1-3F9912EA8035}">
          <x14:formula1>
            <xm:f>Inspected!$D$1</xm:f>
          </x14:formula1>
          <xm:sqref>C2:C73</xm:sqref>
        </x14:dataValidation>
        <x14:dataValidation type="list" allowBlank="1" showInputMessage="1" showErrorMessage="1" xr:uid="{15F80CB3-7D25-47B5-ACDA-D29AD4EE9DF8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36C2-C9BC-4A7D-84B9-062E76D5A81F}">
  <dimension ref="A1:U207"/>
  <sheetViews>
    <sheetView topLeftCell="A58" zoomScaleNormal="100" workbookViewId="0">
      <selection activeCell="J62" sqref="J6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B7D4F9E-0DA5-4357-8837-4A7744314485}">
      <formula1>45658</formula1>
    </dataValidation>
    <dataValidation type="whole" operator="greaterThanOrEqual" allowBlank="1" showInputMessage="1" showErrorMessage="1" sqref="A2:A73 D2:H73 J2:J73 L2:L73 P2:P73" xr:uid="{35146323-3E43-42A3-AC6C-8D6E46CE46B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C308D3-B753-4A94-855C-63B5D017354C}">
          <x14:formula1>
            <xm:f>Inspected!$A$1:$A$2</xm:f>
          </x14:formula1>
          <xm:sqref>M2:M73</xm:sqref>
        </x14:dataValidation>
        <x14:dataValidation type="list" allowBlank="1" showInputMessage="1" showErrorMessage="1" xr:uid="{8E5DEB83-26F3-4C73-B1B2-F9BFDF435F52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3834C0-E432-439C-BE5B-793F0CCD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purl.org/dc/terms/"/>
    <ds:schemaRef ds:uri="d5486727-c7ef-48ef-8f67-294a70abf30d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f09d0ae9-c6ff-4e57-bd1f-955be6ad47ac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