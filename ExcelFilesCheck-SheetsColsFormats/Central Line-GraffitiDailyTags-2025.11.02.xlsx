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71" documentId="8_{C52D28C8-DB36-419C-9FE7-06F9832A3641}" xr6:coauthVersionLast="47" xr6:coauthVersionMax="47" xr10:uidLastSave="{6220BD54-9AF8-49F3-9681-01F34C4221F0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<sst xmlns="http://schemas.openxmlformats.org/spreadsheetml/2006/main" count="1263" uniqueCount="113">
  <si>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</si>
  <si>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</si>
  <si>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</si>
  <si>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</si>
  <si>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</si>
  <si>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</si>
  <si>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</si>
  <si>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</si>
  <si>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</si>
  <si>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</si>
  <si>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</si>
  <si>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</si>
  <si>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</si>
  <si>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</si>
  <si>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</si>
  <si>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</si>
  <si>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</si>
  <si>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</si>
  <si>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</si>
  <si>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</si>
  <si>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</si>
  <si>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</si>
  <si>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</si>
  <si>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</si>
  <si>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</si>
  <si>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</si>
  <si>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</si>
  <si>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</si>
  <si>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</si>
  <si>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</si>
  <si>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</si>
  <si>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</si>
  <si>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</si>
  <si>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</si>
  <si>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</si>
  <si>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</si>
  <si>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</si>
  <si>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</si>
  <si>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</si>
  <si>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</si>
  <si>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</si>
  <si>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</si>
  <si>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</si>
  <si>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</si>
  <si>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</si>
  <si>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</si>
  <si>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</si>
  <si>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</si>
  <si>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</si>
  <si>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</si>
  <si>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</si>
  <si>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</si>
  <si>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</si>
  <si>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</si>
  <si>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</si>
  <si>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</si>
  <si>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</si>
  <si>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</si>
  <si>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</si>
  <si>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</si>
  <si>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</si>
  <si>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</si>
  <si>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</si>
  <si>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</si>
  <si>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</si>
  <si>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</si>
  <si>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</si>
  <si>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</si>
  <si>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</si>
  <si>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</si>
  <si>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</si>
  <si>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</si>
  <si>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</si>
  <si>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</si>
  <si>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</si>
  <si>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</si>
  <si>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</si>
  <si>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</si>
  <si>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</si>
  <si>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</si>
  <si>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</si>
  <si>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</si>
  <si>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</si>
  <si>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</si>
  <si>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</si>
  <si>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Achile D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</si>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</sst>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2982E-37FC-40B5-B1FE-9E846A2F5AF5}" name="TagsRA10" displayName="TagsRA10" ref="A1:P341" totalsRowShown="0" headerRowDxfId="199" dataDxfId="198" tableBorderDxfId="197">
  <autoFilter ref="A1:P341" xr:uid="{90991185-A119-4635-9444-D621C29FCDB6}"/>
  <tableColumns count="16">
    <tableColumn id="1" xr3:uid="{E30B3A87-E416-4792-A006-B8ABA190B2DF}" name="Unit No." dataDxfId="196" dataCellStyle="Normal 2"/>
    <tableColumn id="2" xr3:uid="{3580BC53-D7A4-46E2-B727-18A8F111F95E}" name="DATE" dataDxfId="195"/>
    <tableColumn id="3" xr3:uid="{D1257964-32FB-4747-95DD-78DAE5314DF4}" name="Status" dataDxfId="194"/>
    <tableColumn id="4" xr3:uid="{43A45A4D-ECFE-4536-9ACF-4B8D0A6DD3AC}" name="Number of cars affected by graffiti/shadows on this unit" dataDxfId="193"/>
    <tableColumn id="5" xr3:uid="{F34F4992-7B34-4D39-8D2E-1F160E3D20E3}" name="Total Number of Tags found" dataDxfId="192"/>
    <tableColumn id="6" xr3:uid="{FE1DC9D6-434D-48CC-8EF2-5CF3B9686371}" name="Total Tags Removed / Cleaned" dataDxfId="191"/>
    <tableColumn id="7" xr3:uid="{EF9563C5-4371-4826-82EC-BAFCA09226FA}" name="Total Tags Not Cleaned on this Unit" dataDxfId="190"/>
    <tableColumn id="8" xr3:uid="{8FBB4FA1-802B-4D84-B2DF-33C32A1ADD08}" name="Car Number (s)  of Tags not cleaned (shadows)" dataDxfId="189"/>
    <tableColumn id="9" xr3:uid="{A5C1A68F-5D56-4ED1-8CE7-66FEB564879A}" name="Date of 2nd visit to clean remaining tags" dataDxfId="188"/>
    <tableColumn id="10" xr3:uid="{D84FE1BA-854A-46CA-99D7-2C9C6F0BA8D4}" name="Number of tags removed" dataDxfId="187"/>
    <tableColumn id="11" xr3:uid="{CF4955C5-74B8-476D-8090-9B4C12D8C56A}" name="Date of 3rd visit to clean remaining tags" dataDxfId="186"/>
    <tableColumn id="12" xr3:uid="{4F651073-8C5D-41F6-803A-0E12BC157984}" name="Number of tags removed2" dataDxfId="185"/>
    <tableColumn id="13" xr3:uid="{C28181FE-FF23-4AA1-AC61-3C54D623D3E6}" name="Train Inspected and Fit for service    (Y/N)" dataDxfId="184"/>
    <tableColumn id="14" xr3:uid="{96BA73A3-3506-45E4-B231-2D41B3061A05}" name="Inspected by Supervisor/Manager (Name)" dataDxfId="183"/>
    <tableColumn id="15" xr3:uid="{820FE20C-54FB-4729-B616-9CEE2838EB53}" name="Date of Completing all shadows (Tags) on this Unit excluding acid etched shadows" dataDxfId="182"/>
    <tableColumn id="16" xr3:uid="{31D7C142-AA59-42BE-87E3-0AD40E57D885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7A3A34-C4F7-4370-9EEB-93B389F2E892}" name="TagsRA11" displayName="TagsRA11" ref="A1:P341" totalsRowShown="0" headerRowDxfId="180" dataDxfId="179" tableBorderDxfId="178">
  <autoFilter ref="A1:P341" xr:uid="{90991185-A119-4635-9444-D621C29FCDB6}"/>
  <tableColumns count="16">
    <tableColumn id="1" xr3:uid="{777110BD-8E45-4796-9405-B90B64C4661C}" name="Unit No." dataDxfId="177" dataCellStyle="Normal 2"/>
    <tableColumn id="2" xr3:uid="{A8333C61-FD38-4CB5-8539-1E8554DAFA52}" name="DATE" dataDxfId="176"/>
    <tableColumn id="3" xr3:uid="{3662D8B6-077A-47CA-B24E-D0587B5C6991}" name="Status" dataDxfId="175"/>
    <tableColumn id="4" xr3:uid="{D9019BC1-2DE9-4C6E-A125-AE77B02485F2}" name="Number of cars affected by graffiti/shadows on this unit" dataDxfId="174"/>
    <tableColumn id="5" xr3:uid="{64A3129D-D4C7-4696-98D4-17804D4DA2C5}" name="Total Number of Tags found" dataDxfId="173"/>
    <tableColumn id="6" xr3:uid="{D8DFDF1A-1F2F-41D0-AF9A-5B3094B0F60C}" name="Total Tags Removed / Cleaned" dataDxfId="172"/>
    <tableColumn id="7" xr3:uid="{0A6AC117-F43B-4499-9FC2-465935C38B64}" name="Total Tags Not Cleaned on this Unit" dataDxfId="171"/>
    <tableColumn id="8" xr3:uid="{0B490447-05AA-4349-9BF5-8069CD699724}" name="Car Number (s)  of Tags not cleaned (shadows)" dataDxfId="170"/>
    <tableColumn id="9" xr3:uid="{60B8A32A-22A2-4CA7-85F1-710C3CF84CFE}" name="Date of 2nd visit to clean remaining tags" dataDxfId="169"/>
    <tableColumn id="10" xr3:uid="{D9FC57CE-8C4A-411A-B02E-EEE83F171DA0}" name="Number of tags removed" dataDxfId="168"/>
    <tableColumn id="11" xr3:uid="{C11034B4-DF0A-4DE0-904B-D346C1CB501A}" name="Date of 3rd visit to clean remaining tags" dataDxfId="167"/>
    <tableColumn id="12" xr3:uid="{4E0B61ED-50FB-4F03-8FF6-3EAD90FDABD5}" name="Number of tags removed2" dataDxfId="166"/>
    <tableColumn id="13" xr3:uid="{0E480AD8-BFF8-45DC-8156-4C1B3DB28B17}" name="Train Inspected and Fit for service    (Y/N)" dataDxfId="165"/>
    <tableColumn id="14" xr3:uid="{BC8E66F2-B20C-4D07-B515-28D19BE9447D}" name="Inspected by Supervisor/Manager (Name)" dataDxfId="164"/>
    <tableColumn id="15" xr3:uid="{23952D90-2925-4305-81EC-3C426092730C}" name="Date of Completing all shadows (Tags) on this Unit excluding acid etched shadows" dataDxfId="163"/>
    <tableColumn id="16" xr3:uid="{3E0A8F6E-1E02-436B-B419-B68AA02F002D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0A466E-896A-4D25-97F1-50EC5D4BB39F}" name="TagsRA12" displayName="TagsRA12" ref="A1:P341" totalsRowShown="0" headerRowDxfId="161" dataDxfId="160" tableBorderDxfId="159">
  <autoFilter ref="A1:P341" xr:uid="{90991185-A119-4635-9444-D621C29FCDB6}"/>
  <tableColumns count="16">
    <tableColumn id="1" xr3:uid="{12C2B8EF-7CFD-471C-A2A7-D870C4E23B34}" name="Unit No." dataDxfId="158" dataCellStyle="Normal 2"/>
    <tableColumn id="2" xr3:uid="{5CDBB90A-5C9D-4056-8B9E-ADC91C028F92}" name="DATE" dataDxfId="157"/>
    <tableColumn id="3" xr3:uid="{015B32C3-C877-4560-AEE3-24DF5E203391}" name="Status" dataDxfId="156"/>
    <tableColumn id="4" xr3:uid="{6F30192C-1774-4483-A815-2251AED275E7}" name="Number of cars affected by graffiti/shadows on this unit" dataDxfId="155"/>
    <tableColumn id="5" xr3:uid="{A6D03F1B-4C60-4312-9557-7C9672E09D4A}" name="Total Number of Tags found" dataDxfId="154"/>
    <tableColumn id="6" xr3:uid="{ED42834E-8CAF-432B-9AE7-F2033259BB58}" name="Total Tags Removed / Cleaned" dataDxfId="153"/>
    <tableColumn id="7" xr3:uid="{B0B385E1-6896-4391-B0EB-86C44DEBEF36}" name="Total Tags Not Cleaned on this Unit" dataDxfId="152"/>
    <tableColumn id="8" xr3:uid="{020CDE9D-8E73-489D-8AE3-100CE45CA336}" name="Car Number (s)  of Tags not cleaned (shadows)" dataDxfId="151"/>
    <tableColumn id="9" xr3:uid="{89995865-C1D7-4390-AA47-BFD50419EFCF}" name="Date of 2nd visit to clean remaining tags" dataDxfId="150"/>
    <tableColumn id="10" xr3:uid="{64AC65EA-D062-4DB2-87B4-EFC8A7161027}" name="Number of tags removed" dataDxfId="149"/>
    <tableColumn id="11" xr3:uid="{C4521236-3DCF-44A8-8EE3-7E938C9FC53F}" name="Date of 3rd visit to clean remaining tags" dataDxfId="148"/>
    <tableColumn id="12" xr3:uid="{1A74D53E-34A3-4A36-AEAC-B1D4C7ADF72F}" name="Number of tags removed2" dataDxfId="147"/>
    <tableColumn id="13" xr3:uid="{E6A43EE2-99E0-4E5B-909F-9ACAF3C6BE07}" name="Train Inspected and Fit for service    (Y/N)" dataDxfId="146"/>
    <tableColumn id="14" xr3:uid="{BD3473B4-D26C-46B6-9E24-FAB4FC566217}" name="Inspected by Supervisor/Manager (Name)" dataDxfId="145"/>
    <tableColumn id="15" xr3:uid="{72A59A05-82A4-4883-83C3-368720622EAB}" name="Date of Completing all shadows (Tags) on this Unit excluding acid etched shadows" dataDxfId="144"/>
    <tableColumn id="16" xr3:uid="{F1F503FD-C854-4B15-9249-8E10EEA2BCD6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topLeftCell="I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257</v>
      </c>
      <c r="U4" s="53">
        <f>T4/S4*100</f>
        <v>75.588235294117652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8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68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85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>
        <v>45963</v>
      </c>
      <c r="C166" s="16"/>
      <c r="D166" s="52">
        <v>2</v>
      </c>
      <c r="E166" s="52">
        <v>263</v>
      </c>
      <c r="F166" s="52">
        <v>263</v>
      </c>
      <c r="G166" s="52">
        <v>0</v>
      </c>
      <c r="H166" s="52">
        <v>0</v>
      </c>
      <c r="I166" s="60"/>
      <c r="J166" s="52"/>
      <c r="K166" s="60"/>
      <c r="L166" s="52"/>
      <c r="M166" s="52" t="s">
        <v>0</v>
      </c>
      <c r="N166" s="17" t="s">
        <v>20</v>
      </c>
      <c r="O166" s="51">
        <v>45963</v>
      </c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85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85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>
        <v>45963</v>
      </c>
      <c r="C318" s="16"/>
      <c r="D318" s="52">
        <v>2</v>
      </c>
      <c r="E318" s="52">
        <v>187</v>
      </c>
      <c r="F318" s="52">
        <v>187</v>
      </c>
      <c r="G318" s="52">
        <v>0</v>
      </c>
      <c r="H318" s="52">
        <v>0</v>
      </c>
      <c r="I318" s="60"/>
      <c r="J318" s="52"/>
      <c r="K318" s="60"/>
      <c r="L318" s="52"/>
      <c r="M318" s="52" t="s">
        <v>0</v>
      </c>
      <c r="N318" s="17" t="s">
        <v>20</v>
      </c>
      <c r="O318" s="51">
        <v>45963</v>
      </c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A90"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144</v>
      </c>
      <c r="U4" s="53">
        <f>T4/S4*100</f>
        <v>42.352941176470587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 x14ac:dyDescent="0.25">
      <c r="A259" s="55">
        <v>93166</v>
      </c>
      <c r="B259" s="51">
        <v>45963</v>
      </c>
      <c r="C259" s="16"/>
      <c r="D259" s="52">
        <v>1</v>
      </c>
      <c r="E259" s="52">
        <v>13</v>
      </c>
      <c r="F259" s="52">
        <v>13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109</v>
      </c>
      <c r="O259" s="51">
        <v>45963</v>
      </c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 x14ac:dyDescent="0.25">
      <c r="A315" s="55">
        <v>93412</v>
      </c>
      <c r="B315" s="68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85</v>
      </c>
      <c r="O315" s="51">
        <v>45957</v>
      </c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96" workbookViewId="0">
      <selection activeCell="H107" sqref="H107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56</v>
      </c>
      <c r="U4" s="53">
        <f>T4/S4*100</f>
        <v>16.470588235294116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110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>
        <v>45963</v>
      </c>
      <c r="C105" s="16"/>
      <c r="D105" s="52">
        <v>2</v>
      </c>
      <c r="E105" s="52">
        <v>102</v>
      </c>
      <c r="F105" s="52">
        <v>102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45963</v>
      </c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85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>
        <v>45963</v>
      </c>
      <c r="C206" s="16"/>
      <c r="D206" s="52">
        <v>1</v>
      </c>
      <c r="E206" s="52">
        <v>61</v>
      </c>
      <c r="F206" s="52">
        <v>61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111</v>
      </c>
      <c r="O206" s="51">
        <v>45963</v>
      </c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D11" sqref="D11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7</v>
      </c>
      <c r="U4" s="53">
        <f>T4/S4*100</f>
        <v>2.0588235294117645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85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323" workbookViewId="0">
      <selection activeCell="D267" sqref="D267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B2" sqref="B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449B-0A55-4102-89CD-F9F6603D1091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1843E3B-0B1A-45AC-BFEE-A0656089CAC0}">
      <formula1>0</formula1>
    </dataValidation>
    <dataValidation type="date" operator="greaterThanOrEqual" allowBlank="1" showInputMessage="1" showErrorMessage="1" sqref="B2:B341 I2:I341 K2:K341 O2:O341" xr:uid="{AF05B776-F89F-4D34-82F1-D1D6EECE5B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4C98B-6B57-4686-A42A-95D0D2141A53}">
          <x14:formula1>
            <xm:f>Inspected!$A$1:$A$2</xm:f>
          </x14:formula1>
          <xm:sqref>N2:N341</xm:sqref>
        </x14:dataValidation>
        <x14:dataValidation type="list" allowBlank="1" showInputMessage="1" showErrorMessage="1" xr:uid="{D4440B25-C422-4F59-9722-1A2E9A0FFFC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BA81-A7C8-466A-B1A3-8CDB98F431F7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C5237D0-CB13-41D3-A831-25AC26F66CFA}">
      <formula1>45658</formula1>
    </dataValidation>
    <dataValidation type="whole" operator="greaterThanOrEqual" allowBlank="1" showInputMessage="1" showErrorMessage="1" sqref="A2:A341 D2:H341 G1 J2:J341 L2:L341" xr:uid="{AB2A86D9-D360-40D4-9483-78259E3C4B1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D6C475-DCC6-48ED-A697-E758D87216F2}">
          <x14:formula1>
            <xm:f>Inspected!$F$1</xm:f>
          </x14:formula1>
          <xm:sqref>C2:C341</xm:sqref>
        </x14:dataValidation>
        <x14:dataValidation type="list" allowBlank="1" showInputMessage="1" showErrorMessage="1" xr:uid="{525DD40D-6E79-4D7C-8E45-541CFECE70F7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9031-7D3D-46A8-9070-66B0D6771A42}">
  <dimension ref="A1:U341"/>
  <sheetViews>
    <sheetView workbookViewId="0">
      <selection activeCell="N9" sqref="N9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4E462E0D-78E1-4536-827C-324180A6B50E}">
      <formula1>0</formula1>
    </dataValidation>
    <dataValidation type="date" operator="greaterThanOrEqual" allowBlank="1" showInputMessage="1" showErrorMessage="1" sqref="B2:B341 I2:I341 K2:K341 O2:O341" xr:uid="{EF580D74-BEA0-4C2D-A559-D15E040B207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185C9C-3E4D-4330-96FE-102998A28004}">
          <x14:formula1>
            <xm:f>Inspected!$A$1:$A$2</xm:f>
          </x14:formula1>
          <xm:sqref>N2:N341</xm:sqref>
        </x14:dataValidation>
        <x14:dataValidation type="list" allowBlank="1" showInputMessage="1" showErrorMessage="1" xr:uid="{CBDD129C-2339-4485-9432-817C22A0DAE0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schemas.openxmlformats.org/package/2006/metadata/core-properties"/>
    <ds:schemaRef ds:uri="f09d0ae9-c6ff-4e57-bd1f-955be6ad47ac"/>
    <ds:schemaRef ds:uri="http://purl.org/dc/dcmitype/"/>
    <ds:schemaRef ds:uri="http://www.w3.org/XML/1998/namespace"/>
    <ds:schemaRef ds:uri="d5486727-c7ef-48ef-8f67-294a70abf30d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2025-11-05T09:02:28Z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