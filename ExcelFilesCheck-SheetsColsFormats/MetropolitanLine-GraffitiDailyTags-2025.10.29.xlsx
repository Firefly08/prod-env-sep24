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Daily/"/>
    </mc:Choice>
  </mc:AlternateContent>
  <xr:revisionPtr revIDLastSave="240" documentId="13_ncr:1_{A68D24F6-9B64-4EB9-B6EF-402BBEB36B5D}" xr6:coauthVersionLast="47" xr6:coauthVersionMax="47" xr10:uidLastSave="{A2C46120-7FB5-4862-8F63-D2CF813DE808}"/>
  <bookViews>
    <workbookView xWindow="-120" yWindow="-120" windowWidth="29040" windowHeight="15720" firstSheet="7" activeTab="8" xr2:uid="{DF4174D7-3B55-464B-9855-5BF5A90A54C0}"/>
  </bookViews>
  <sheets>
    <sheet name="Metropolitan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14" r:id="rId6"/>
    <sheet name="Repeat Attacks 6" sheetId="6" r:id="rId7"/>
    <sheet name="Repeat Attacks 7" sheetId="7" r:id="rId8"/>
    <sheet name="Repeat Attacks 8" sheetId="8" r:id="rId9"/>
    <sheet name="Repeat Attacks 9" sheetId="9" r:id="rId10"/>
    <sheet name="Repeat Attacks 10" sheetId="15" r:id="rId11"/>
    <sheet name="Repeat Attacks 11" sheetId="16" r:id="rId12"/>
    <sheet name="Repeat Attacks 12" sheetId="17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7" l="1"/>
  <c r="S4" i="17"/>
  <c r="U4" i="17" s="1"/>
  <c r="T4" i="16"/>
  <c r="U4" i="16" s="1"/>
  <c r="S4" i="16"/>
  <c r="T4" i="15"/>
  <c r="U4" i="15" s="1"/>
  <c r="S4" i="15"/>
  <c r="T4" i="14"/>
  <c r="U4" i="14" s="1"/>
  <c r="S4" i="14"/>
  <c r="T4" i="9"/>
  <c r="U4" i="9" s="1"/>
  <c r="S4" i="9"/>
  <c r="T4" i="8"/>
  <c r="U4" i="8" s="1"/>
  <c r="S4" i="8"/>
  <c r="T4" i="7"/>
  <c r="U4" i="7" s="1"/>
  <c r="S4" i="7"/>
  <c r="T4" i="6"/>
  <c r="U4" i="6" s="1"/>
  <c r="S4" i="6"/>
  <c r="T4" i="5"/>
  <c r="U4" i="5" s="1"/>
  <c r="S4" i="5"/>
  <c r="T4" i="4"/>
  <c r="U4" i="4" s="1"/>
  <c r="S4" i="4"/>
  <c r="T4" i="3"/>
  <c r="U4" i="3" s="1"/>
  <c r="S4" i="3"/>
  <c r="T4" i="2"/>
  <c r="U4" i="2" s="1"/>
  <c r="S4" i="2"/>
  <c r="T4" i="1"/>
  <c r="S4" i="1"/>
  <c r="U4" i="1" l="1"/>
</calcChain>
</file>

<file path=xl/sharedStrings.xml><?xml version="1.0" encoding="utf-8"?>
<sst xmlns="http://schemas.openxmlformats.org/spreadsheetml/2006/main" count="333" uniqueCount="25">
  <si>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</si>
  <si>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</si>
  <si>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</si>
  <si>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</si>
  <si>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</si>
  <si>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</si>
  <si>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</si>
  <si>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</si>
  <si>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</si>
  <si>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</si>
  <si>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</si>
  <si>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</si>
  <si>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</si>
  <si>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</si>
  <si>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</si>
  <si>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</si>
  <si>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Total Units Completed</t>
  </si>
  <si>
    <t>Total Trains</t>
  </si>
  <si>
    <t>Total Units</t>
  </si>
  <si>
    <t>Units Compled</t>
  </si>
  <si>
    <t>% Completed</t>
  </si>
  <si>
    <t>Y</t>
  </si>
  <si>
    <t>B Baiceanu</t>
  </si>
  <si>
    <t>Service train</t>
  </si>
  <si>
    <t>B. Baiceanu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</si>
</sst>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rial"/>
      <family val="2"/>
    </font>
    <font>
      <b/>
      <sz val="1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1"/>
      <color indexed="63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9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hidden="1"/>
    </xf>
    <xf numFmtId="0" fontId="3" fillId="3" borderId="2" xfId="0" applyFont="1" applyFill="1" applyBorder="1" applyAlignment="1" applyProtection="1">
      <alignment horizontal="center" vertical="center" wrapText="1"/>
      <protection hidden="1"/>
    </xf>
    <xf numFmtId="0" fontId="3" fillId="4" borderId="2" xfId="0" applyFont="1" applyFill="1" applyBorder="1" applyAlignment="1" applyProtection="1">
      <alignment horizontal="center" vertical="center" wrapText="1"/>
      <protection hidden="1"/>
    </xf>
    <xf numFmtId="0" fontId="3" fillId="5" borderId="3" xfId="0" applyFont="1" applyFill="1" applyBorder="1" applyAlignment="1" applyProtection="1">
      <alignment horizontal="center" vertical="center" wrapText="1"/>
      <protection hidden="1"/>
    </xf>
    <xf numFmtId="0" fontId="3" fillId="6" borderId="3" xfId="0" applyFont="1" applyFill="1" applyBorder="1" applyAlignment="1" applyProtection="1">
      <alignment horizontal="center" vertical="center" wrapText="1"/>
      <protection hidden="1"/>
    </xf>
    <xf numFmtId="0" fontId="3" fillId="4" borderId="3" xfId="0" applyFont="1" applyFill="1" applyBorder="1" applyAlignment="1" applyProtection="1">
      <alignment horizontal="center" vertical="center" wrapText="1"/>
      <protection hidden="1"/>
    </xf>
    <xf numFmtId="0" fontId="3" fillId="4" borderId="4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7" borderId="4" xfId="0" applyFont="1" applyFill="1" applyBorder="1" applyAlignment="1" applyProtection="1">
      <alignment horizontal="center" vertical="center" wrapText="1"/>
      <protection hidden="1"/>
    </xf>
    <xf numFmtId="0" fontId="0" fillId="0" borderId="0" xfId="0" applyAlignment="1">
      <alignment horizontal="left" vertical="top" wrapText="1" indent="1"/>
    </xf>
    <xf numFmtId="164" fontId="5" fillId="0" borderId="4" xfId="0" applyNumberFormat="1" applyFont="1" applyBorder="1" applyAlignment="1" applyProtection="1">
      <alignment horizontal="center" vertical="center"/>
      <protection locked="0"/>
    </xf>
    <xf numFmtId="164" fontId="5" fillId="0" borderId="4" xfId="0" applyNumberFormat="1" applyFont="1" applyBorder="1" applyAlignment="1" applyProtection="1">
      <alignment horizontal="left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14" fontId="5" fillId="0" borderId="4" xfId="0" applyNumberFormat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vertical="center"/>
      <protection locked="0"/>
    </xf>
    <xf numFmtId="0" fontId="0" fillId="0" borderId="11" xfId="0" applyBorder="1" applyAlignment="1">
      <alignment horizontal="left" vertical="top" wrapText="1" indent="1"/>
    </xf>
    <xf numFmtId="0" fontId="0" fillId="8" borderId="4" xfId="0" applyFill="1" applyBorder="1" applyAlignment="1">
      <alignment horizontal="left" vertical="top" wrapText="1" indent="1"/>
    </xf>
    <xf numFmtId="0" fontId="0" fillId="9" borderId="4" xfId="0" applyFill="1" applyBorder="1" applyAlignment="1">
      <alignment horizontal="left" vertical="top" wrapText="1" indent="1"/>
    </xf>
    <xf numFmtId="0" fontId="0" fillId="10" borderId="12" xfId="0" applyFill="1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0" fontId="0" fillId="0" borderId="15" xfId="1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7" borderId="4" xfId="0" applyFont="1" applyFill="1" applyBorder="1" applyAlignment="1" applyProtection="1">
      <alignment horizontal="center" vertical="center"/>
      <protection locked="0"/>
    </xf>
    <xf numFmtId="0" fontId="7" fillId="11" borderId="4" xfId="0" applyFont="1" applyFill="1" applyBorder="1" applyAlignment="1" applyProtection="1">
      <alignment horizontal="center" vertical="center"/>
      <protection hidden="1"/>
    </xf>
    <xf numFmtId="164" fontId="5" fillId="0" borderId="19" xfId="0" applyNumberFormat="1" applyFont="1" applyBorder="1" applyAlignment="1" applyProtection="1">
      <alignment horizontal="center" vertical="center"/>
      <protection locked="0"/>
    </xf>
    <xf numFmtId="164" fontId="5" fillId="0" borderId="19" xfId="0" applyNumberFormat="1" applyFont="1" applyBorder="1" applyAlignment="1" applyProtection="1">
      <alignment horizontal="left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14" fontId="6" fillId="0" borderId="19" xfId="0" applyNumberFormat="1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vertical="center"/>
      <protection locked="0"/>
    </xf>
    <xf numFmtId="1" fontId="4" fillId="7" borderId="6" xfId="0" applyNumberFormat="1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" fontId="4" fillId="7" borderId="13" xfId="0" applyNumberFormat="1" applyFont="1" applyFill="1" applyBorder="1" applyAlignment="1">
      <alignment horizontal="center"/>
    </xf>
    <xf numFmtId="1" fontId="4" fillId="7" borderId="16" xfId="0" applyNumberFormat="1" applyFont="1" applyFill="1" applyBorder="1" applyAlignment="1">
      <alignment horizontal="center"/>
    </xf>
    <xf numFmtId="1" fontId="4" fillId="7" borderId="4" xfId="0" applyNumberFormat="1" applyFont="1" applyFill="1" applyBorder="1" applyAlignment="1">
      <alignment horizontal="center"/>
    </xf>
    <xf numFmtId="1" fontId="4" fillId="7" borderId="14" xfId="0" applyNumberFormat="1" applyFont="1" applyFill="1" applyBorder="1" applyAlignment="1">
      <alignment horizontal="center"/>
    </xf>
    <xf numFmtId="1" fontId="4" fillId="7" borderId="17" xfId="0" applyNumberFormat="1" applyFont="1" applyFill="1" applyBorder="1" applyAlignment="1">
      <alignment horizontal="center"/>
    </xf>
    <xf numFmtId="1" fontId="4" fillId="7" borderId="12" xfId="0" applyNumberFormat="1" applyFont="1" applyFill="1" applyBorder="1" applyAlignment="1">
      <alignment horizontal="center"/>
    </xf>
    <xf numFmtId="1" fontId="4" fillId="7" borderId="18" xfId="0" applyNumberFormat="1" applyFont="1" applyFill="1" applyBorder="1" applyAlignment="1">
      <alignment horizontal="center"/>
    </xf>
    <xf numFmtId="1" fontId="5" fillId="0" borderId="4" xfId="0" applyNumberFormat="1" applyFont="1" applyBorder="1" applyAlignment="1" applyProtection="1">
      <alignment horizontal="center" vertical="center"/>
      <protection locked="0"/>
    </xf>
    <xf numFmtId="1" fontId="6" fillId="0" borderId="19" xfId="0" applyNumberFormat="1" applyFont="1" applyBorder="1" applyAlignment="1" applyProtection="1">
      <alignment horizontal="center" vertical="center"/>
      <protection locked="0"/>
    </xf>
    <xf numFmtId="1" fontId="5" fillId="0" borderId="7" xfId="0" applyNumberFormat="1" applyFont="1" applyBorder="1" applyAlignment="1" applyProtection="1">
      <alignment horizontal="center" vertical="center"/>
      <protection locked="0"/>
    </xf>
    <xf numFmtId="1" fontId="6" fillId="7" borderId="20" xfId="0" applyNumberFormat="1" applyFont="1" applyFill="1" applyBorder="1" applyAlignment="1" applyProtection="1">
      <alignment horizontal="center" vertical="center"/>
      <protection locked="0"/>
    </xf>
    <xf numFmtId="1" fontId="6" fillId="11" borderId="20" xfId="0" applyNumberFormat="1" applyFont="1" applyFill="1" applyBorder="1" applyAlignment="1" applyProtection="1">
      <alignment horizontal="center" vertical="center"/>
      <protection locked="0"/>
    </xf>
    <xf numFmtId="1" fontId="2" fillId="2" borderId="1" xfId="0" applyNumberFormat="1" applyFont="1" applyFill="1" applyBorder="1" applyAlignment="1" applyProtection="1">
      <alignment horizontal="center" vertical="center"/>
      <protection hidden="1"/>
    </xf>
    <xf numFmtId="1" fontId="0" fillId="0" borderId="0" xfId="0" applyNumberFormat="1" applyAlignment="1">
      <alignment horizontal="left" vertical="top" wrapText="1" indent="1"/>
    </xf>
    <xf numFmtId="1" fontId="3" fillId="4" borderId="2" xfId="0" applyNumberFormat="1" applyFont="1" applyFill="1" applyBorder="1" applyAlignment="1" applyProtection="1">
      <alignment horizontal="center" vertical="center" wrapText="1"/>
      <protection hidden="1"/>
    </xf>
    <xf numFmtId="0" fontId="0" fillId="0" borderId="8" xfId="0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3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85A389-B6F7-470C-AA91-6FB3DD16320D}" name="TagsRA0" displayName="TagsRA0" ref="A1:P119" totalsRowShown="0" headerRowDxfId="233" tableBorderDxfId="232">
  <autoFilter ref="A1:P119" xr:uid="{4D85A389-B6F7-470C-AA91-6FB3DD16320D}"/>
  <tableColumns count="16">
    <tableColumn id="1" xr3:uid="{0E424CA6-5D03-491A-BAA3-FB3A6A225152}" name="Unit No." dataDxfId="231"/>
    <tableColumn id="2" xr3:uid="{39827857-BED2-4C08-A188-9A5615C37B85}" name="DATE" dataDxfId="230"/>
    <tableColumn id="3" xr3:uid="{89F24AD6-F189-4770-AE72-D16439F6CB66}" name="Status" dataDxfId="229"/>
    <tableColumn id="4" xr3:uid="{8D8BD4E3-5ECC-4FE2-B9B0-D5FA0E7E1066}" name="Number of cars affected by graffiti/shadows on this unit" dataDxfId="228"/>
    <tableColumn id="5" xr3:uid="{A70B24A6-37A8-4DE7-9E46-39CF8438073A}" name="Total Number of Tags found" dataDxfId="227"/>
    <tableColumn id="6" xr3:uid="{DB40C1DC-92C2-4925-B69F-8071FE051E09}" name="Total Tags Removed / Cleaned" dataDxfId="226"/>
    <tableColumn id="7" xr3:uid="{79E802CE-CDF7-473B-883D-5281873D1424}" name="Total Tags Not Cleaned on this Unit" dataDxfId="225"/>
    <tableColumn id="8" xr3:uid="{DE42A640-2A4A-49AE-BEE9-4B32D0F17A95}" name="Car Number (s)  of Tags not cleaned (shadows)" dataDxfId="224"/>
    <tableColumn id="9" xr3:uid="{7503481E-EF5D-4B66-BFC9-FFF8CF3B0022}" name="Date of 2nd visit to clean remaining tags" dataDxfId="223"/>
    <tableColumn id="10" xr3:uid="{BFD3FB9F-A199-4B31-900F-00D65C2FB184}" name="Number of tags removed" dataDxfId="222"/>
    <tableColumn id="11" xr3:uid="{CC3437A1-0133-4889-9A46-2D5DA16F1781}" name="Date of 3rd visit to clean remaining tags" dataDxfId="221"/>
    <tableColumn id="12" xr3:uid="{53D19E99-0245-499A-832F-1C0A7676020D}" name="Number of tags removed2" dataDxfId="220"/>
    <tableColumn id="13" xr3:uid="{82897E78-E3E0-4B8A-A258-A65951EEC113}" name="Train Inspected and Fit for service    (Y/N)" dataDxfId="219"/>
    <tableColumn id="14" xr3:uid="{F6A9607C-DDAC-434D-B0EE-30916E27A429}" name="Inspected by Supervisor/Manager (Name)" dataDxfId="218"/>
    <tableColumn id="15" xr3:uid="{82017BF6-728A-4C06-A971-92006D701844}" name="Date of Completing all shadows (Tags) on this Unit excluding acid etched shadows" dataDxfId="217"/>
    <tableColumn id="16" xr3:uid="{C88C8AE1-9694-41A0-B53E-CE9729B38684}" name="Car Number (s)  of Tags not cleaned due to acid etched shadows" dataDxfId="2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E340C1-CA21-4BCB-9602-DE63609D1DAD}" name="TagsRA1" displayName="TagsRA1" ref="A1:P119" totalsRowShown="0" headerRowDxfId="215" tableBorderDxfId="214">
  <autoFilter ref="A1:P119" xr:uid="{EEE340C1-CA21-4BCB-9602-DE63609D1DAD}"/>
  <tableColumns count="16">
    <tableColumn id="1" xr3:uid="{6566560E-AD35-4364-8DDB-1077C5921C4B}" name="Unit No." dataDxfId="213"/>
    <tableColumn id="2" xr3:uid="{DEED7B34-25B6-4B0A-87D9-0CFC0AAF6929}" name="DATE" dataDxfId="212"/>
    <tableColumn id="3" xr3:uid="{4A3A7CA1-B0DB-4DA8-B260-10DB96023BE5}" name="Status" dataDxfId="211"/>
    <tableColumn id="4" xr3:uid="{039E5B9C-5E07-4D8E-84A7-CCD90B11E0DD}" name="Number of cars affected by graffiti/shadows on this unit" dataDxfId="210"/>
    <tableColumn id="5" xr3:uid="{F3DB0B24-EE7B-438A-93BF-1C66D1D0BCCE}" name="Total Number of Tags found" dataDxfId="209"/>
    <tableColumn id="6" xr3:uid="{2B7E2D8A-643F-4DE9-8E64-C037FE8B74C6}" name="Total Tags Removed / Cleaned" dataDxfId="208"/>
    <tableColumn id="7" xr3:uid="{243AAFCE-20E2-498E-9C6B-9673A3D986CC}" name="Total Tags Not Cleaned on this Unit" dataDxfId="207"/>
    <tableColumn id="8" xr3:uid="{0B2A39DB-6C5D-4822-B850-2E9D7DB6D33C}" name="Car Number (s)  of Tags not cleaned (shadows)" dataDxfId="206"/>
    <tableColumn id="9" xr3:uid="{5C553884-0F97-46E2-BFDF-032EF46A26A3}" name="Date of 2nd visit to clean remaining tags" dataDxfId="205"/>
    <tableColumn id="10" xr3:uid="{DB6DD5F6-F146-40EB-B693-9921F7DA3789}" name="Number of tags removed" dataDxfId="204"/>
    <tableColumn id="11" xr3:uid="{9CB0B4C6-A05B-4E36-BD6B-307B102AD4B5}" name="Date of 3rd visit to clean remaining tags" dataDxfId="203"/>
    <tableColumn id="12" xr3:uid="{076B8247-22E0-4E28-A01F-E0573FF32FD1}" name="Number of tags removed2" dataDxfId="202"/>
    <tableColumn id="13" xr3:uid="{A5E94A4E-ACC0-4EE1-9689-C569DD9A2520}" name="Train Inspected and Fit for service    (Y/N)" dataDxfId="201"/>
    <tableColumn id="14" xr3:uid="{399BC086-46C5-4763-B142-2429532A5011}" name="Inspected by Supervisor/Manager (Name)" dataDxfId="200"/>
    <tableColumn id="15" xr3:uid="{42745953-5259-4477-9876-3F17CB4B8C58}" name="Date of Completing all shadows (Tags) on this Unit excluding acid etched shadows" dataDxfId="199"/>
    <tableColumn id="16" xr3:uid="{8656EBA0-853C-4423-8F39-BFA55044620B}" name="Car Number (s)  of Tags not cleaned due to acid etched shadows" dataDxfId="19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2BFD8-C2A6-4B9B-9AFB-A51B22CFAC7F}" name="TagsRA2" displayName="TagsRA2" ref="A1:P119" totalsRowShown="0" headerRowDxfId="197" tableBorderDxfId="196">
  <autoFilter ref="A1:P119" xr:uid="{98A2BFD8-C2A6-4B9B-9AFB-A51B22CFAC7F}"/>
  <tableColumns count="16">
    <tableColumn id="1" xr3:uid="{6F863B0D-0775-421A-AAC1-6C0151771B53}" name="Unit No." dataDxfId="195"/>
    <tableColumn id="2" xr3:uid="{AE01CB81-55CD-4761-8307-C3B486749238}" name="DATE" dataDxfId="194"/>
    <tableColumn id="3" xr3:uid="{DB06CD3C-8221-4F8F-A83C-5C3064EA0AD8}" name="Status" dataDxfId="193"/>
    <tableColumn id="4" xr3:uid="{B31C15A1-E92A-4CF6-B629-C91870A5E47E}" name="Number of cars affected by graffiti/shadows on this unit" dataDxfId="192"/>
    <tableColumn id="5" xr3:uid="{F3D7E630-6F3D-4752-9EA0-FC099AA6E3FA}" name="Total Number of Tags found" dataDxfId="191"/>
    <tableColumn id="6" xr3:uid="{E053E333-49EC-4C83-A69C-310BEC57BA9A}" name="Total Tags Removed / Cleaned" dataDxfId="190"/>
    <tableColumn id="7" xr3:uid="{7D2AA36C-13B4-4D7A-9476-373EC9217FB7}" name="Total Tags Not Cleaned on this Unit" dataDxfId="189"/>
    <tableColumn id="8" xr3:uid="{60896E94-48E2-4FE0-9DF4-FD418E087EA1}" name="Car Number (s)  of Tags not cleaned (shadows)" dataDxfId="188"/>
    <tableColumn id="9" xr3:uid="{9DB4E168-C5CA-4576-B365-53F31370EE83}" name="Date of 2nd visit to clean remaining tags" dataDxfId="187"/>
    <tableColumn id="10" xr3:uid="{25258EDC-EB5D-48AD-A510-49D903DDFB63}" name="Number of tags removed" dataDxfId="186"/>
    <tableColumn id="11" xr3:uid="{BB27E88A-49D8-4042-AA5C-5D0A6529C9D3}" name="Date of 3rd visit to clean remaining tags" dataDxfId="185"/>
    <tableColumn id="12" xr3:uid="{FAFD2537-4304-4DE3-B573-099DDD579AF6}" name="Number of tags removed2" dataDxfId="184"/>
    <tableColumn id="13" xr3:uid="{82B65385-975C-422F-93E8-96EB2E8C9F9D}" name="Train Inspected and Fit for service    (Y/N)" dataDxfId="183"/>
    <tableColumn id="14" xr3:uid="{ECE1DBF4-A846-40D7-987C-70A03B541028}" name="Inspected by Supervisor/Manager (Name)" dataDxfId="182"/>
    <tableColumn id="15" xr3:uid="{764641CF-E847-48B8-A50E-4AE7B2B312C6}" name="Date of Completing all shadows (Tags) on this Unit excluding acid etched shadows" dataDxfId="181"/>
    <tableColumn id="16" xr3:uid="{3106B243-446D-4AE9-9C0A-CE597100C1BA}" name="Car Number (s)  of Tags not cleaned due to acid etched shadows" dataDxfId="18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B0C8A1B-CDA6-4D2C-B6D8-90005CBF0551}" name="TagsRA3" displayName="TagsRA3" ref="A1:P119" totalsRowShown="0" headerRowDxfId="179" tableBorderDxfId="178">
  <autoFilter ref="A1:P119" xr:uid="{8B0C8A1B-CDA6-4D2C-B6D8-90005CBF0551}"/>
  <tableColumns count="16">
    <tableColumn id="1" xr3:uid="{01764F17-A2C3-4F0F-9073-B3332A7AD677}" name="Unit No." dataDxfId="177"/>
    <tableColumn id="2" xr3:uid="{BF2F6213-EE28-40B9-80D3-315FDE60ABD2}" name="DATE" dataDxfId="176"/>
    <tableColumn id="3" xr3:uid="{FCC11C1D-E758-491C-8FE7-DE10E97671A2}" name="Status" dataDxfId="175"/>
    <tableColumn id="4" xr3:uid="{FC5BAFCA-F621-4B7F-B779-DFB253CF9B7D}" name="Number of cars affected by graffiti/shadows on this unit" dataDxfId="174"/>
    <tableColumn id="5" xr3:uid="{BA79C06B-340B-40FD-8490-304A03243E8C}" name="Total Number of Tags found" dataDxfId="173"/>
    <tableColumn id="6" xr3:uid="{BD111091-D97E-486E-901B-1FA395DC7E24}" name="Total Tags Removed / Cleaned" dataDxfId="172"/>
    <tableColumn id="7" xr3:uid="{60434BC5-3FDB-4AE6-9BC9-32C167185293}" name="Total Tags Not Cleaned on this Unit" dataDxfId="171"/>
    <tableColumn id="8" xr3:uid="{F952FE2B-B22B-4166-9C04-13AF3B859FAD}" name="Car Number (s)  of Tags not cleaned (shadows)" dataDxfId="170"/>
    <tableColumn id="9" xr3:uid="{CD4E8983-EE09-4BD0-8632-E48A18FE31CD}" name="Date of 2nd visit to clean remaining tags" dataDxfId="169"/>
    <tableColumn id="10" xr3:uid="{C331A495-53C1-405B-9A4C-525FAA9375AD}" name="Number of tags removed" dataDxfId="168"/>
    <tableColumn id="11" xr3:uid="{FF184272-B441-44F2-8C53-545043BDB439}" name="Date of 3rd visit to clean remaining tags" dataDxfId="167"/>
    <tableColumn id="12" xr3:uid="{3CE6E3D6-B24C-4D6A-A32B-E012EAE5D5C2}" name="Number of tags removed2" dataDxfId="166"/>
    <tableColumn id="13" xr3:uid="{8B206884-5249-4156-BD90-EEFEC4C53D90}" name="Train Inspected and Fit for service    (Y/N)" dataDxfId="165"/>
    <tableColumn id="14" xr3:uid="{4589F9CA-03A0-4E36-BB19-6E579376A14A}" name="Inspected by Supervisor/Manager (Name)" dataDxfId="164"/>
    <tableColumn id="15" xr3:uid="{CD50E974-79FD-4E8A-AAC4-AB36F1ADBB58}" name="Date of Completing all shadows (Tags) on this Unit excluding acid etched shadows" dataDxfId="163"/>
    <tableColumn id="16" xr3:uid="{E8E5D8E9-3F2A-4C8B-9AEE-9D59199C34B2}" name="Car Number (s)  of Tags not cleaned due to acid etched shadows" dataDxfId="1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4AD18AB-AFE7-4EA6-BAFC-D86A2B8B0977}" name="TagsRA4" displayName="TagsRA4" ref="A1:P119" totalsRowShown="0" headerRowDxfId="161" tableBorderDxfId="160">
  <autoFilter ref="A1:P119" xr:uid="{24AD18AB-AFE7-4EA6-BAFC-D86A2B8B0977}"/>
  <tableColumns count="16">
    <tableColumn id="1" xr3:uid="{D68556A4-1E55-4E77-96A3-2AC329093DB0}" name="Unit No." dataDxfId="159"/>
    <tableColumn id="2" xr3:uid="{B6A4CB03-749F-4619-9EC3-E29657D4005A}" name="DATE" dataDxfId="158"/>
    <tableColumn id="3" xr3:uid="{50AE72E7-5A71-4394-B547-DF65B9A0C6F6}" name="Status" dataDxfId="157"/>
    <tableColumn id="4" xr3:uid="{C203BE49-0C84-488A-BB56-197478FCF658}" name="Number of cars affected by graffiti/shadows on this unit" dataDxfId="156"/>
    <tableColumn id="5" xr3:uid="{B6B0CF71-C7CC-42B4-AAEA-5D9F7E9D3DFA}" name="Total Number of Tags found" dataDxfId="155"/>
    <tableColumn id="6" xr3:uid="{421A4E70-E573-4741-9B52-E6868C2E6FF0}" name="Total Tags Removed / Cleaned" dataDxfId="154"/>
    <tableColumn id="7" xr3:uid="{27B19B25-0298-4858-AF7C-FB785B6CDC69}" name="Total Tags Not Cleaned on this Unit" dataDxfId="153"/>
    <tableColumn id="8" xr3:uid="{26B591CE-FF33-44EB-87CC-C0FA59650F8E}" name="Car Number (s)  of Tags not cleaned (shadows)" dataDxfId="152"/>
    <tableColumn id="9" xr3:uid="{D9E4AF3D-B956-4D3C-BC84-FBEB6279F359}" name="Date of 2nd visit to clean remaining tags" dataDxfId="151"/>
    <tableColumn id="10" xr3:uid="{98616A59-EC8E-4C82-B2DF-E33E36170CD6}" name="Number of tags removed" dataDxfId="150"/>
    <tableColumn id="11" xr3:uid="{008FA211-C793-40E0-9488-DD4869CCEF52}" name="Date of 3rd visit to clean remaining tags" dataDxfId="149"/>
    <tableColumn id="12" xr3:uid="{A56DFBD7-B535-41C4-B96F-B9F5CFC4B8F0}" name="Number of tags removed2" dataDxfId="148"/>
    <tableColumn id="13" xr3:uid="{0E3074F3-8C07-4380-B29A-F923E8706A78}" name="Train Inspected and Fit for service    (Y/N)" dataDxfId="147"/>
    <tableColumn id="14" xr3:uid="{74D25DEF-DA84-4199-B6D5-8EC55001C6AD}" name="Inspected by Supervisor/Manager (Name)" dataDxfId="146"/>
    <tableColumn id="15" xr3:uid="{5D1CFC03-423B-4682-9EA9-E759BB647C05}" name="Date of Completing all shadows (Tags) on this Unit excluding acid etched shadows" dataDxfId="145"/>
    <tableColumn id="16" xr3:uid="{9F4C85CB-36D0-4C3C-B53A-0DF3A579ABAD}" name="Car Number (s)  of Tags not cleaned due to acid etched shadows" dataDxfId="14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1F7C176-6486-40EF-9658-99F5933452B3}" name="TagsRA5" displayName="TagsRA5" ref="A1:P119" totalsRowShown="0" headerRowDxfId="143" tableBorderDxfId="142">
  <autoFilter ref="A1:P119" xr:uid="{51F7C176-6486-40EF-9658-99F5933452B3}"/>
  <tableColumns count="16">
    <tableColumn id="1" xr3:uid="{A08C04D5-121F-417E-8347-47B7DBE98101}" name="Unit No." dataDxfId="141"/>
    <tableColumn id="2" xr3:uid="{B03CCFAB-9FB0-46D3-A291-6CB2E49081D9}" name="DATE" dataDxfId="140"/>
    <tableColumn id="3" xr3:uid="{0D772617-4591-430E-8FFF-A963020536B5}" name="Status" dataDxfId="139"/>
    <tableColumn id="4" xr3:uid="{748FCA40-A17F-4239-80C1-4808D8B7D867}" name="Number of cars affected by graffiti/shadows on this unit" dataDxfId="138"/>
    <tableColumn id="5" xr3:uid="{3D47748F-5AA7-4A55-8153-A689732530E1}" name="Total Number of Tags found" dataDxfId="137"/>
    <tableColumn id="6" xr3:uid="{46920DA4-D592-43C6-AC03-8368E5177C1C}" name="Total Tags Removed / Cleaned" dataDxfId="136"/>
    <tableColumn id="7" xr3:uid="{7FA08BF7-DF8B-44CD-AE9A-BE51EE584B2A}" name="Total Tags Not Cleaned on this Unit" dataDxfId="135"/>
    <tableColumn id="8" xr3:uid="{86A22C67-3059-4973-BF85-4B269A9F1820}" name="Car Number (s)  of Tags not cleaned (shadows)" dataDxfId="134"/>
    <tableColumn id="9" xr3:uid="{EE9A36C9-2E66-4C13-AF68-87B9D6616D98}" name="Date of 2nd visit to clean remaining tags" dataDxfId="133"/>
    <tableColumn id="10" xr3:uid="{639D0861-ECE8-43D8-A806-5AD4C66B6A54}" name="Number of tags removed" dataDxfId="132"/>
    <tableColumn id="11" xr3:uid="{2D0453B3-C316-482B-A46C-51E9F0E4AAFF}" name="Date of 3rd visit to clean remaining tags" dataDxfId="131"/>
    <tableColumn id="12" xr3:uid="{7794B145-A7EF-40F4-B696-9176D51D7A05}" name="Number of tags removed2" dataDxfId="130"/>
    <tableColumn id="13" xr3:uid="{0E3A8AE0-5AF6-44B1-BEF9-5D5AFD68681C}" name="Train Inspected and Fit for service    (Y/N)" dataDxfId="129"/>
    <tableColumn id="14" xr3:uid="{17D95262-EDD1-4998-8E15-25A2F85165A8}" name="Inspected by Supervisor/Manager (Name)" dataDxfId="128"/>
    <tableColumn id="15" xr3:uid="{F57497C5-5A06-4369-A41E-BDA393E47E5B}" name="Date of Completing all shadows (Tags) on this Unit excluding acid etched shadows" dataDxfId="127"/>
    <tableColumn id="16" xr3:uid="{4E3BA9AC-E59E-45EB-9951-C0EE04E6D59C}" name="Car Number (s)  of Tags not cleaned due to acid etched shadows" dataDxfId="12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FB96D3B-DA16-4C4E-BB81-67B22C7D412D}" name="TagsRA6" displayName="TagsRA6" ref="A1:P119" totalsRowShown="0" headerRowDxfId="125" tableBorderDxfId="124">
  <autoFilter ref="A1:P119" xr:uid="{BFB96D3B-DA16-4C4E-BB81-67B22C7D412D}"/>
  <tableColumns count="16">
    <tableColumn id="1" xr3:uid="{82003F78-BD46-46ED-BCE3-0DB083C1D00E}" name="Unit No." dataDxfId="123"/>
    <tableColumn id="2" xr3:uid="{2C69EB37-453F-45ED-AA9B-256B00097B2E}" name="DATE" dataDxfId="122"/>
    <tableColumn id="3" xr3:uid="{03D68963-700E-4D5C-A839-75128D66D496}" name="Status" dataDxfId="121"/>
    <tableColumn id="4" xr3:uid="{BB966441-4DAF-4274-9346-F2ADBA529130}" name="Number of cars affected by graffiti/shadows on this unit" dataDxfId="120"/>
    <tableColumn id="5" xr3:uid="{F607A392-4C50-4F97-942D-3CF93FA578BB}" name="Total Number of Tags found" dataDxfId="119"/>
    <tableColumn id="6" xr3:uid="{538930D3-F8C4-43F2-9D92-F5A4F198F816}" name="Total Tags Removed / Cleaned" dataDxfId="118"/>
    <tableColumn id="7" xr3:uid="{9575E580-5A9A-42F0-998F-9EA7FC6C35E4}" name="Total Tags Not Cleaned on this Unit" dataDxfId="117"/>
    <tableColumn id="8" xr3:uid="{A5E3284A-6E84-46F2-8207-FCD6F386BF8D}" name="Car Number (s)  of Tags not cleaned (shadows)" dataDxfId="116"/>
    <tableColumn id="9" xr3:uid="{39D8F059-CA9D-4FC0-8198-F863B7FD641D}" name="Date of 2nd visit to clean remaining tags" dataDxfId="115"/>
    <tableColumn id="10" xr3:uid="{0A56C601-A5CA-45C0-920B-F1671BC2D272}" name="Number of tags removed" dataDxfId="114"/>
    <tableColumn id="11" xr3:uid="{6129A61A-71E8-4FEC-875E-C2F0D49B6B49}" name="Date of 3rd visit to clean remaining tags" dataDxfId="113"/>
    <tableColumn id="12" xr3:uid="{9B75E66C-7E3F-4868-ADBB-7A34B576897B}" name="Number of tags removed2" dataDxfId="112"/>
    <tableColumn id="13" xr3:uid="{64832B79-0F11-473E-A55C-749D1B4021A7}" name="Train Inspected and Fit for service    (Y/N)" dataDxfId="111"/>
    <tableColumn id="14" xr3:uid="{01C5A53F-9B38-4076-8F1C-B6B2BF429E13}" name="Inspected by Supervisor/Manager (Name)" dataDxfId="110"/>
    <tableColumn id="15" xr3:uid="{007D6F7A-91CF-4AA1-AFD6-9731E236E822}" name="Date of Completing all shadows (Tags) on this Unit excluding acid etched shadows" dataDxfId="109"/>
    <tableColumn id="16" xr3:uid="{B68145C0-A78B-4C8D-AB45-FD6D1A9A4FEC}" name="Car Number (s)  of Tags not cleaned due to acid etched shadows" dataDxfId="108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2F493719-5AA3-4689-8727-0EC18061EA4B}" name="TagsRA7" displayName="TagsRA7" ref="A1:P119" totalsRowShown="0" headerRowDxfId="107" tableBorderDxfId="106">
  <autoFilter ref="A1:P119" xr:uid="{2F493719-5AA3-4689-8727-0EC18061EA4B}"/>
  <tableColumns count="16">
    <tableColumn id="1" xr3:uid="{CB3A7BDA-1201-4C57-B234-11E74A5E46BD}" name="Unit No." dataDxfId="105"/>
    <tableColumn id="2" xr3:uid="{51089205-48B1-475F-8BA0-40412ACE6F8D}" name="DATE" dataDxfId="104"/>
    <tableColumn id="3" xr3:uid="{35B139E1-28E3-44B5-827F-ADDDBD581637}" name="Status" dataDxfId="103"/>
    <tableColumn id="4" xr3:uid="{E60ACFA6-6CF6-41AA-A220-44611A2EEEE7}" name="Number of cars affected by graffiti/shadows on this unit" dataDxfId="102"/>
    <tableColumn id="5" xr3:uid="{297E40BF-95C6-456C-A171-D70C4CF51922}" name="Total Number of Tags found" dataDxfId="101"/>
    <tableColumn id="6" xr3:uid="{6EB24E16-B4B3-4B90-824D-F1241904B48F}" name="Total Tags Removed / Cleaned" dataDxfId="100"/>
    <tableColumn id="7" xr3:uid="{A16F9E5C-46C0-41C2-9C33-46EE1EA1420C}" name="Total Tags Not Cleaned on this Unit" dataDxfId="99"/>
    <tableColumn id="8" xr3:uid="{B5F826FA-ED67-403E-B87C-8642B903714B}" name="Car Number (s)  of Tags not cleaned (shadows)" dataDxfId="98"/>
    <tableColumn id="9" xr3:uid="{379789D6-55B4-48E1-8397-8E0334895635}" name="Date of 2nd visit to clean remaining tags" dataDxfId="97"/>
    <tableColumn id="10" xr3:uid="{F78A8E09-B850-4446-A836-36D171DF76B3}" name="Number of tags removed" dataDxfId="96"/>
    <tableColumn id="11" xr3:uid="{02D87797-7BC6-4D71-B630-64271C118934}" name="Date of 3rd visit to clean remaining tags" dataDxfId="95"/>
    <tableColumn id="12" xr3:uid="{EB8AD5C6-0052-4059-9CB5-4EC1CDFA0C47}" name="Number of tags removed2" dataDxfId="94"/>
    <tableColumn id="13" xr3:uid="{8F1352B2-212F-4996-B52D-0547FBEA5DE1}" name="Train Inspected and Fit for service    (Y/N)" dataDxfId="93"/>
    <tableColumn id="14" xr3:uid="{A92B0210-1A82-43D5-91F1-3EAA4D59F7D0}" name="Inspected by Supervisor/Manager (Name)" dataDxfId="92"/>
    <tableColumn id="15" xr3:uid="{54041CD7-6AF6-408B-A4F8-9A25363FFFCC}" name="Date of Completing all shadows (Tags) on this Unit excluding acid etched shadows" dataDxfId="91"/>
    <tableColumn id="16" xr3:uid="{110C845D-4F26-40B8-B4DF-14C874A3880B}" name="Car Number (s)  of Tags not cleaned due to acid etched shadows" dataDxfId="90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EFB8CCC-CB64-474E-A397-93166B165300}" name="TagsRA8" displayName="TagsRA8" ref="A1:P119" totalsRowShown="0" headerRowDxfId="89" tableBorderDxfId="88">
  <autoFilter ref="A1:P119" xr:uid="{1EFB8CCC-CB64-474E-A397-93166B165300}"/>
  <tableColumns count="16">
    <tableColumn id="1" xr3:uid="{59D54512-466B-4BA7-B8EE-038C9ADB3FB7}" name="Unit No." dataDxfId="87"/>
    <tableColumn id="2" xr3:uid="{5687B15F-91D6-4FD0-94CB-1D51B8297BC7}" name="DATE" dataDxfId="86"/>
    <tableColumn id="3" xr3:uid="{B7FE8D16-B991-4D91-9B2E-8E1AF7DBA0F9}" name="Status" dataDxfId="85"/>
    <tableColumn id="4" xr3:uid="{789A980D-B965-45AD-BD00-42D6D36855AD}" name="Number of cars affected by graffiti/shadows on this unit" dataDxfId="84"/>
    <tableColumn id="5" xr3:uid="{E4681A34-C77E-40AB-9577-7BDBC5A75E7B}" name="Total Number of Tags found" dataDxfId="83"/>
    <tableColumn id="6" xr3:uid="{AEF0D3BD-2183-4FF1-8035-AA6EB9DA27A5}" name="Total Tags Removed / Cleaned" dataDxfId="82"/>
    <tableColumn id="7" xr3:uid="{9E58F25B-9F22-4B9F-A3FE-ABA10E4B180B}" name="Total Tags Not Cleaned on this Unit" dataDxfId="81"/>
    <tableColumn id="8" xr3:uid="{6CF1A002-7223-47CF-8D58-D052869C2A22}" name="Car Number (s)  of Tags not cleaned (shadows)" dataDxfId="80"/>
    <tableColumn id="9" xr3:uid="{DFA83FD4-C1F7-4F52-8F1A-37A389F41C47}" name="Date of 2nd visit to clean remaining tags" dataDxfId="79"/>
    <tableColumn id="10" xr3:uid="{531596DD-597C-4746-ACD9-4B0355D0A0EE}" name="Number of tags removed" dataDxfId="78"/>
    <tableColumn id="11" xr3:uid="{D372ED4F-EC2B-47BB-A745-37B97A077AC1}" name="Date of 3rd visit to clean remaining tags" dataDxfId="77"/>
    <tableColumn id="12" xr3:uid="{2373F59F-A1B1-4361-9C77-E8C0BE4848BD}" name="Number of tags removed2" dataDxfId="76"/>
    <tableColumn id="13" xr3:uid="{64764C42-0CD5-457B-99F2-AD7B6D350CFB}" name="Train Inspected and Fit for service    (Y/N)" dataDxfId="75"/>
    <tableColumn id="14" xr3:uid="{94308105-6F80-4FEF-A825-6EBCFF27ABDE}" name="Inspected by Supervisor/Manager (Name)" dataDxfId="74"/>
    <tableColumn id="15" xr3:uid="{BB715B72-F1F9-4719-8B9C-8FBB0D7CF4DC}" name="Date of Completing all shadows (Tags) on this Unit excluding acid etched shadows" dataDxfId="73"/>
    <tableColumn id="16" xr3:uid="{76A26307-873D-427D-AB06-F8CDC3CD7EBE}" name="Car Number (s)  of Tags not cleaned due to acid etched shadows" dataDxfId="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7C3E877-C963-490B-AC1A-8F3B57CF322E}" name="TagsRA9" displayName="TagsRA9" ref="A1:P119" totalsRowShown="0" headerRowDxfId="71" tableBorderDxfId="70">
  <autoFilter ref="A1:P119" xr:uid="{87C3E877-C963-490B-AC1A-8F3B57CF322E}"/>
  <tableColumns count="16">
    <tableColumn id="1" xr3:uid="{4536E5C9-3D97-45C4-BA94-CB254C2E2C79}" name="Unit No." dataDxfId="69"/>
    <tableColumn id="2" xr3:uid="{6D91041D-5C30-43E7-84BB-95DC6630F058}" name="DATE" dataDxfId="68"/>
    <tableColumn id="3" xr3:uid="{1EEAEE8F-31B1-4FEE-9158-99575B6DB4E7}" name="Status" dataDxfId="67"/>
    <tableColumn id="4" xr3:uid="{E4BA52EA-E7A2-4257-B047-AFDB7B66220F}" name="Number of cars affected by graffiti/shadows on this unit" dataDxfId="66"/>
    <tableColumn id="5" xr3:uid="{A20D4803-E685-4519-A506-41EA4798B866}" name="Total Number of Tags found" dataDxfId="65"/>
    <tableColumn id="6" xr3:uid="{1CD392FF-A61C-4EA1-9852-0D7645859254}" name="Total Tags Removed / Cleaned" dataDxfId="64"/>
    <tableColumn id="7" xr3:uid="{07427149-8C88-4CC8-9F06-F6E626B0261E}" name="Total Tags Not Cleaned on this Unit" dataDxfId="63"/>
    <tableColumn id="8" xr3:uid="{6C87C6C9-2353-4CAC-9DDF-FC94A432C251}" name="Car Number (s)  of Tags not cleaned (shadows)" dataDxfId="62"/>
    <tableColumn id="9" xr3:uid="{BA9EAD9F-66E5-4220-A274-B1734D676BAE}" name="Date of 2nd visit to clean remaining tags" dataDxfId="61"/>
    <tableColumn id="10" xr3:uid="{1D56B4C0-CC57-4035-884D-E97BE15FA516}" name="Number of tags removed" dataDxfId="60"/>
    <tableColumn id="11" xr3:uid="{497A372E-FA15-4392-8C7E-0C290E99D864}" name="Date of 3rd visit to clean remaining tags" dataDxfId="59"/>
    <tableColumn id="12" xr3:uid="{55546E86-E09F-4DC3-BE8C-5ADEB59A7E29}" name="Number of tags removed2" dataDxfId="58"/>
    <tableColumn id="13" xr3:uid="{918DE9FF-33AD-4415-9F60-3DE8DE5BD68A}" name="Train Inspected and Fit for service    (Y/N)" dataDxfId="57"/>
    <tableColumn id="14" xr3:uid="{F483ECEB-FE9F-43CF-AFB5-8A216A019DBB}" name="Inspected by Supervisor/Manager (Name)" dataDxfId="56"/>
    <tableColumn id="15" xr3:uid="{92AEDCFA-6E7A-4820-90D5-9B072541AA05}" name="Date of Completing all shadows (Tags) on this Unit excluding acid etched shadows" dataDxfId="55"/>
    <tableColumn id="16" xr3:uid="{2ACE763D-B336-4E2A-993F-83C005AA669B}" name="Car Number (s)  of Tags not cleaned due to acid etched shadows" dataDxfId="5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ABABA13-0DBA-4608-8F65-E5B81F1A1505}" name="TagsRA10" displayName="TagsRA10" ref="A1:P119" totalsRowShown="0" headerRowDxfId="53" tableBorderDxfId="52">
  <autoFilter ref="A1:P119" xr:uid="{87C3E877-C963-490B-AC1A-8F3B57CF322E}"/>
  <tableColumns count="16">
    <tableColumn id="1" xr3:uid="{9C465AD8-A70A-47F8-A3E0-8AC7196921AE}" name="Unit No." dataDxfId="51"/>
    <tableColumn id="2" xr3:uid="{60299EB2-2C1B-4200-B70D-C3CFE7A63806}" name="DATE" dataDxfId="50"/>
    <tableColumn id="3" xr3:uid="{560A178B-8AFD-4FEE-AF20-6C868659692C}" name="Status" dataDxfId="49"/>
    <tableColumn id="4" xr3:uid="{A2BDA151-DF23-4107-89D2-870A9F6903C4}" name="Number of cars affected by graffiti/shadows on this unit" dataDxfId="48"/>
    <tableColumn id="5" xr3:uid="{F567F9F4-9079-4683-BBD6-9CF8ED306F67}" name="Total Number of Tags found" dataDxfId="47"/>
    <tableColumn id="6" xr3:uid="{F92CA232-1690-48A8-8170-9863736B59AB}" name="Total Tags Removed / Cleaned" dataDxfId="46"/>
    <tableColumn id="7" xr3:uid="{259C3EA0-248D-47F2-8432-149AEE19CAEC}" name="Total Tags Not Cleaned on this Unit" dataDxfId="45"/>
    <tableColumn id="8" xr3:uid="{E5690FC5-CF9A-42BA-B989-33AEAA07FE62}" name="Car Number (s)  of Tags not cleaned (shadows)" dataDxfId="44"/>
    <tableColumn id="9" xr3:uid="{A5BBFE8C-4A3A-4327-93ED-98AC8CA548D9}" name="Date of 2nd visit to clean remaining tags" dataDxfId="43"/>
    <tableColumn id="10" xr3:uid="{DF0D3461-07BE-4B62-8BC1-FD07969CEBCC}" name="Number of tags removed" dataDxfId="42"/>
    <tableColumn id="11" xr3:uid="{4450F8AE-A168-465D-9432-5C8EDC365C11}" name="Date of 3rd visit to clean remaining tags" dataDxfId="41"/>
    <tableColumn id="12" xr3:uid="{A99198AE-5C95-4D79-B921-E2692C38E5E8}" name="Number of tags removed2" dataDxfId="40"/>
    <tableColumn id="13" xr3:uid="{B3C31C53-5E14-4C2B-9338-3B717B3D8853}" name="Train Inspected and Fit for service    (Y/N)" dataDxfId="39"/>
    <tableColumn id="14" xr3:uid="{21CBD9FC-8D29-4C78-8045-53D7E5A47C6B}" name="Inspected by Supervisor/Manager (Name)" dataDxfId="38"/>
    <tableColumn id="15" xr3:uid="{6773D74E-92F0-497B-8EE4-F4D4BCAECD22}" name="Date of Completing all shadows (Tags) on this Unit excluding acid etched shadows" dataDxfId="37"/>
    <tableColumn id="16" xr3:uid="{4DB507BA-965A-4943-BA75-37E88339E408}" name="Car Number (s)  of Tags not cleaned due to acid etched shadows" dataDxfId="3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81459C1-3518-445D-835F-69931287002E}" name="TagsRA11" displayName="TagsRA11" ref="A1:P119" totalsRowShown="0" headerRowDxfId="35" tableBorderDxfId="34">
  <autoFilter ref="A1:P119" xr:uid="{87C3E877-C963-490B-AC1A-8F3B57CF322E}"/>
  <tableColumns count="16">
    <tableColumn id="1" xr3:uid="{D1555353-F7F6-479B-A92A-27E20965BEBD}" name="Unit No." dataDxfId="33"/>
    <tableColumn id="2" xr3:uid="{175D1849-A26A-4A5B-9332-AC4FE2E508C3}" name="DATE" dataDxfId="32"/>
    <tableColumn id="3" xr3:uid="{6A756F29-0277-4387-9D98-957DA9D76590}" name="Status" dataDxfId="31"/>
    <tableColumn id="4" xr3:uid="{13A5AF32-C17E-43BA-B465-2F4CEEBD96D2}" name="Number of cars affected by graffiti/shadows on this unit" dataDxfId="30"/>
    <tableColumn id="5" xr3:uid="{0165DD0E-38CD-4A2E-ACDC-B495B5D0DE31}" name="Total Number of Tags found" dataDxfId="29"/>
    <tableColumn id="6" xr3:uid="{0E6D0BFB-7A2E-4E07-94B2-3A99CA93AD1A}" name="Total Tags Removed / Cleaned" dataDxfId="28"/>
    <tableColumn id="7" xr3:uid="{2DF69F66-D687-488D-B569-AE5CCDAD7C55}" name="Total Tags Not Cleaned on this Unit" dataDxfId="27"/>
    <tableColumn id="8" xr3:uid="{84FDE615-5C35-41F6-8F4E-6D3EE33FBE65}" name="Car Number (s)  of Tags not cleaned (shadows)" dataDxfId="26"/>
    <tableColumn id="9" xr3:uid="{60BE24AB-1ACB-4457-88E7-1EE87D878C8E}" name="Date of 2nd visit to clean remaining tags" dataDxfId="25"/>
    <tableColumn id="10" xr3:uid="{8ED1E2DD-D60F-44B5-92BD-6CD794A3DD7B}" name="Number of tags removed" dataDxfId="24"/>
    <tableColumn id="11" xr3:uid="{1D2438AC-8A54-468D-80B7-85A1D421DD66}" name="Date of 3rd visit to clean remaining tags" dataDxfId="23"/>
    <tableColumn id="12" xr3:uid="{3B5FA0B8-2D5E-4F80-9DCD-CF5F3AA048E5}" name="Number of tags removed2" dataDxfId="22"/>
    <tableColumn id="13" xr3:uid="{4F859564-BF78-454C-9C93-C06196B85A79}" name="Train Inspected and Fit for service    (Y/N)" dataDxfId="21"/>
    <tableColumn id="14" xr3:uid="{05FDA5E8-2329-43AA-ADC9-9AD4018A8686}" name="Inspected by Supervisor/Manager (Name)" dataDxfId="20"/>
    <tableColumn id="15" xr3:uid="{F3CDAB2A-DF70-4D68-9CDB-E41BBF3F504A}" name="Date of Completing all shadows (Tags) on this Unit excluding acid etched shadows" dataDxfId="19"/>
    <tableColumn id="16" xr3:uid="{E8C5A45B-0359-4EC8-A8EB-F0C47FCA0141}" name="Car Number (s)  of Tags not cleaned due to acid etched shadows" dataDxfId="1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ABB0F72-AA0C-4214-8FBE-98B4F8AC39F1}" name="TagsRA12" displayName="TagsRA12" ref="A1:P119" totalsRowShown="0" headerRowDxfId="17" tableBorderDxfId="16">
  <autoFilter ref="A1:P119" xr:uid="{87C3E877-C963-490B-AC1A-8F3B57CF322E}"/>
  <tableColumns count="16">
    <tableColumn id="1" xr3:uid="{8CDE0EFB-BCC6-4914-8DFA-6EFA254AF22C}" name="Unit No." dataDxfId="15"/>
    <tableColumn id="2" xr3:uid="{99FF19B9-E134-408D-8CA6-817ED1F19B07}" name="DATE" dataDxfId="14"/>
    <tableColumn id="3" xr3:uid="{69E6E02F-7E27-4E42-A403-3D55C62F1000}" name="Status" dataDxfId="13"/>
    <tableColumn id="4" xr3:uid="{4562E889-BC66-4029-B274-839273E4A02C}" name="Number of cars affected by graffiti/shadows on this unit" dataDxfId="12"/>
    <tableColumn id="5" xr3:uid="{C097F4D5-8666-4F51-B7DD-870432E311BF}" name="Total Number of Tags found" dataDxfId="11"/>
    <tableColumn id="6" xr3:uid="{88E39888-D2D8-407E-AF87-87BA1C5BF161}" name="Total Tags Removed / Cleaned" dataDxfId="10"/>
    <tableColumn id="7" xr3:uid="{96E9EA41-6FC9-4C1B-B236-04347588D1E6}" name="Total Tags Not Cleaned on this Unit" dataDxfId="9"/>
    <tableColumn id="8" xr3:uid="{B7D14F7B-7157-446C-B5E0-094102DEAD80}" name="Car Number (s)  of Tags not cleaned (shadows)" dataDxfId="8"/>
    <tableColumn id="9" xr3:uid="{99C413F2-6207-4C50-8E94-604AAED0DE60}" name="Date of 2nd visit to clean remaining tags" dataDxfId="7"/>
    <tableColumn id="10" xr3:uid="{BE56A307-1A33-4B73-B3C0-A10B034E968C}" name="Number of tags removed" dataDxfId="6"/>
    <tableColumn id="11" xr3:uid="{9FD8B7B6-C774-4599-B6B8-24B1085E3427}" name="Date of 3rd visit to clean remaining tags" dataDxfId="5"/>
    <tableColumn id="12" xr3:uid="{B4F9B334-9A65-4CD0-9704-8DCC2BD7D218}" name="Number of tags removed2" dataDxfId="4"/>
    <tableColumn id="13" xr3:uid="{55C17AC5-2721-4FC4-A25E-503D1FD7FA15}" name="Train Inspected and Fit for service    (Y/N)" dataDxfId="3"/>
    <tableColumn id="14" xr3:uid="{B3A6C3AE-D187-451C-8DB5-ED498E501793}" name="Inspected by Supervisor/Manager (Name)" dataDxfId="2"/>
    <tableColumn id="15" xr3:uid="{A55EC377-4D19-4C39-8B8C-906F29AC5313}" name="Date of Completing all shadows (Tags) on this Unit excluding acid etched shadows" dataDxfId="1"/>
    <tableColumn id="16" xr3:uid="{295BC3B1-5EA9-44FB-825F-414E76A77016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AB0C1-DF55-4F0F-BF10-B6D2CB143AE5}">
  <dimension ref="A1:U207"/>
  <sheetViews>
    <sheetView workbookViewId="0">
      <pane xSplit="1" ySplit="1" topLeftCell="B26" activePane="bottomRight" state="frozen"/>
      <selection pane="topRight"/>
      <selection pane="bottomLeft"/>
      <selection pane="bottomRight" activeCell="J36" sqref="J3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>
        <v>45947</v>
      </c>
      <c r="C4" s="12" t="s">
        <v>23</v>
      </c>
      <c r="D4" s="40">
        <v>1</v>
      </c>
      <c r="E4" s="40">
        <v>3</v>
      </c>
      <c r="F4" s="40">
        <v>3</v>
      </c>
      <c r="G4" s="40">
        <v>0</v>
      </c>
      <c r="H4" s="40">
        <v>0</v>
      </c>
      <c r="I4" s="14"/>
      <c r="J4" s="40"/>
      <c r="K4" s="14"/>
      <c r="L4" s="40"/>
      <c r="M4" s="13" t="s">
        <v>21</v>
      </c>
      <c r="N4" s="15" t="s">
        <v>22</v>
      </c>
      <c r="O4" s="11">
        <v>45947</v>
      </c>
      <c r="P4" s="42"/>
      <c r="R4" s="20">
        <v>0</v>
      </c>
      <c r="S4" s="21">
        <f>COUNTA(A:A)-1</f>
        <v>118</v>
      </c>
      <c r="T4" s="21">
        <f>COUNTA(O:O)-1</f>
        <v>17</v>
      </c>
      <c r="U4" s="22">
        <f>T4/S4</f>
        <v>0.1440677966101695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>
        <v>45951</v>
      </c>
      <c r="C15" s="12" t="s">
        <v>23</v>
      </c>
      <c r="D15" s="40">
        <v>1</v>
      </c>
      <c r="E15" s="40">
        <v>60</v>
      </c>
      <c r="F15" s="40">
        <v>60</v>
      </c>
      <c r="G15" s="40">
        <v>0</v>
      </c>
      <c r="H15" s="40">
        <v>0</v>
      </c>
      <c r="I15" s="14"/>
      <c r="J15" s="40"/>
      <c r="K15" s="14"/>
      <c r="L15" s="40"/>
      <c r="M15" s="13" t="s">
        <v>21</v>
      </c>
      <c r="N15" s="15" t="s">
        <v>24</v>
      </c>
      <c r="O15" s="11">
        <v>45951</v>
      </c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>
        <v>45957</v>
      </c>
      <c r="C23" s="12" t="s">
        <v>23</v>
      </c>
      <c r="D23" s="40">
        <v>1</v>
      </c>
      <c r="E23" s="40">
        <v>1</v>
      </c>
      <c r="F23" s="40">
        <v>1</v>
      </c>
      <c r="G23" s="40">
        <v>0</v>
      </c>
      <c r="H23" s="40">
        <v>0</v>
      </c>
      <c r="I23" s="14"/>
      <c r="J23" s="40"/>
      <c r="K23" s="14"/>
      <c r="L23" s="40"/>
      <c r="M23" s="13" t="s">
        <v>21</v>
      </c>
      <c r="N23" s="15" t="s">
        <v>24</v>
      </c>
      <c r="O23" s="11">
        <v>45957</v>
      </c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45951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45951</v>
      </c>
      <c r="P31" s="42"/>
    </row>
    <row r="32" spans="1:16" ht="15" customHeight="1" x14ac:dyDescent="0.3">
      <c r="A32" s="35">
        <v>21031</v>
      </c>
      <c r="B32" s="11">
        <v>45958</v>
      </c>
      <c r="C32" s="12" t="s">
        <v>23</v>
      </c>
      <c r="D32" s="40">
        <v>2</v>
      </c>
      <c r="E32" s="40">
        <v>17</v>
      </c>
      <c r="F32" s="40">
        <v>8</v>
      </c>
      <c r="G32" s="40">
        <v>9</v>
      </c>
      <c r="H32" s="40">
        <v>2</v>
      </c>
      <c r="I32" s="14">
        <v>45959</v>
      </c>
      <c r="J32" s="40">
        <v>9</v>
      </c>
      <c r="K32" s="14"/>
      <c r="L32" s="40"/>
      <c r="M32" s="13" t="s">
        <v>21</v>
      </c>
      <c r="N32" s="15" t="s">
        <v>24</v>
      </c>
      <c r="O32" s="11">
        <v>45958</v>
      </c>
      <c r="P32" s="42"/>
    </row>
    <row r="33" spans="1:16" ht="15" customHeight="1" x14ac:dyDescent="0.3">
      <c r="A33" s="35">
        <v>21032</v>
      </c>
      <c r="B33" s="11">
        <v>45958</v>
      </c>
      <c r="C33" s="12" t="s">
        <v>23</v>
      </c>
      <c r="D33" s="40">
        <v>1</v>
      </c>
      <c r="E33" s="40">
        <v>12</v>
      </c>
      <c r="F33" s="40">
        <v>4</v>
      </c>
      <c r="G33" s="40">
        <v>8</v>
      </c>
      <c r="H33" s="40">
        <v>1</v>
      </c>
      <c r="I33" s="14"/>
      <c r="J33" s="40"/>
      <c r="K33" s="14"/>
      <c r="L33" s="40"/>
      <c r="M33" s="13" t="s">
        <v>21</v>
      </c>
      <c r="N33" s="15" t="s">
        <v>24</v>
      </c>
      <c r="O33" s="11">
        <v>45958</v>
      </c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>
        <v>45953</v>
      </c>
      <c r="C43" s="12" t="s">
        <v>23</v>
      </c>
      <c r="D43" s="40">
        <v>1</v>
      </c>
      <c r="E43" s="40">
        <v>1</v>
      </c>
      <c r="F43" s="40">
        <v>1</v>
      </c>
      <c r="G43" s="40">
        <v>0</v>
      </c>
      <c r="H43" s="40">
        <v>0</v>
      </c>
      <c r="I43" s="14"/>
      <c r="J43" s="40"/>
      <c r="K43" s="14"/>
      <c r="L43" s="40"/>
      <c r="M43" s="13" t="s">
        <v>21</v>
      </c>
      <c r="N43" s="15" t="s">
        <v>24</v>
      </c>
      <c r="O43" s="11">
        <v>45953</v>
      </c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>
        <v>45950</v>
      </c>
      <c r="C45" s="12" t="s">
        <v>23</v>
      </c>
      <c r="D45" s="40">
        <v>1</v>
      </c>
      <c r="E45" s="40">
        <v>1</v>
      </c>
      <c r="F45" s="40">
        <v>1</v>
      </c>
      <c r="G45" s="40">
        <v>0</v>
      </c>
      <c r="H45" s="40">
        <v>0</v>
      </c>
      <c r="I45" s="14"/>
      <c r="J45" s="40"/>
      <c r="K45" s="14"/>
      <c r="L45" s="40"/>
      <c r="M45" s="13" t="s">
        <v>21</v>
      </c>
      <c r="N45" s="15" t="s">
        <v>24</v>
      </c>
      <c r="O45" s="11">
        <v>45950</v>
      </c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>
        <v>45950</v>
      </c>
      <c r="C63" s="12" t="s">
        <v>23</v>
      </c>
      <c r="D63" s="40">
        <v>1</v>
      </c>
      <c r="E63" s="40">
        <v>1</v>
      </c>
      <c r="F63" s="40">
        <v>1</v>
      </c>
      <c r="G63" s="40">
        <v>0</v>
      </c>
      <c r="H63" s="40">
        <v>0</v>
      </c>
      <c r="I63" s="14"/>
      <c r="J63" s="40"/>
      <c r="K63" s="14"/>
      <c r="L63" s="40"/>
      <c r="M63" s="13" t="s">
        <v>21</v>
      </c>
      <c r="N63" s="15" t="s">
        <v>24</v>
      </c>
      <c r="O63" s="11">
        <v>45950</v>
      </c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>
        <v>45958</v>
      </c>
      <c r="C70" s="12" t="s">
        <v>23</v>
      </c>
      <c r="D70" s="40">
        <v>1</v>
      </c>
      <c r="E70" s="40">
        <v>2</v>
      </c>
      <c r="F70" s="40">
        <v>2</v>
      </c>
      <c r="G70" s="40">
        <v>0</v>
      </c>
      <c r="H70" s="40">
        <v>0</v>
      </c>
      <c r="I70" s="14"/>
      <c r="J70" s="40"/>
      <c r="K70" s="14"/>
      <c r="L70" s="40"/>
      <c r="M70" s="13" t="s">
        <v>21</v>
      </c>
      <c r="N70" s="15" t="s">
        <v>24</v>
      </c>
      <c r="O70" s="11">
        <v>45958</v>
      </c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45949</v>
      </c>
      <c r="C85" s="27" t="s">
        <v>23</v>
      </c>
      <c r="D85" s="41">
        <v>2</v>
      </c>
      <c r="E85" s="41">
        <v>460</v>
      </c>
      <c r="F85" s="41">
        <v>460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45949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>
        <v>45957</v>
      </c>
      <c r="C94" s="27" t="s">
        <v>23</v>
      </c>
      <c r="D94" s="41">
        <v>2</v>
      </c>
      <c r="E94" s="41">
        <v>2</v>
      </c>
      <c r="F94" s="41">
        <v>2</v>
      </c>
      <c r="G94" s="41">
        <v>0</v>
      </c>
      <c r="H94" s="41">
        <v>0</v>
      </c>
      <c r="I94" s="29"/>
      <c r="J94" s="41"/>
      <c r="K94" s="29"/>
      <c r="L94" s="41"/>
      <c r="M94" s="28" t="s">
        <v>21</v>
      </c>
      <c r="N94" s="30" t="s">
        <v>24</v>
      </c>
      <c r="O94" s="26">
        <v>45957</v>
      </c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>
        <v>45957</v>
      </c>
      <c r="C110" s="27" t="s">
        <v>23</v>
      </c>
      <c r="D110" s="41">
        <v>1</v>
      </c>
      <c r="E110" s="41">
        <v>25</v>
      </c>
      <c r="F110" s="41">
        <v>20</v>
      </c>
      <c r="G110" s="41">
        <v>5</v>
      </c>
      <c r="H110" s="41">
        <v>1</v>
      </c>
      <c r="I110" s="29"/>
      <c r="J110" s="41"/>
      <c r="K110" s="29"/>
      <c r="L110" s="41"/>
      <c r="M110" s="28" t="s">
        <v>21</v>
      </c>
      <c r="N110" s="30" t="s">
        <v>24</v>
      </c>
      <c r="O110" s="26">
        <v>45957</v>
      </c>
      <c r="P110" s="43"/>
    </row>
    <row r="111" spans="1:16" ht="18.75" x14ac:dyDescent="0.3">
      <c r="A111" s="39">
        <v>21110</v>
      </c>
      <c r="B111" s="26">
        <v>45957</v>
      </c>
      <c r="C111" s="27" t="s">
        <v>23</v>
      </c>
      <c r="D111" s="41">
        <v>1</v>
      </c>
      <c r="E111" s="41">
        <v>1</v>
      </c>
      <c r="F111" s="41">
        <v>1</v>
      </c>
      <c r="G111" s="41">
        <v>0</v>
      </c>
      <c r="H111" s="41">
        <v>0</v>
      </c>
      <c r="I111" s="29"/>
      <c r="J111" s="41"/>
      <c r="K111" s="29"/>
      <c r="L111" s="41"/>
      <c r="M111" s="28" t="s">
        <v>21</v>
      </c>
      <c r="N111" s="30" t="s">
        <v>24</v>
      </c>
      <c r="O111" s="26">
        <v>45957</v>
      </c>
      <c r="P111" s="43"/>
    </row>
    <row r="112" spans="1:16" ht="18.75" x14ac:dyDescent="0.3">
      <c r="A112" s="39">
        <v>21111</v>
      </c>
      <c r="B112" s="26">
        <v>45957</v>
      </c>
      <c r="C112" s="27" t="s">
        <v>23</v>
      </c>
      <c r="D112" s="41">
        <v>1</v>
      </c>
      <c r="E112" s="41">
        <v>1</v>
      </c>
      <c r="F112" s="41">
        <v>1</v>
      </c>
      <c r="G112" s="41">
        <v>0</v>
      </c>
      <c r="H112" s="41">
        <v>0</v>
      </c>
      <c r="I112" s="29"/>
      <c r="J112" s="41"/>
      <c r="K112" s="29"/>
      <c r="L112" s="41"/>
      <c r="M112" s="28" t="s">
        <v>21</v>
      </c>
      <c r="N112" s="30" t="s">
        <v>24</v>
      </c>
      <c r="O112" s="26">
        <v>45957</v>
      </c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>
        <v>45959</v>
      </c>
      <c r="C116" s="27" t="s">
        <v>23</v>
      </c>
      <c r="D116" s="41">
        <v>1</v>
      </c>
      <c r="E116" s="41">
        <v>1</v>
      </c>
      <c r="F116" s="41">
        <v>1</v>
      </c>
      <c r="G116" s="41">
        <v>0</v>
      </c>
      <c r="H116" s="41">
        <v>0</v>
      </c>
      <c r="I116" s="29"/>
      <c r="J116" s="41"/>
      <c r="K116" s="29"/>
      <c r="L116" s="41"/>
      <c r="M116" s="28" t="s">
        <v>21</v>
      </c>
      <c r="N116" s="30" t="s">
        <v>24</v>
      </c>
      <c r="O116" s="26">
        <v>45958</v>
      </c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45950</v>
      </c>
      <c r="C118" s="27" t="s">
        <v>23</v>
      </c>
      <c r="D118" s="41">
        <v>1</v>
      </c>
      <c r="E118" s="41">
        <v>1</v>
      </c>
      <c r="F118" s="41">
        <v>1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45950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RCDwo9dV5DFO+Vlh3I4gxhTZ+erRSQPv4l3+W4lQELWfC7qmbjZHQQiKPEmDnKtCTXWYY2Z1ovlaevciKdekiA==" saltValue="TkWKd72qqrpAGavnWaKnm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D339B586-D44C-470E-B010-C5E1CB0C6886}">
      <formula1>45658</formula1>
    </dataValidation>
    <dataValidation type="whole" operator="greaterThanOrEqual" allowBlank="1" showInputMessage="1" showErrorMessage="1" sqref="A2:A119 D2:H119 J2:J119 L2:L119 P2:P119" xr:uid="{F8BC17B2-BCB5-401F-B67F-F48714EBBFAD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A31A-883B-4D20-BF8D-35C96D733BAD}">
  <dimension ref="A1:U207"/>
  <sheetViews>
    <sheetView workbookViewId="0">
      <selection activeCell="O21" sqref="O21"/>
    </sheetView>
  </sheetViews>
  <sheetFormatPr defaultColWidth="9.140625" defaultRowHeight="15" x14ac:dyDescent="0.25"/>
  <cols>
    <col min="1" max="1" width="12" style="46" bestFit="1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3</v>
      </c>
      <c r="U4" s="22">
        <f>T4/S4</f>
        <v>2.5423728813559324E-2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>
        <v>45958</v>
      </c>
      <c r="C31" s="12" t="s">
        <v>23</v>
      </c>
      <c r="D31" s="40">
        <v>1</v>
      </c>
      <c r="E31" s="40">
        <v>2</v>
      </c>
      <c r="F31" s="40">
        <v>2</v>
      </c>
      <c r="G31" s="40">
        <v>0</v>
      </c>
      <c r="H31" s="40">
        <v>0</v>
      </c>
      <c r="I31" s="14"/>
      <c r="J31" s="40"/>
      <c r="K31" s="14"/>
      <c r="L31" s="40"/>
      <c r="M31" s="13" t="s">
        <v>21</v>
      </c>
      <c r="N31" s="15" t="s">
        <v>24</v>
      </c>
      <c r="O31" s="11">
        <v>45958</v>
      </c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>
        <v>45958</v>
      </c>
      <c r="C85" s="27" t="s">
        <v>23</v>
      </c>
      <c r="D85" s="41">
        <v>3</v>
      </c>
      <c r="E85" s="41">
        <v>5</v>
      </c>
      <c r="F85" s="41">
        <v>5</v>
      </c>
      <c r="G85" s="41">
        <v>0</v>
      </c>
      <c r="H85" s="41">
        <v>0</v>
      </c>
      <c r="I85" s="29"/>
      <c r="J85" s="41"/>
      <c r="K85" s="29"/>
      <c r="L85" s="41"/>
      <c r="M85" s="28" t="s">
        <v>21</v>
      </c>
      <c r="N85" s="30" t="s">
        <v>24</v>
      </c>
      <c r="O85" s="26">
        <v>45958</v>
      </c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>
        <v>45951</v>
      </c>
      <c r="C118" s="27" t="s">
        <v>23</v>
      </c>
      <c r="D118" s="41">
        <v>1</v>
      </c>
      <c r="E118" s="41">
        <v>110</v>
      </c>
      <c r="F118" s="41">
        <v>110</v>
      </c>
      <c r="G118" s="41">
        <v>0</v>
      </c>
      <c r="H118" s="41">
        <v>0</v>
      </c>
      <c r="I118" s="29"/>
      <c r="J118" s="41"/>
      <c r="K118" s="29"/>
      <c r="L118" s="41"/>
      <c r="M118" s="28" t="s">
        <v>21</v>
      </c>
      <c r="N118" s="30" t="s">
        <v>24</v>
      </c>
      <c r="O118" s="26">
        <v>45951</v>
      </c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XLHnMx45funr1JugqNy6hNOiO1u4KcHQM3ACFontMsk3lxQMLUPdepM25/eBhfb5N6LXOlAqGbyEiAviGTNuA==" saltValue="sd7T6khMuawK8mIDv8VYX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F05A544-C938-4774-8DA3-390E7F3340E7}">
      <formula1>0</formula1>
    </dataValidation>
    <dataValidation type="date" operator="greaterThanOrEqual" allowBlank="1" showInputMessage="1" showErrorMessage="1" sqref="B2:B119 I2:I119 K2:K119 O2:O119" xr:uid="{3DAA6892-5DE2-44FE-872A-3457C237D6EA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8C3FD-42EF-40BB-8251-DA968673AA8D}">
  <dimension ref="A1:U207"/>
  <sheetViews>
    <sheetView workbookViewId="0">
      <selection activeCell="D14" sqref="D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Dtt2tUkdoIKPnViohF9TiMj6ltkAsxYhoqcJNRSEFqcqCXzd4YDV9nqMPFb1U2Q2JGm/m2viusVKA2uifgGheA==" saltValue="+yivI+mZxA0eKZO/u75dU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BA845B1-66FC-4416-BFAA-D62ADB70ABC9}">
      <formula1>0</formula1>
    </dataValidation>
    <dataValidation type="date" operator="greaterThanOrEqual" allowBlank="1" showInputMessage="1" showErrorMessage="1" sqref="B2:B119 I2:I119 K2:K119 O2:O119" xr:uid="{7A1DEE77-7623-416E-B2E4-73560FE4A3EF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A1405-1274-4F11-9C9D-4CF757BE719E}">
  <dimension ref="A1:U207"/>
  <sheetViews>
    <sheetView workbookViewId="0">
      <selection activeCell="I7" sqref="I7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GITKBkl+aEgLc94wPKoXYcbskZuVXj3sF20i/dBWv8q9fMaV33DXEodLSCMp8IxCKzhTAOnaFJT2oRtpxXWXcA==" saltValue="cQU1xrbmXEF9BZR2DIXKU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7FF741E9-E0CA-4D8A-BDAF-EAA00BDC8C57}">
      <formula1>0</formula1>
    </dataValidation>
    <dataValidation type="date" operator="greaterThanOrEqual" allowBlank="1" showInputMessage="1" showErrorMessage="1" sqref="B2:B119 I2:I119 K2:K119 O2:O119" xr:uid="{DBEB7408-20EE-48D0-A228-0912DD628AE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E0C6-C3CD-49BB-A8B9-71B1FE805F95}">
  <dimension ref="A1:U207"/>
  <sheetViews>
    <sheetView workbookViewId="0">
      <selection activeCell="H14" sqref="H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ECmfvFTTEHsP5DphDTp72moQhMM3ptxUvzt/dCmFDSE2H/k1JAqidyRgeZ1lArMiT/dREtrNfESj7Ec2htBBFg==" saltValue="QEWNxRNBPVA9hMOI+MCSF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C932E9A2-DA99-46BA-8208-5C79C19C6E70}">
      <formula1>0</formula1>
    </dataValidation>
    <dataValidation type="date" operator="greaterThanOrEqual" allowBlank="1" showInputMessage="1" showErrorMessage="1" sqref="B2:B119 I2:I119 K2:K119 O2:O119" xr:uid="{0405F988-414B-4917-A137-B55ABA59AFE6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60C96-12BF-4FFB-9897-E2EDE7DFA236}">
  <dimension ref="A1:U207"/>
  <sheetViews>
    <sheetView workbookViewId="0">
      <selection activeCell="H15" sqref="H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gWNYBQsk9vij3ML+Itpb8aeN6xEl79V4WKAxMTzU57P0ST9gsWIkbFn/I5Rtrz+jgZJlvEN7vqqPBeDzwkKVA==" saltValue="xTtjYuV5EJ2/Md+xjHZ45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0CE18B7C-CF25-4D5B-83D2-BB0E1D57F2E4}">
      <formula1>0</formula1>
    </dataValidation>
    <dataValidation type="date" operator="greaterThanOrEqual" allowBlank="1" showInputMessage="1" showErrorMessage="1" sqref="B2:B119 I2:I119 K2:K119 O2:O119" xr:uid="{25C55581-9930-46E6-B2E9-39CAA965680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A74D-BBA4-47AF-B7FC-12262095506A}">
  <dimension ref="A1:U207"/>
  <sheetViews>
    <sheetView workbookViewId="0">
      <selection activeCell="H11" sqref="H11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9F0wneenL6kI5EoVOfz+6FNtoSqibLN1hslWobsHh83fA4caXwyMJ027nFNLgBRelKKRz/4gohSLJ7pD0jPCYw==" saltValue="PgBjrV9wP0qxVEIPQkGX+A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789B2E7-F28D-40EC-A140-AB683B2355D8}">
      <formula1>0</formula1>
    </dataValidation>
    <dataValidation type="date" operator="greaterThanOrEqual" allowBlank="1" showInputMessage="1" showErrorMessage="1" sqref="B2:B119 I2:I119 K2:K119 O2:O119" xr:uid="{CBB5B759-80B5-4616-B769-84A261B9361C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1CFA9-671C-4352-8301-D044B63C7B71}">
  <dimension ref="A1:U207"/>
  <sheetViews>
    <sheetView workbookViewId="0">
      <selection activeCell="H16" sqref="H16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7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13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13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13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13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13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13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13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13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13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13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13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13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13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13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13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13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13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13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13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13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13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13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13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13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13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13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13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13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13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13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13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13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13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13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13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13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13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13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13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13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13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13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13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13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13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13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13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13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13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13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13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13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13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13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13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13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13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13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13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13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13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13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13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13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13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13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13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13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13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13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13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13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28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28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28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28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28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28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28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28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28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28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28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28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28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28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28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28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28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28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28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28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28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28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28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28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28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28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28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28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28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28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28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28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28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28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28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28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28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28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28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28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28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28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28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28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28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28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iq+Bdfzrstb6M5DYAkrwzJY3L7nYEL4GpXqzvRbJRUHrdJ2aOOQT1wtqKzbDGQoxBLYnrpcLNjJrXhCB0OM9NA==" saltValue="h8k6BAt8D4WSVSwiXFkJp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32150C63-BE53-4C23-B984-19F953DE463B}">
      <formula1>0</formula1>
    </dataValidation>
    <dataValidation type="date" operator="greaterThanOrEqual" allowBlank="1" showInputMessage="1" showErrorMessage="1" sqref="B2:B119 I2:I119 K2:K119 O2:O119" xr:uid="{04641AE9-EBD9-4462-9727-D9CDBD275010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7F0D6-AC6C-4EB4-A410-13AB9AA6C9CC}">
  <dimension ref="A1:U207"/>
  <sheetViews>
    <sheetView tabSelected="1" workbookViewId="0">
      <selection activeCell="I10" sqref="I10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7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D2UaLMVbWH82moRBvijsdUS8DyNjyabvBDR2UEMdPH12TnE2KyrdvxVDNi3lx7J8denP52B2dbkpUAHSkcHTw==" saltValue="zNsBSgubd2kw6NdJI/tmZg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8BA10176-3E1F-42A7-B66E-E456855506F4}">
      <formula1>0</formula1>
    </dataValidation>
    <dataValidation type="date" operator="greaterThanOrEqual" allowBlank="1" showInputMessage="1" showErrorMessage="1" sqref="B2:B119 I2:I119 K2:K119 O2:O119" xr:uid="{DDED89FF-FD0B-4BA8-B473-36BB17CE861D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6A34-3019-46B6-904F-228FC8269997}">
  <dimension ref="A1:U207"/>
  <sheetViews>
    <sheetView workbookViewId="0">
      <selection activeCell="I15" sqref="I15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w8xe15IVQepCMDPuif1LeLGcZOOdRr6JUm0DDaU/wgRv9YUonPaL80gUE8aMRniae29mq1OPZrz3K90dhCkkqg==" saltValue="2W3r52xCaDu2IDZPBXLIl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44FCE1EB-2AE0-45FC-B3D3-AA13696708F1}">
      <formula1>0</formula1>
    </dataValidation>
    <dataValidation type="date" operator="greaterThanOrEqual" allowBlank="1" showInputMessage="1" showErrorMessage="1" sqref="B2:B119 I2:I119 K2:K119 O2:O119" xr:uid="{563ECC11-7570-4715-8EE9-FF13D631BB0B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ABF3-6D97-4224-A420-2D47C84A227C}">
  <dimension ref="A1:U207"/>
  <sheetViews>
    <sheetView workbookViewId="0">
      <selection activeCell="K114" sqref="K1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AWhT/5CoKqVwNrfmOGBRrzxq3uM4C8ffvXi5msHbp/6slQzQC2UQlowibVt2v5TL6UIkrb0BNifzbsrwuaiuZQ==" saltValue="oJxgaZCZG2Dzc5owQ1RRbw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9CE44FF3-7465-4ED6-8F45-86DFDC30B733}">
      <formula1>45658</formula1>
    </dataValidation>
    <dataValidation type="whole" operator="greaterThanOrEqual" allowBlank="1" showInputMessage="1" showErrorMessage="1" sqref="A2:A119 D2:H119 J2:J119 L2:L119 P2:P119" xr:uid="{0DB38819-7F7A-48AB-AE48-5AA040541DE2}">
      <formula1>0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FD120-EFD1-4EEE-97C5-16DC950EA50D}">
  <dimension ref="A1:U207"/>
  <sheetViews>
    <sheetView workbookViewId="0">
      <selection activeCell="K114" sqref="K1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oKIHKGDHkit40amvmlZ/QrF4OkQL/lZO/+KdMWxjk3W8fULFm5rVAbVNZ/g477xKMg1kgu53icErL621S8wSg==" saltValue="kgg13Xd60i8hK1a23a6LeQ==" spinCount="100000" sheet="1" objects="1" scenarios="1" sort="0" autoFilter="0"/>
  <mergeCells count="1">
    <mergeCell ref="R2:U2"/>
  </mergeCells>
  <dataValidations count="2">
    <dataValidation type="whole" operator="greaterThanOrEqual" allowBlank="1" showInputMessage="1" showErrorMessage="1" sqref="A2:A119 D2:H119 J2:J119 L2:L119 P2:P119" xr:uid="{6CA741FA-C7C3-4C08-BDBC-5984A7AAB3A8}">
      <formula1>0</formula1>
    </dataValidation>
    <dataValidation type="date" operator="greaterThanOrEqual" allowBlank="1" showInputMessage="1" showErrorMessage="1" sqref="B2:B119 I2:I119 K2:K119 O2:O119" xr:uid="{DCB7F37B-5825-4181-9FD8-E1FB9F5EE2D4}">
      <formula1>45658</formula1>
    </dataValidation>
  </dataValidation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9842A-D799-43CF-9DF0-51A26183DFCE}">
  <dimension ref="A1:U207"/>
  <sheetViews>
    <sheetView workbookViewId="0">
      <selection activeCell="K114" sqref="K114"/>
    </sheetView>
  </sheetViews>
  <sheetFormatPr defaultColWidth="9.140625" defaultRowHeight="15" x14ac:dyDescent="0.25"/>
  <cols>
    <col min="1" max="1" width="10.85546875" style="10" customWidth="1"/>
    <col min="2" max="3" width="13.85546875" style="10" customWidth="1"/>
    <col min="4" max="4" width="22.85546875" style="10" customWidth="1"/>
    <col min="5" max="5" width="12" style="10" customWidth="1"/>
    <col min="6" max="6" width="14" style="10" customWidth="1"/>
    <col min="7" max="7" width="14.5703125" style="10" customWidth="1"/>
    <col min="8" max="8" width="19.140625" style="10" customWidth="1"/>
    <col min="9" max="9" width="14.140625" style="10" customWidth="1"/>
    <col min="10" max="10" width="11.85546875" style="10" customWidth="1"/>
    <col min="11" max="11" width="17.5703125" style="10" customWidth="1"/>
    <col min="12" max="12" width="12.85546875" style="10" customWidth="1"/>
    <col min="13" max="13" width="18.42578125" style="23" customWidth="1"/>
    <col min="14" max="14" width="15.140625" style="10" customWidth="1"/>
    <col min="15" max="15" width="29.85546875" style="10" customWidth="1"/>
    <col min="16" max="16" width="23.85546875" style="10" customWidth="1"/>
    <col min="17" max="17" width="2.5703125" style="10" customWidth="1"/>
    <col min="18" max="18" width="11.85546875" style="10" customWidth="1"/>
    <col min="19" max="19" width="10.85546875" style="10" customWidth="1"/>
    <col min="20" max="20" width="14.85546875" style="10" customWidth="1"/>
    <col min="21" max="21" width="13.140625" style="10" customWidth="1"/>
    <col min="22" max="16384" width="9.140625" style="10"/>
  </cols>
  <sheetData>
    <row r="1" spans="1:21" ht="60.75" thickBot="1" x14ac:dyDescent="0.3">
      <c r="A1" s="45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7" t="s">
        <v>13</v>
      </c>
      <c r="O1" s="8" t="s">
        <v>14</v>
      </c>
      <c r="P1" s="9" t="s">
        <v>15</v>
      </c>
    </row>
    <row r="2" spans="1:21" ht="15" customHeight="1" x14ac:dyDescent="0.3">
      <c r="A2" s="31">
        <v>21001</v>
      </c>
      <c r="B2" s="11"/>
      <c r="C2" s="12"/>
      <c r="D2" s="40"/>
      <c r="E2" s="40"/>
      <c r="F2" s="40"/>
      <c r="G2" s="40"/>
      <c r="H2" s="40"/>
      <c r="I2" s="14"/>
      <c r="J2" s="40"/>
      <c r="K2" s="14"/>
      <c r="L2" s="40"/>
      <c r="M2" s="13"/>
      <c r="N2" s="15"/>
      <c r="O2" s="11"/>
      <c r="P2" s="42"/>
      <c r="R2" s="48" t="s">
        <v>16</v>
      </c>
      <c r="S2" s="49"/>
      <c r="T2" s="49"/>
      <c r="U2" s="50"/>
    </row>
    <row r="3" spans="1:21" ht="15" customHeight="1" x14ac:dyDescent="0.3">
      <c r="A3" s="32">
        <v>21002</v>
      </c>
      <c r="B3" s="11"/>
      <c r="C3" s="12"/>
      <c r="D3" s="40"/>
      <c r="E3" s="40"/>
      <c r="F3" s="40"/>
      <c r="G3" s="40"/>
      <c r="H3" s="40"/>
      <c r="I3" s="14"/>
      <c r="J3" s="40"/>
      <c r="K3" s="14"/>
      <c r="L3" s="40"/>
      <c r="M3" s="13"/>
      <c r="N3" s="15"/>
      <c r="O3" s="11"/>
      <c r="P3" s="42"/>
      <c r="R3" s="16" t="s">
        <v>17</v>
      </c>
      <c r="S3" s="17" t="s">
        <v>18</v>
      </c>
      <c r="T3" s="18" t="s">
        <v>19</v>
      </c>
      <c r="U3" s="19" t="s">
        <v>20</v>
      </c>
    </row>
    <row r="4" spans="1:21" ht="15" customHeight="1" thickBot="1" x14ac:dyDescent="0.35">
      <c r="A4" s="32">
        <v>21003</v>
      </c>
      <c r="B4" s="11"/>
      <c r="C4" s="12"/>
      <c r="D4" s="40"/>
      <c r="E4" s="40"/>
      <c r="F4" s="40"/>
      <c r="G4" s="40"/>
      <c r="H4" s="40"/>
      <c r="I4" s="14"/>
      <c r="J4" s="40"/>
      <c r="K4" s="14"/>
      <c r="L4" s="40"/>
      <c r="M4" s="13"/>
      <c r="N4" s="15"/>
      <c r="O4" s="11"/>
      <c r="P4" s="42"/>
      <c r="R4" s="20">
        <v>0</v>
      </c>
      <c r="S4" s="21">
        <f>COUNTA(A:A)-1</f>
        <v>118</v>
      </c>
      <c r="T4" s="21">
        <f>COUNTA(O:O)-1</f>
        <v>0</v>
      </c>
      <c r="U4" s="22">
        <f>T4/S4</f>
        <v>0</v>
      </c>
    </row>
    <row r="5" spans="1:21" ht="15" customHeight="1" x14ac:dyDescent="0.3">
      <c r="A5" s="32">
        <v>21004</v>
      </c>
      <c r="B5" s="11"/>
      <c r="C5" s="12"/>
      <c r="D5" s="40"/>
      <c r="E5" s="40"/>
      <c r="F5" s="40"/>
      <c r="G5" s="40"/>
      <c r="H5" s="40"/>
      <c r="I5" s="14"/>
      <c r="J5" s="40"/>
      <c r="K5" s="14"/>
      <c r="L5" s="40"/>
      <c r="M5" s="13"/>
      <c r="N5" s="15"/>
      <c r="O5" s="11"/>
      <c r="P5" s="42"/>
    </row>
    <row r="6" spans="1:21" ht="15" customHeight="1" x14ac:dyDescent="0.3">
      <c r="A6" s="32">
        <v>21005</v>
      </c>
      <c r="B6" s="11"/>
      <c r="C6" s="12"/>
      <c r="D6" s="40"/>
      <c r="E6" s="40"/>
      <c r="F6" s="40"/>
      <c r="G6" s="40"/>
      <c r="H6" s="40"/>
      <c r="I6" s="14"/>
      <c r="J6" s="40"/>
      <c r="K6" s="14"/>
      <c r="L6" s="40"/>
      <c r="M6" s="13"/>
      <c r="N6" s="15"/>
      <c r="O6" s="11"/>
      <c r="P6" s="42"/>
    </row>
    <row r="7" spans="1:21" ht="15" customHeight="1" x14ac:dyDescent="0.3">
      <c r="A7" s="32">
        <v>21006</v>
      </c>
      <c r="B7" s="11"/>
      <c r="C7" s="12"/>
      <c r="D7" s="40"/>
      <c r="E7" s="40"/>
      <c r="F7" s="40"/>
      <c r="G7" s="40"/>
      <c r="H7" s="40"/>
      <c r="I7" s="14"/>
      <c r="J7" s="40"/>
      <c r="K7" s="14"/>
      <c r="L7" s="40"/>
      <c r="M7" s="13"/>
      <c r="N7" s="15"/>
      <c r="O7" s="11"/>
      <c r="P7" s="42"/>
    </row>
    <row r="8" spans="1:21" ht="15" customHeight="1" x14ac:dyDescent="0.3">
      <c r="A8" s="32">
        <v>21007</v>
      </c>
      <c r="B8" s="11"/>
      <c r="C8" s="12"/>
      <c r="D8" s="40"/>
      <c r="E8" s="40"/>
      <c r="F8" s="40"/>
      <c r="G8" s="40"/>
      <c r="H8" s="40"/>
      <c r="I8" s="14"/>
      <c r="J8" s="40"/>
      <c r="K8" s="14"/>
      <c r="L8" s="40"/>
      <c r="M8" s="13"/>
      <c r="N8" s="15"/>
      <c r="O8" s="11"/>
      <c r="P8" s="42"/>
    </row>
    <row r="9" spans="1:21" ht="15" customHeight="1" x14ac:dyDescent="0.3">
      <c r="A9" s="32">
        <v>21008</v>
      </c>
      <c r="B9" s="11"/>
      <c r="C9" s="12"/>
      <c r="D9" s="40"/>
      <c r="E9" s="40"/>
      <c r="F9" s="40"/>
      <c r="G9" s="40"/>
      <c r="H9" s="40"/>
      <c r="I9" s="14"/>
      <c r="J9" s="40"/>
      <c r="K9" s="14"/>
      <c r="L9" s="40"/>
      <c r="M9" s="13"/>
      <c r="N9" s="15"/>
      <c r="O9" s="11"/>
      <c r="P9" s="42"/>
    </row>
    <row r="10" spans="1:21" ht="15" customHeight="1" x14ac:dyDescent="0.3">
      <c r="A10" s="32">
        <v>21009</v>
      </c>
      <c r="B10" s="11"/>
      <c r="C10" s="12"/>
      <c r="D10" s="40"/>
      <c r="E10" s="40"/>
      <c r="F10" s="40"/>
      <c r="G10" s="40"/>
      <c r="H10" s="40"/>
      <c r="I10" s="14"/>
      <c r="J10" s="40"/>
      <c r="K10" s="14"/>
      <c r="L10" s="40"/>
      <c r="M10" s="13"/>
      <c r="N10" s="15"/>
      <c r="O10" s="11"/>
      <c r="P10" s="42"/>
    </row>
    <row r="11" spans="1:21" ht="15" customHeight="1" x14ac:dyDescent="0.3">
      <c r="A11" s="32">
        <v>21010</v>
      </c>
      <c r="B11" s="11"/>
      <c r="C11" s="12"/>
      <c r="D11" s="40"/>
      <c r="E11" s="40"/>
      <c r="F11" s="40"/>
      <c r="G11" s="40"/>
      <c r="H11" s="40"/>
      <c r="I11" s="14"/>
      <c r="J11" s="40"/>
      <c r="K11" s="14"/>
      <c r="L11" s="40"/>
      <c r="M11" s="13"/>
      <c r="N11" s="15"/>
      <c r="O11" s="11"/>
      <c r="P11" s="42"/>
    </row>
    <row r="12" spans="1:21" ht="15" customHeight="1" thickBot="1" x14ac:dyDescent="0.35">
      <c r="A12" s="33">
        <v>21011</v>
      </c>
      <c r="B12" s="11"/>
      <c r="C12" s="12"/>
      <c r="D12" s="40"/>
      <c r="E12" s="40"/>
      <c r="F12" s="40"/>
      <c r="G12" s="40"/>
      <c r="H12" s="40"/>
      <c r="I12" s="14"/>
      <c r="J12" s="40"/>
      <c r="K12" s="14"/>
      <c r="L12" s="40"/>
      <c r="M12" s="13"/>
      <c r="N12" s="15"/>
      <c r="O12" s="11"/>
      <c r="P12" s="42"/>
    </row>
    <row r="13" spans="1:21" ht="15" customHeight="1" x14ac:dyDescent="0.3">
      <c r="A13" s="34">
        <v>21012</v>
      </c>
      <c r="B13" s="11"/>
      <c r="C13" s="12"/>
      <c r="D13" s="40"/>
      <c r="E13" s="40"/>
      <c r="F13" s="40"/>
      <c r="G13" s="40"/>
      <c r="H13" s="40"/>
      <c r="I13" s="14"/>
      <c r="J13" s="40"/>
      <c r="K13" s="14"/>
      <c r="L13" s="40"/>
      <c r="M13" s="13"/>
      <c r="N13" s="15"/>
      <c r="O13" s="11"/>
      <c r="P13" s="42"/>
    </row>
    <row r="14" spans="1:21" ht="15" customHeight="1" x14ac:dyDescent="0.3">
      <c r="A14" s="35">
        <v>21013</v>
      </c>
      <c r="B14" s="11"/>
      <c r="C14" s="12"/>
      <c r="D14" s="40"/>
      <c r="E14" s="40"/>
      <c r="F14" s="40"/>
      <c r="G14" s="40"/>
      <c r="H14" s="40"/>
      <c r="I14" s="14"/>
      <c r="J14" s="40"/>
      <c r="K14" s="14"/>
      <c r="L14" s="40"/>
      <c r="M14" s="13"/>
      <c r="N14" s="15"/>
      <c r="O14" s="11"/>
      <c r="P14" s="42"/>
    </row>
    <row r="15" spans="1:21" ht="15" customHeight="1" x14ac:dyDescent="0.3">
      <c r="A15" s="35">
        <v>21014</v>
      </c>
      <c r="B15" s="11"/>
      <c r="C15" s="12"/>
      <c r="D15" s="40"/>
      <c r="E15" s="40"/>
      <c r="F15" s="40"/>
      <c r="G15" s="40"/>
      <c r="H15" s="40"/>
      <c r="I15" s="14"/>
      <c r="J15" s="40"/>
      <c r="K15" s="14"/>
      <c r="L15" s="40"/>
      <c r="M15" s="13"/>
      <c r="N15" s="15"/>
      <c r="O15" s="11"/>
      <c r="P15" s="42"/>
    </row>
    <row r="16" spans="1:21" ht="15" customHeight="1" x14ac:dyDescent="0.3">
      <c r="A16" s="35">
        <v>21015</v>
      </c>
      <c r="B16" s="11"/>
      <c r="C16" s="12"/>
      <c r="D16" s="40"/>
      <c r="E16" s="40"/>
      <c r="F16" s="40"/>
      <c r="G16" s="40"/>
      <c r="H16" s="40"/>
      <c r="I16" s="14"/>
      <c r="J16" s="40"/>
      <c r="K16" s="14"/>
      <c r="L16" s="40"/>
      <c r="M16" s="13"/>
      <c r="N16" s="15"/>
      <c r="O16" s="11"/>
      <c r="P16" s="42"/>
    </row>
    <row r="17" spans="1:16" ht="15" customHeight="1" x14ac:dyDescent="0.3">
      <c r="A17" s="35">
        <v>21016</v>
      </c>
      <c r="B17" s="11"/>
      <c r="C17" s="12"/>
      <c r="D17" s="40"/>
      <c r="E17" s="40"/>
      <c r="F17" s="40"/>
      <c r="G17" s="40"/>
      <c r="H17" s="40"/>
      <c r="I17" s="14"/>
      <c r="J17" s="40"/>
      <c r="K17" s="14"/>
      <c r="L17" s="40"/>
      <c r="M17" s="13"/>
      <c r="N17" s="15"/>
      <c r="O17" s="11"/>
      <c r="P17" s="42"/>
    </row>
    <row r="18" spans="1:16" ht="15" customHeight="1" x14ac:dyDescent="0.3">
      <c r="A18" s="35">
        <v>21017</v>
      </c>
      <c r="B18" s="11"/>
      <c r="C18" s="12"/>
      <c r="D18" s="40"/>
      <c r="E18" s="40"/>
      <c r="F18" s="40"/>
      <c r="G18" s="40"/>
      <c r="H18" s="40"/>
      <c r="I18" s="14"/>
      <c r="J18" s="40"/>
      <c r="K18" s="14"/>
      <c r="L18" s="40"/>
      <c r="M18" s="13"/>
      <c r="N18" s="15"/>
      <c r="O18" s="11"/>
      <c r="P18" s="42"/>
    </row>
    <row r="19" spans="1:16" ht="15" customHeight="1" x14ac:dyDescent="0.3">
      <c r="A19" s="35">
        <v>21018</v>
      </c>
      <c r="B19" s="11"/>
      <c r="C19" s="12"/>
      <c r="D19" s="40"/>
      <c r="E19" s="40"/>
      <c r="F19" s="40"/>
      <c r="G19" s="40"/>
      <c r="H19" s="40"/>
      <c r="I19" s="14"/>
      <c r="J19" s="40"/>
      <c r="K19" s="14"/>
      <c r="L19" s="40"/>
      <c r="M19" s="13"/>
      <c r="N19" s="15"/>
      <c r="O19" s="11"/>
      <c r="P19" s="42"/>
    </row>
    <row r="20" spans="1:16" ht="15" customHeight="1" x14ac:dyDescent="0.3">
      <c r="A20" s="35">
        <v>21019</v>
      </c>
      <c r="B20" s="11"/>
      <c r="C20" s="12"/>
      <c r="D20" s="40"/>
      <c r="E20" s="40"/>
      <c r="F20" s="40"/>
      <c r="G20" s="40"/>
      <c r="H20" s="40"/>
      <c r="I20" s="14"/>
      <c r="J20" s="40"/>
      <c r="K20" s="14"/>
      <c r="L20" s="40"/>
      <c r="M20" s="13"/>
      <c r="N20" s="15"/>
      <c r="O20" s="11"/>
      <c r="P20" s="42"/>
    </row>
    <row r="21" spans="1:16" ht="15" customHeight="1" x14ac:dyDescent="0.3">
      <c r="A21" s="35">
        <v>21020</v>
      </c>
      <c r="B21" s="11"/>
      <c r="C21" s="12"/>
      <c r="D21" s="40"/>
      <c r="E21" s="40"/>
      <c r="F21" s="40"/>
      <c r="G21" s="40"/>
      <c r="H21" s="40"/>
      <c r="I21" s="14"/>
      <c r="J21" s="40"/>
      <c r="K21" s="14"/>
      <c r="L21" s="40"/>
      <c r="M21" s="13"/>
      <c r="N21" s="15"/>
      <c r="O21" s="11"/>
      <c r="P21" s="42"/>
    </row>
    <row r="22" spans="1:16" ht="15" customHeight="1" x14ac:dyDescent="0.3">
      <c r="A22" s="35">
        <v>21021</v>
      </c>
      <c r="B22" s="11"/>
      <c r="C22" s="12"/>
      <c r="D22" s="40"/>
      <c r="E22" s="40"/>
      <c r="F22" s="40"/>
      <c r="G22" s="40"/>
      <c r="H22" s="40"/>
      <c r="I22" s="14"/>
      <c r="J22" s="40"/>
      <c r="K22" s="14"/>
      <c r="L22" s="40"/>
      <c r="M22" s="13"/>
      <c r="N22" s="15"/>
      <c r="O22" s="11"/>
      <c r="P22" s="42"/>
    </row>
    <row r="23" spans="1:16" ht="15" customHeight="1" thickBot="1" x14ac:dyDescent="0.35">
      <c r="A23" s="36">
        <v>21022</v>
      </c>
      <c r="B23" s="11"/>
      <c r="C23" s="12"/>
      <c r="D23" s="40"/>
      <c r="E23" s="40"/>
      <c r="F23" s="40"/>
      <c r="G23" s="40"/>
      <c r="H23" s="40"/>
      <c r="I23" s="14"/>
      <c r="J23" s="40"/>
      <c r="K23" s="14"/>
      <c r="L23" s="40"/>
      <c r="M23" s="13"/>
      <c r="N23" s="15"/>
      <c r="O23" s="11"/>
      <c r="P23" s="42"/>
    </row>
    <row r="24" spans="1:16" ht="15" customHeight="1" x14ac:dyDescent="0.3">
      <c r="A24" s="34">
        <v>21023</v>
      </c>
      <c r="B24" s="11"/>
      <c r="C24" s="12"/>
      <c r="D24" s="40"/>
      <c r="E24" s="40"/>
      <c r="F24" s="40"/>
      <c r="G24" s="40"/>
      <c r="H24" s="40"/>
      <c r="I24" s="14"/>
      <c r="J24" s="40"/>
      <c r="K24" s="14"/>
      <c r="L24" s="40"/>
      <c r="M24" s="13"/>
      <c r="N24" s="15"/>
      <c r="O24" s="11"/>
      <c r="P24" s="42"/>
    </row>
    <row r="25" spans="1:16" ht="15" customHeight="1" x14ac:dyDescent="0.3">
      <c r="A25" s="35">
        <v>21024</v>
      </c>
      <c r="B25" s="11"/>
      <c r="C25" s="12"/>
      <c r="D25" s="40"/>
      <c r="E25" s="40"/>
      <c r="F25" s="40"/>
      <c r="G25" s="40"/>
      <c r="H25" s="40"/>
      <c r="I25" s="14"/>
      <c r="J25" s="40"/>
      <c r="K25" s="14"/>
      <c r="L25" s="40"/>
      <c r="M25" s="13"/>
      <c r="N25" s="15"/>
      <c r="O25" s="11"/>
      <c r="P25" s="42"/>
    </row>
    <row r="26" spans="1:16" ht="15" customHeight="1" x14ac:dyDescent="0.3">
      <c r="A26" s="35">
        <v>21025</v>
      </c>
      <c r="B26" s="11"/>
      <c r="C26" s="12"/>
      <c r="D26" s="40"/>
      <c r="E26" s="40"/>
      <c r="F26" s="40"/>
      <c r="G26" s="40"/>
      <c r="H26" s="40"/>
      <c r="I26" s="14"/>
      <c r="J26" s="40"/>
      <c r="K26" s="14"/>
      <c r="L26" s="40"/>
      <c r="M26" s="13"/>
      <c r="N26" s="15"/>
      <c r="O26" s="11"/>
      <c r="P26" s="42"/>
    </row>
    <row r="27" spans="1:16" ht="15" customHeight="1" x14ac:dyDescent="0.3">
      <c r="A27" s="35">
        <v>21026</v>
      </c>
      <c r="B27" s="11"/>
      <c r="C27" s="12"/>
      <c r="D27" s="40"/>
      <c r="E27" s="40"/>
      <c r="F27" s="40"/>
      <c r="G27" s="40"/>
      <c r="H27" s="40"/>
      <c r="I27" s="14"/>
      <c r="J27" s="40"/>
      <c r="K27" s="14"/>
      <c r="L27" s="40"/>
      <c r="M27" s="13"/>
      <c r="N27" s="15"/>
      <c r="O27" s="11"/>
      <c r="P27" s="42"/>
    </row>
    <row r="28" spans="1:16" ht="15" customHeight="1" x14ac:dyDescent="0.3">
      <c r="A28" s="35">
        <v>21027</v>
      </c>
      <c r="B28" s="11"/>
      <c r="C28" s="12"/>
      <c r="D28" s="40"/>
      <c r="E28" s="40"/>
      <c r="F28" s="40"/>
      <c r="G28" s="40"/>
      <c r="H28" s="40"/>
      <c r="I28" s="14"/>
      <c r="J28" s="40"/>
      <c r="K28" s="14"/>
      <c r="L28" s="40"/>
      <c r="M28" s="13"/>
      <c r="N28" s="15"/>
      <c r="O28" s="11"/>
      <c r="P28" s="42"/>
    </row>
    <row r="29" spans="1:16" ht="15" customHeight="1" x14ac:dyDescent="0.3">
      <c r="A29" s="35">
        <v>21028</v>
      </c>
      <c r="B29" s="11"/>
      <c r="C29" s="12"/>
      <c r="D29" s="40"/>
      <c r="E29" s="40"/>
      <c r="F29" s="40"/>
      <c r="G29" s="40"/>
      <c r="H29" s="40"/>
      <c r="I29" s="14"/>
      <c r="J29" s="40"/>
      <c r="K29" s="14"/>
      <c r="L29" s="40"/>
      <c r="M29" s="13"/>
      <c r="N29" s="15"/>
      <c r="O29" s="11"/>
      <c r="P29" s="42"/>
    </row>
    <row r="30" spans="1:16" ht="15" customHeight="1" x14ac:dyDescent="0.3">
      <c r="A30" s="35">
        <v>21029</v>
      </c>
      <c r="B30" s="11"/>
      <c r="C30" s="12"/>
      <c r="D30" s="40"/>
      <c r="E30" s="40"/>
      <c r="F30" s="40"/>
      <c r="G30" s="40"/>
      <c r="H30" s="40"/>
      <c r="I30" s="14"/>
      <c r="J30" s="40"/>
      <c r="K30" s="14"/>
      <c r="L30" s="40"/>
      <c r="M30" s="13"/>
      <c r="N30" s="15"/>
      <c r="O30" s="11"/>
      <c r="P30" s="42"/>
    </row>
    <row r="31" spans="1:16" ht="15" customHeight="1" x14ac:dyDescent="0.3">
      <c r="A31" s="35">
        <v>21030</v>
      </c>
      <c r="B31" s="11"/>
      <c r="C31" s="12"/>
      <c r="D31" s="40"/>
      <c r="E31" s="40"/>
      <c r="F31" s="40"/>
      <c r="G31" s="40"/>
      <c r="H31" s="40"/>
      <c r="I31" s="14"/>
      <c r="J31" s="40"/>
      <c r="K31" s="14"/>
      <c r="L31" s="40"/>
      <c r="M31" s="13"/>
      <c r="N31" s="15"/>
      <c r="O31" s="11"/>
      <c r="P31" s="42"/>
    </row>
    <row r="32" spans="1:16" ht="15" customHeight="1" x14ac:dyDescent="0.3">
      <c r="A32" s="35">
        <v>21031</v>
      </c>
      <c r="B32" s="11"/>
      <c r="C32" s="12"/>
      <c r="D32" s="40"/>
      <c r="E32" s="40"/>
      <c r="F32" s="40"/>
      <c r="G32" s="40"/>
      <c r="H32" s="40"/>
      <c r="I32" s="14"/>
      <c r="J32" s="40"/>
      <c r="K32" s="14"/>
      <c r="L32" s="40"/>
      <c r="M32" s="13"/>
      <c r="N32" s="15"/>
      <c r="O32" s="11"/>
      <c r="P32" s="42"/>
    </row>
    <row r="33" spans="1:16" ht="15" customHeight="1" x14ac:dyDescent="0.3">
      <c r="A33" s="35">
        <v>21032</v>
      </c>
      <c r="B33" s="11"/>
      <c r="C33" s="12"/>
      <c r="D33" s="40"/>
      <c r="E33" s="40"/>
      <c r="F33" s="40"/>
      <c r="G33" s="40"/>
      <c r="H33" s="40"/>
      <c r="I33" s="14"/>
      <c r="J33" s="40"/>
      <c r="K33" s="14"/>
      <c r="L33" s="40"/>
      <c r="M33" s="13"/>
      <c r="N33" s="15"/>
      <c r="O33" s="11"/>
      <c r="P33" s="42"/>
    </row>
    <row r="34" spans="1:16" ht="15" customHeight="1" thickBot="1" x14ac:dyDescent="0.35">
      <c r="A34" s="36">
        <v>21033</v>
      </c>
      <c r="B34" s="11"/>
      <c r="C34" s="12"/>
      <c r="D34" s="40"/>
      <c r="E34" s="40"/>
      <c r="F34" s="40"/>
      <c r="G34" s="40"/>
      <c r="H34" s="40"/>
      <c r="I34" s="14"/>
      <c r="J34" s="40"/>
      <c r="K34" s="14"/>
      <c r="L34" s="40"/>
      <c r="M34" s="13"/>
      <c r="N34" s="15"/>
      <c r="O34" s="11"/>
      <c r="P34" s="42"/>
    </row>
    <row r="35" spans="1:16" ht="15" customHeight="1" x14ac:dyDescent="0.3">
      <c r="A35" s="34">
        <v>21034</v>
      </c>
      <c r="B35" s="11"/>
      <c r="C35" s="12"/>
      <c r="D35" s="40"/>
      <c r="E35" s="40"/>
      <c r="F35" s="40"/>
      <c r="G35" s="40"/>
      <c r="H35" s="40"/>
      <c r="I35" s="14"/>
      <c r="J35" s="40"/>
      <c r="K35" s="14"/>
      <c r="L35" s="40"/>
      <c r="M35" s="13"/>
      <c r="N35" s="15"/>
      <c r="O35" s="11"/>
      <c r="P35" s="42"/>
    </row>
    <row r="36" spans="1:16" ht="15" customHeight="1" x14ac:dyDescent="0.3">
      <c r="A36" s="35">
        <v>21035</v>
      </c>
      <c r="B36" s="11"/>
      <c r="C36" s="12"/>
      <c r="D36" s="40"/>
      <c r="E36" s="40"/>
      <c r="F36" s="40"/>
      <c r="G36" s="40"/>
      <c r="H36" s="40"/>
      <c r="I36" s="14"/>
      <c r="J36" s="40"/>
      <c r="K36" s="14"/>
      <c r="L36" s="40"/>
      <c r="M36" s="13"/>
      <c r="N36" s="15"/>
      <c r="O36" s="11"/>
      <c r="P36" s="42"/>
    </row>
    <row r="37" spans="1:16" ht="15" customHeight="1" x14ac:dyDescent="0.3">
      <c r="A37" s="35">
        <v>21036</v>
      </c>
      <c r="B37" s="11"/>
      <c r="C37" s="12"/>
      <c r="D37" s="40"/>
      <c r="E37" s="40"/>
      <c r="F37" s="40"/>
      <c r="G37" s="40"/>
      <c r="H37" s="40"/>
      <c r="I37" s="14"/>
      <c r="J37" s="40"/>
      <c r="K37" s="14"/>
      <c r="L37" s="40"/>
      <c r="M37" s="13"/>
      <c r="N37" s="15"/>
      <c r="O37" s="11"/>
      <c r="P37" s="42"/>
    </row>
    <row r="38" spans="1:16" ht="15" customHeight="1" x14ac:dyDescent="0.3">
      <c r="A38" s="35">
        <v>21037</v>
      </c>
      <c r="B38" s="11"/>
      <c r="C38" s="12"/>
      <c r="D38" s="40"/>
      <c r="E38" s="40"/>
      <c r="F38" s="40"/>
      <c r="G38" s="40"/>
      <c r="H38" s="40"/>
      <c r="I38" s="14"/>
      <c r="J38" s="40"/>
      <c r="K38" s="14"/>
      <c r="L38" s="40"/>
      <c r="M38" s="13"/>
      <c r="N38" s="15"/>
      <c r="O38" s="11"/>
      <c r="P38" s="42"/>
    </row>
    <row r="39" spans="1:16" ht="15" customHeight="1" x14ac:dyDescent="0.3">
      <c r="A39" s="35">
        <v>21038</v>
      </c>
      <c r="B39" s="11"/>
      <c r="C39" s="12"/>
      <c r="D39" s="40"/>
      <c r="E39" s="40"/>
      <c r="F39" s="40"/>
      <c r="G39" s="40"/>
      <c r="H39" s="40"/>
      <c r="I39" s="14"/>
      <c r="J39" s="40"/>
      <c r="K39" s="14"/>
      <c r="L39" s="40"/>
      <c r="M39" s="13"/>
      <c r="N39" s="15"/>
      <c r="O39" s="11"/>
      <c r="P39" s="42"/>
    </row>
    <row r="40" spans="1:16" ht="15" customHeight="1" x14ac:dyDescent="0.3">
      <c r="A40" s="35">
        <v>21039</v>
      </c>
      <c r="B40" s="11"/>
      <c r="C40" s="12"/>
      <c r="D40" s="40"/>
      <c r="E40" s="40"/>
      <c r="F40" s="40"/>
      <c r="G40" s="40"/>
      <c r="H40" s="40"/>
      <c r="I40" s="14"/>
      <c r="J40" s="40"/>
      <c r="K40" s="14"/>
      <c r="L40" s="40"/>
      <c r="M40" s="13"/>
      <c r="N40" s="15"/>
      <c r="O40" s="11"/>
      <c r="P40" s="42"/>
    </row>
    <row r="41" spans="1:16" ht="15" customHeight="1" x14ac:dyDescent="0.3">
      <c r="A41" s="35">
        <v>21040</v>
      </c>
      <c r="B41" s="11"/>
      <c r="C41" s="12"/>
      <c r="D41" s="40"/>
      <c r="E41" s="40"/>
      <c r="F41" s="40"/>
      <c r="G41" s="40"/>
      <c r="H41" s="40"/>
      <c r="I41" s="14"/>
      <c r="J41" s="40"/>
      <c r="K41" s="14"/>
      <c r="L41" s="40"/>
      <c r="M41" s="13"/>
      <c r="N41" s="15"/>
      <c r="O41" s="11"/>
      <c r="P41" s="42"/>
    </row>
    <row r="42" spans="1:16" ht="15" customHeight="1" x14ac:dyDescent="0.3">
      <c r="A42" s="35">
        <v>21041</v>
      </c>
      <c r="B42" s="11"/>
      <c r="C42" s="12"/>
      <c r="D42" s="40"/>
      <c r="E42" s="40"/>
      <c r="F42" s="40"/>
      <c r="G42" s="40"/>
      <c r="H42" s="40"/>
      <c r="I42" s="14"/>
      <c r="J42" s="40"/>
      <c r="K42" s="14"/>
      <c r="L42" s="40"/>
      <c r="M42" s="13"/>
      <c r="N42" s="15"/>
      <c r="O42" s="11"/>
      <c r="P42" s="42"/>
    </row>
    <row r="43" spans="1:16" ht="15" customHeight="1" x14ac:dyDescent="0.3">
      <c r="A43" s="35">
        <v>21042</v>
      </c>
      <c r="B43" s="11"/>
      <c r="C43" s="12"/>
      <c r="D43" s="40"/>
      <c r="E43" s="40"/>
      <c r="F43" s="40"/>
      <c r="G43" s="40"/>
      <c r="H43" s="40"/>
      <c r="I43" s="14"/>
      <c r="J43" s="40"/>
      <c r="K43" s="14"/>
      <c r="L43" s="40"/>
      <c r="M43" s="13"/>
      <c r="N43" s="15"/>
      <c r="O43" s="11"/>
      <c r="P43" s="42"/>
    </row>
    <row r="44" spans="1:16" ht="15" customHeight="1" x14ac:dyDescent="0.3">
      <c r="A44" s="35">
        <v>21043</v>
      </c>
      <c r="B44" s="11"/>
      <c r="C44" s="12"/>
      <c r="D44" s="40"/>
      <c r="E44" s="40"/>
      <c r="F44" s="40"/>
      <c r="G44" s="40"/>
      <c r="H44" s="40"/>
      <c r="I44" s="14"/>
      <c r="J44" s="40"/>
      <c r="K44" s="14"/>
      <c r="L44" s="40"/>
      <c r="M44" s="13"/>
      <c r="N44" s="15"/>
      <c r="O44" s="11"/>
      <c r="P44" s="42"/>
    </row>
    <row r="45" spans="1:16" ht="15" customHeight="1" thickBot="1" x14ac:dyDescent="0.35">
      <c r="A45" s="36">
        <v>21044</v>
      </c>
      <c r="B45" s="11"/>
      <c r="C45" s="12"/>
      <c r="D45" s="40"/>
      <c r="E45" s="40"/>
      <c r="F45" s="40"/>
      <c r="G45" s="40"/>
      <c r="H45" s="40"/>
      <c r="I45" s="14"/>
      <c r="J45" s="40"/>
      <c r="K45" s="14"/>
      <c r="L45" s="40"/>
      <c r="M45" s="13"/>
      <c r="N45" s="15"/>
      <c r="O45" s="11"/>
      <c r="P45" s="42"/>
    </row>
    <row r="46" spans="1:16" ht="15" customHeight="1" x14ac:dyDescent="0.3">
      <c r="A46" s="34">
        <v>21045</v>
      </c>
      <c r="B46" s="11"/>
      <c r="C46" s="12"/>
      <c r="D46" s="40"/>
      <c r="E46" s="40"/>
      <c r="F46" s="40"/>
      <c r="G46" s="40"/>
      <c r="H46" s="40"/>
      <c r="I46" s="14"/>
      <c r="J46" s="40"/>
      <c r="K46" s="14"/>
      <c r="L46" s="40"/>
      <c r="M46" s="13"/>
      <c r="N46" s="15"/>
      <c r="O46" s="11"/>
      <c r="P46" s="42"/>
    </row>
    <row r="47" spans="1:16" ht="15" customHeight="1" x14ac:dyDescent="0.3">
      <c r="A47" s="35">
        <v>21046</v>
      </c>
      <c r="B47" s="11"/>
      <c r="C47" s="12"/>
      <c r="D47" s="40"/>
      <c r="E47" s="40"/>
      <c r="F47" s="40"/>
      <c r="G47" s="40"/>
      <c r="H47" s="40"/>
      <c r="I47" s="14"/>
      <c r="J47" s="40"/>
      <c r="K47" s="14"/>
      <c r="L47" s="40"/>
      <c r="M47" s="13"/>
      <c r="N47" s="15"/>
      <c r="O47" s="11"/>
      <c r="P47" s="42"/>
    </row>
    <row r="48" spans="1:16" ht="15" customHeight="1" x14ac:dyDescent="0.3">
      <c r="A48" s="35">
        <v>21047</v>
      </c>
      <c r="B48" s="11"/>
      <c r="C48" s="12"/>
      <c r="D48" s="40"/>
      <c r="E48" s="40"/>
      <c r="F48" s="40"/>
      <c r="G48" s="40"/>
      <c r="H48" s="40"/>
      <c r="I48" s="14"/>
      <c r="J48" s="40"/>
      <c r="K48" s="14"/>
      <c r="L48" s="40"/>
      <c r="M48" s="13"/>
      <c r="N48" s="15"/>
      <c r="O48" s="11"/>
      <c r="P48" s="42"/>
    </row>
    <row r="49" spans="1:16" ht="15" customHeight="1" x14ac:dyDescent="0.3">
      <c r="A49" s="35">
        <v>21048</v>
      </c>
      <c r="B49" s="11"/>
      <c r="C49" s="12"/>
      <c r="D49" s="40"/>
      <c r="E49" s="40"/>
      <c r="F49" s="40"/>
      <c r="G49" s="40"/>
      <c r="H49" s="40"/>
      <c r="I49" s="14"/>
      <c r="J49" s="40"/>
      <c r="K49" s="14"/>
      <c r="L49" s="40"/>
      <c r="M49" s="13"/>
      <c r="N49" s="15"/>
      <c r="O49" s="11"/>
      <c r="P49" s="42"/>
    </row>
    <row r="50" spans="1:16" ht="15" customHeight="1" x14ac:dyDescent="0.3">
      <c r="A50" s="35">
        <v>21049</v>
      </c>
      <c r="B50" s="11"/>
      <c r="C50" s="12"/>
      <c r="D50" s="40"/>
      <c r="E50" s="40"/>
      <c r="F50" s="40"/>
      <c r="G50" s="40"/>
      <c r="H50" s="40"/>
      <c r="I50" s="14"/>
      <c r="J50" s="40"/>
      <c r="K50" s="14"/>
      <c r="L50" s="40"/>
      <c r="M50" s="13"/>
      <c r="N50" s="15"/>
      <c r="O50" s="11"/>
      <c r="P50" s="42"/>
    </row>
    <row r="51" spans="1:16" ht="15" customHeight="1" x14ac:dyDescent="0.3">
      <c r="A51" s="35">
        <v>21050</v>
      </c>
      <c r="B51" s="11"/>
      <c r="C51" s="12"/>
      <c r="D51" s="40"/>
      <c r="E51" s="40"/>
      <c r="F51" s="40"/>
      <c r="G51" s="40"/>
      <c r="H51" s="40"/>
      <c r="I51" s="14"/>
      <c r="J51" s="40"/>
      <c r="K51" s="14"/>
      <c r="L51" s="40"/>
      <c r="M51" s="13"/>
      <c r="N51" s="15"/>
      <c r="O51" s="11"/>
      <c r="P51" s="42"/>
    </row>
    <row r="52" spans="1:16" ht="15" customHeight="1" x14ac:dyDescent="0.3">
      <c r="A52" s="35">
        <v>21051</v>
      </c>
      <c r="B52" s="11"/>
      <c r="C52" s="12"/>
      <c r="D52" s="40"/>
      <c r="E52" s="40"/>
      <c r="F52" s="40"/>
      <c r="G52" s="40"/>
      <c r="H52" s="40"/>
      <c r="I52" s="14"/>
      <c r="J52" s="40"/>
      <c r="K52" s="14"/>
      <c r="L52" s="40"/>
      <c r="M52" s="13"/>
      <c r="N52" s="15"/>
      <c r="O52" s="11"/>
      <c r="P52" s="42"/>
    </row>
    <row r="53" spans="1:16" ht="15" customHeight="1" x14ac:dyDescent="0.3">
      <c r="A53" s="35">
        <v>21052</v>
      </c>
      <c r="B53" s="11"/>
      <c r="C53" s="12"/>
      <c r="D53" s="40"/>
      <c r="E53" s="40"/>
      <c r="F53" s="40"/>
      <c r="G53" s="40"/>
      <c r="H53" s="40"/>
      <c r="I53" s="14"/>
      <c r="J53" s="40"/>
      <c r="K53" s="14"/>
      <c r="L53" s="40"/>
      <c r="M53" s="13"/>
      <c r="N53" s="15"/>
      <c r="O53" s="11"/>
      <c r="P53" s="42"/>
    </row>
    <row r="54" spans="1:16" ht="15" customHeight="1" x14ac:dyDescent="0.3">
      <c r="A54" s="35">
        <v>21053</v>
      </c>
      <c r="B54" s="11"/>
      <c r="C54" s="12"/>
      <c r="D54" s="40"/>
      <c r="E54" s="40"/>
      <c r="F54" s="40"/>
      <c r="G54" s="40"/>
      <c r="H54" s="40"/>
      <c r="I54" s="14"/>
      <c r="J54" s="40"/>
      <c r="K54" s="14"/>
      <c r="L54" s="40"/>
      <c r="M54" s="13"/>
      <c r="N54" s="15"/>
      <c r="O54" s="11"/>
      <c r="P54" s="42"/>
    </row>
    <row r="55" spans="1:16" ht="15" customHeight="1" x14ac:dyDescent="0.3">
      <c r="A55" s="35">
        <v>21054</v>
      </c>
      <c r="B55" s="11"/>
      <c r="C55" s="12"/>
      <c r="D55" s="40"/>
      <c r="E55" s="40"/>
      <c r="F55" s="40"/>
      <c r="G55" s="40"/>
      <c r="H55" s="40"/>
      <c r="I55" s="14"/>
      <c r="J55" s="40"/>
      <c r="K55" s="14"/>
      <c r="L55" s="40"/>
      <c r="M55" s="13"/>
      <c r="N55" s="15"/>
      <c r="O55" s="11"/>
      <c r="P55" s="42"/>
    </row>
    <row r="56" spans="1:16" ht="15" customHeight="1" thickBot="1" x14ac:dyDescent="0.35">
      <c r="A56" s="36">
        <v>21055</v>
      </c>
      <c r="B56" s="11"/>
      <c r="C56" s="12"/>
      <c r="D56" s="40"/>
      <c r="E56" s="40"/>
      <c r="F56" s="40"/>
      <c r="G56" s="40"/>
      <c r="H56" s="40"/>
      <c r="I56" s="14"/>
      <c r="J56" s="40"/>
      <c r="K56" s="14"/>
      <c r="L56" s="40"/>
      <c r="M56" s="13"/>
      <c r="N56" s="15"/>
      <c r="O56" s="11"/>
      <c r="P56" s="42"/>
    </row>
    <row r="57" spans="1:16" ht="15" customHeight="1" x14ac:dyDescent="0.3">
      <c r="A57" s="34">
        <v>21056</v>
      </c>
      <c r="B57" s="11"/>
      <c r="C57" s="12"/>
      <c r="D57" s="40"/>
      <c r="E57" s="40"/>
      <c r="F57" s="40"/>
      <c r="G57" s="40"/>
      <c r="H57" s="40"/>
      <c r="I57" s="14"/>
      <c r="J57" s="40"/>
      <c r="K57" s="14"/>
      <c r="L57" s="40"/>
      <c r="M57" s="13"/>
      <c r="N57" s="15"/>
      <c r="O57" s="11"/>
      <c r="P57" s="42"/>
    </row>
    <row r="58" spans="1:16" ht="15" customHeight="1" x14ac:dyDescent="0.3">
      <c r="A58" s="35">
        <v>21057</v>
      </c>
      <c r="B58" s="11"/>
      <c r="C58" s="12"/>
      <c r="D58" s="40"/>
      <c r="E58" s="40"/>
      <c r="F58" s="40"/>
      <c r="G58" s="40"/>
      <c r="H58" s="40"/>
      <c r="I58" s="14"/>
      <c r="J58" s="40"/>
      <c r="K58" s="14"/>
      <c r="L58" s="40"/>
      <c r="M58" s="13"/>
      <c r="N58" s="15"/>
      <c r="O58" s="11"/>
      <c r="P58" s="42"/>
    </row>
    <row r="59" spans="1:16" ht="15" customHeight="1" x14ac:dyDescent="0.3">
      <c r="A59" s="35">
        <v>21058</v>
      </c>
      <c r="B59" s="11"/>
      <c r="C59" s="12"/>
      <c r="D59" s="40"/>
      <c r="E59" s="40"/>
      <c r="F59" s="40"/>
      <c r="G59" s="40"/>
      <c r="H59" s="40"/>
      <c r="I59" s="14"/>
      <c r="J59" s="40"/>
      <c r="K59" s="14"/>
      <c r="L59" s="40"/>
      <c r="M59" s="13"/>
      <c r="N59" s="15"/>
      <c r="O59" s="11"/>
      <c r="P59" s="42"/>
    </row>
    <row r="60" spans="1:16" ht="15" customHeight="1" x14ac:dyDescent="0.3">
      <c r="A60" s="35">
        <v>21059</v>
      </c>
      <c r="B60" s="11"/>
      <c r="C60" s="12"/>
      <c r="D60" s="40"/>
      <c r="E60" s="40"/>
      <c r="F60" s="40"/>
      <c r="G60" s="40"/>
      <c r="H60" s="40"/>
      <c r="I60" s="14"/>
      <c r="J60" s="40"/>
      <c r="K60" s="14"/>
      <c r="L60" s="40"/>
      <c r="M60" s="13"/>
      <c r="N60" s="15"/>
      <c r="O60" s="11"/>
      <c r="P60" s="42"/>
    </row>
    <row r="61" spans="1:16" ht="15" customHeight="1" x14ac:dyDescent="0.3">
      <c r="A61" s="35">
        <v>21060</v>
      </c>
      <c r="B61" s="11"/>
      <c r="C61" s="12"/>
      <c r="D61" s="40"/>
      <c r="E61" s="40"/>
      <c r="F61" s="40"/>
      <c r="G61" s="40"/>
      <c r="H61" s="40"/>
      <c r="I61" s="14"/>
      <c r="J61" s="40"/>
      <c r="K61" s="14"/>
      <c r="L61" s="40"/>
      <c r="M61" s="13"/>
      <c r="N61" s="15"/>
      <c r="O61" s="11"/>
      <c r="P61" s="42"/>
    </row>
    <row r="62" spans="1:16" ht="15" customHeight="1" x14ac:dyDescent="0.3">
      <c r="A62" s="35">
        <v>21061</v>
      </c>
      <c r="B62" s="11"/>
      <c r="C62" s="12"/>
      <c r="D62" s="40"/>
      <c r="E62" s="40"/>
      <c r="F62" s="40"/>
      <c r="G62" s="40"/>
      <c r="H62" s="40"/>
      <c r="I62" s="14"/>
      <c r="J62" s="40"/>
      <c r="K62" s="14"/>
      <c r="L62" s="40"/>
      <c r="M62" s="13"/>
      <c r="N62" s="15"/>
      <c r="O62" s="11"/>
      <c r="P62" s="42"/>
    </row>
    <row r="63" spans="1:16" ht="15" customHeight="1" x14ac:dyDescent="0.3">
      <c r="A63" s="35">
        <v>21062</v>
      </c>
      <c r="B63" s="11"/>
      <c r="C63" s="12"/>
      <c r="D63" s="40"/>
      <c r="E63" s="40"/>
      <c r="F63" s="40"/>
      <c r="G63" s="40"/>
      <c r="H63" s="40"/>
      <c r="I63" s="14"/>
      <c r="J63" s="40"/>
      <c r="K63" s="14"/>
      <c r="L63" s="40"/>
      <c r="M63" s="13"/>
      <c r="N63" s="15"/>
      <c r="O63" s="11"/>
      <c r="P63" s="42"/>
    </row>
    <row r="64" spans="1:16" ht="15" customHeight="1" x14ac:dyDescent="0.3">
      <c r="A64" s="35">
        <v>21063</v>
      </c>
      <c r="B64" s="11"/>
      <c r="C64" s="12"/>
      <c r="D64" s="40"/>
      <c r="E64" s="40"/>
      <c r="F64" s="40"/>
      <c r="G64" s="40"/>
      <c r="H64" s="40"/>
      <c r="I64" s="14"/>
      <c r="J64" s="40"/>
      <c r="K64" s="14"/>
      <c r="L64" s="40"/>
      <c r="M64" s="13"/>
      <c r="N64" s="15"/>
      <c r="O64" s="11"/>
      <c r="P64" s="42"/>
    </row>
    <row r="65" spans="1:16" ht="15" customHeight="1" thickBot="1" x14ac:dyDescent="0.35">
      <c r="A65" s="35">
        <v>21064</v>
      </c>
      <c r="B65" s="11"/>
      <c r="C65" s="12"/>
      <c r="D65" s="40"/>
      <c r="E65" s="40"/>
      <c r="F65" s="40"/>
      <c r="G65" s="40"/>
      <c r="H65" s="40"/>
      <c r="I65" s="14"/>
      <c r="J65" s="40"/>
      <c r="K65" s="14"/>
      <c r="L65" s="40"/>
      <c r="M65" s="13"/>
      <c r="N65" s="15"/>
      <c r="O65" s="11"/>
      <c r="P65" s="42"/>
    </row>
    <row r="66" spans="1:16" ht="15" customHeight="1" x14ac:dyDescent="0.3">
      <c r="A66" s="37">
        <v>21065</v>
      </c>
      <c r="B66" s="11"/>
      <c r="C66" s="12"/>
      <c r="D66" s="40"/>
      <c r="E66" s="40"/>
      <c r="F66" s="40"/>
      <c r="G66" s="40"/>
      <c r="H66" s="40"/>
      <c r="I66" s="14"/>
      <c r="J66" s="40"/>
      <c r="K66" s="14"/>
      <c r="L66" s="40"/>
      <c r="M66" s="13"/>
      <c r="N66" s="15"/>
      <c r="O66" s="11"/>
      <c r="P66" s="42"/>
    </row>
    <row r="67" spans="1:16" ht="15" customHeight="1" x14ac:dyDescent="0.3">
      <c r="A67" s="38">
        <v>21066</v>
      </c>
      <c r="B67" s="11"/>
      <c r="C67" s="12"/>
      <c r="D67" s="40"/>
      <c r="E67" s="40"/>
      <c r="F67" s="40"/>
      <c r="G67" s="40"/>
      <c r="H67" s="40"/>
      <c r="I67" s="14"/>
      <c r="J67" s="40"/>
      <c r="K67" s="14"/>
      <c r="L67" s="40"/>
      <c r="M67" s="13"/>
      <c r="N67" s="15"/>
      <c r="O67" s="11"/>
      <c r="P67" s="42"/>
    </row>
    <row r="68" spans="1:16" ht="18.75" x14ac:dyDescent="0.3">
      <c r="A68" s="38">
        <v>21067</v>
      </c>
      <c r="B68" s="11"/>
      <c r="C68" s="12"/>
      <c r="D68" s="40"/>
      <c r="E68" s="40"/>
      <c r="F68" s="40"/>
      <c r="G68" s="40"/>
      <c r="H68" s="40"/>
      <c r="I68" s="14"/>
      <c r="J68" s="40"/>
      <c r="K68" s="14"/>
      <c r="L68" s="40"/>
      <c r="M68" s="13"/>
      <c r="N68" s="15"/>
      <c r="O68" s="11"/>
      <c r="P68" s="42"/>
    </row>
    <row r="69" spans="1:16" ht="18.75" x14ac:dyDescent="0.3">
      <c r="A69" s="38">
        <v>21068</v>
      </c>
      <c r="B69" s="11"/>
      <c r="C69" s="12"/>
      <c r="D69" s="40"/>
      <c r="E69" s="40"/>
      <c r="F69" s="40"/>
      <c r="G69" s="40"/>
      <c r="H69" s="40"/>
      <c r="I69" s="14"/>
      <c r="J69" s="40"/>
      <c r="K69" s="14"/>
      <c r="L69" s="40"/>
      <c r="M69" s="13"/>
      <c r="N69" s="15"/>
      <c r="O69" s="11"/>
      <c r="P69" s="42"/>
    </row>
    <row r="70" spans="1:16" ht="18.75" x14ac:dyDescent="0.3">
      <c r="A70" s="38">
        <v>21069</v>
      </c>
      <c r="B70" s="11"/>
      <c r="C70" s="12"/>
      <c r="D70" s="40"/>
      <c r="E70" s="40"/>
      <c r="F70" s="40"/>
      <c r="G70" s="40"/>
      <c r="H70" s="40"/>
      <c r="I70" s="14"/>
      <c r="J70" s="40"/>
      <c r="K70" s="14"/>
      <c r="L70" s="40"/>
      <c r="M70" s="13"/>
      <c r="N70" s="15"/>
      <c r="O70" s="11"/>
      <c r="P70" s="42"/>
    </row>
    <row r="71" spans="1:16" ht="18.75" x14ac:dyDescent="0.3">
      <c r="A71" s="38">
        <v>21070</v>
      </c>
      <c r="B71" s="11"/>
      <c r="C71" s="12"/>
      <c r="D71" s="40"/>
      <c r="E71" s="40"/>
      <c r="F71" s="40"/>
      <c r="G71" s="40"/>
      <c r="H71" s="40"/>
      <c r="I71" s="14"/>
      <c r="J71" s="40"/>
      <c r="K71" s="14"/>
      <c r="L71" s="40"/>
      <c r="M71" s="13"/>
      <c r="N71" s="15"/>
      <c r="O71" s="11"/>
      <c r="P71" s="42"/>
    </row>
    <row r="72" spans="1:16" ht="18.75" x14ac:dyDescent="0.3">
      <c r="A72" s="38">
        <v>21071</v>
      </c>
      <c r="B72" s="11"/>
      <c r="C72" s="12"/>
      <c r="D72" s="40"/>
      <c r="E72" s="40"/>
      <c r="F72" s="40"/>
      <c r="G72" s="40"/>
      <c r="H72" s="40"/>
      <c r="I72" s="14"/>
      <c r="J72" s="40"/>
      <c r="K72" s="14"/>
      <c r="L72" s="40"/>
      <c r="M72" s="13"/>
      <c r="N72" s="15"/>
      <c r="O72" s="11"/>
      <c r="P72" s="42"/>
    </row>
    <row r="73" spans="1:16" ht="18.75" x14ac:dyDescent="0.3">
      <c r="A73" s="39">
        <v>21072</v>
      </c>
      <c r="B73" s="11"/>
      <c r="C73" s="12"/>
      <c r="D73" s="40"/>
      <c r="E73" s="40"/>
      <c r="F73" s="40"/>
      <c r="G73" s="40"/>
      <c r="H73" s="40"/>
      <c r="I73" s="14"/>
      <c r="J73" s="40"/>
      <c r="K73" s="14"/>
      <c r="L73" s="40"/>
      <c r="M73" s="13"/>
      <c r="N73" s="15"/>
      <c r="O73" s="11"/>
      <c r="P73" s="42"/>
    </row>
    <row r="74" spans="1:16" ht="18.75" x14ac:dyDescent="0.3">
      <c r="A74" s="39">
        <v>21073</v>
      </c>
      <c r="B74" s="26"/>
      <c r="C74" s="27"/>
      <c r="D74" s="41"/>
      <c r="E74" s="41"/>
      <c r="F74" s="41"/>
      <c r="G74" s="41"/>
      <c r="H74" s="41"/>
      <c r="I74" s="29"/>
      <c r="J74" s="41"/>
      <c r="K74" s="29"/>
      <c r="L74" s="41"/>
      <c r="M74" s="28"/>
      <c r="N74" s="30"/>
      <c r="O74" s="26"/>
      <c r="P74" s="43"/>
    </row>
    <row r="75" spans="1:16" ht="18.75" x14ac:dyDescent="0.3">
      <c r="A75" s="39">
        <v>21074</v>
      </c>
      <c r="B75" s="26"/>
      <c r="C75" s="27"/>
      <c r="D75" s="41"/>
      <c r="E75" s="41"/>
      <c r="F75" s="41"/>
      <c r="G75" s="41"/>
      <c r="H75" s="41"/>
      <c r="I75" s="29"/>
      <c r="J75" s="41"/>
      <c r="K75" s="29"/>
      <c r="L75" s="41"/>
      <c r="M75" s="28"/>
      <c r="N75" s="30"/>
      <c r="O75" s="26"/>
      <c r="P75" s="43"/>
    </row>
    <row r="76" spans="1:16" ht="18.75" x14ac:dyDescent="0.3">
      <c r="A76" s="39">
        <v>21075</v>
      </c>
      <c r="B76" s="26"/>
      <c r="C76" s="27"/>
      <c r="D76" s="41"/>
      <c r="E76" s="41"/>
      <c r="F76" s="41"/>
      <c r="G76" s="41"/>
      <c r="H76" s="41"/>
      <c r="I76" s="29"/>
      <c r="J76" s="41"/>
      <c r="K76" s="29"/>
      <c r="L76" s="41"/>
      <c r="M76" s="28"/>
      <c r="N76" s="30"/>
      <c r="O76" s="26"/>
      <c r="P76" s="43"/>
    </row>
    <row r="77" spans="1:16" ht="18.75" x14ac:dyDescent="0.3">
      <c r="A77" s="39">
        <v>21076</v>
      </c>
      <c r="B77" s="26"/>
      <c r="C77" s="27"/>
      <c r="D77" s="41"/>
      <c r="E77" s="41"/>
      <c r="F77" s="41"/>
      <c r="G77" s="41"/>
      <c r="H77" s="41"/>
      <c r="I77" s="29"/>
      <c r="J77" s="41"/>
      <c r="K77" s="29"/>
      <c r="L77" s="41"/>
      <c r="M77" s="28"/>
      <c r="N77" s="30"/>
      <c r="O77" s="26"/>
      <c r="P77" s="43"/>
    </row>
    <row r="78" spans="1:16" ht="18.75" x14ac:dyDescent="0.3">
      <c r="A78" s="39">
        <v>21077</v>
      </c>
      <c r="B78" s="26"/>
      <c r="C78" s="27"/>
      <c r="D78" s="41"/>
      <c r="E78" s="41"/>
      <c r="F78" s="41"/>
      <c r="G78" s="41"/>
      <c r="H78" s="41"/>
      <c r="I78" s="29"/>
      <c r="J78" s="41"/>
      <c r="K78" s="29"/>
      <c r="L78" s="41"/>
      <c r="M78" s="28"/>
      <c r="N78" s="30"/>
      <c r="O78" s="26"/>
      <c r="P78" s="43"/>
    </row>
    <row r="79" spans="1:16" ht="18.75" x14ac:dyDescent="0.3">
      <c r="A79" s="39">
        <v>21078</v>
      </c>
      <c r="B79" s="26"/>
      <c r="C79" s="27"/>
      <c r="D79" s="41"/>
      <c r="E79" s="41"/>
      <c r="F79" s="41"/>
      <c r="G79" s="41"/>
      <c r="H79" s="41"/>
      <c r="I79" s="29"/>
      <c r="J79" s="41"/>
      <c r="K79" s="29"/>
      <c r="L79" s="41"/>
      <c r="M79" s="28"/>
      <c r="N79" s="30"/>
      <c r="O79" s="26"/>
      <c r="P79" s="43"/>
    </row>
    <row r="80" spans="1:16" ht="18.75" x14ac:dyDescent="0.3">
      <c r="A80" s="39">
        <v>21079</v>
      </c>
      <c r="B80" s="26"/>
      <c r="C80" s="27"/>
      <c r="D80" s="41"/>
      <c r="E80" s="41"/>
      <c r="F80" s="41"/>
      <c r="G80" s="41"/>
      <c r="H80" s="41"/>
      <c r="I80" s="29"/>
      <c r="J80" s="41"/>
      <c r="K80" s="29"/>
      <c r="L80" s="41"/>
      <c r="M80" s="28"/>
      <c r="N80" s="30"/>
      <c r="O80" s="26"/>
      <c r="P80" s="43"/>
    </row>
    <row r="81" spans="1:16" ht="18.75" x14ac:dyDescent="0.3">
      <c r="A81" s="39">
        <v>21080</v>
      </c>
      <c r="B81" s="26"/>
      <c r="C81" s="27"/>
      <c r="D81" s="41"/>
      <c r="E81" s="41"/>
      <c r="F81" s="41"/>
      <c r="G81" s="41"/>
      <c r="H81" s="41"/>
      <c r="I81" s="29"/>
      <c r="J81" s="41"/>
      <c r="K81" s="29"/>
      <c r="L81" s="41"/>
      <c r="M81" s="28"/>
      <c r="N81" s="30"/>
      <c r="O81" s="26"/>
      <c r="P81" s="43"/>
    </row>
    <row r="82" spans="1:16" ht="18.75" x14ac:dyDescent="0.3">
      <c r="A82" s="39">
        <v>21081</v>
      </c>
      <c r="B82" s="26"/>
      <c r="C82" s="27"/>
      <c r="D82" s="41"/>
      <c r="E82" s="41"/>
      <c r="F82" s="41"/>
      <c r="G82" s="41"/>
      <c r="H82" s="41"/>
      <c r="I82" s="29"/>
      <c r="J82" s="41"/>
      <c r="K82" s="29"/>
      <c r="L82" s="41"/>
      <c r="M82" s="28"/>
      <c r="N82" s="30"/>
      <c r="O82" s="26"/>
      <c r="P82" s="43"/>
    </row>
    <row r="83" spans="1:16" ht="18.75" x14ac:dyDescent="0.3">
      <c r="A83" s="39">
        <v>21082</v>
      </c>
      <c r="B83" s="26"/>
      <c r="C83" s="27"/>
      <c r="D83" s="41"/>
      <c r="E83" s="41"/>
      <c r="F83" s="41"/>
      <c r="G83" s="41"/>
      <c r="H83" s="41"/>
      <c r="I83" s="29"/>
      <c r="J83" s="41"/>
      <c r="K83" s="29"/>
      <c r="L83" s="41"/>
      <c r="M83" s="28"/>
      <c r="N83" s="30"/>
      <c r="O83" s="26"/>
      <c r="P83" s="43"/>
    </row>
    <row r="84" spans="1:16" ht="18.75" x14ac:dyDescent="0.3">
      <c r="A84" s="39">
        <v>21083</v>
      </c>
      <c r="B84" s="26"/>
      <c r="C84" s="27"/>
      <c r="D84" s="41"/>
      <c r="E84" s="41"/>
      <c r="F84" s="41"/>
      <c r="G84" s="41"/>
      <c r="H84" s="41"/>
      <c r="I84" s="29"/>
      <c r="J84" s="41"/>
      <c r="K84" s="29"/>
      <c r="L84" s="41"/>
      <c r="M84" s="28"/>
      <c r="N84" s="30"/>
      <c r="O84" s="26"/>
      <c r="P84" s="43"/>
    </row>
    <row r="85" spans="1:16" ht="18.75" x14ac:dyDescent="0.3">
      <c r="A85" s="39">
        <v>21084</v>
      </c>
      <c r="B85" s="26"/>
      <c r="C85" s="27"/>
      <c r="D85" s="41"/>
      <c r="E85" s="41"/>
      <c r="F85" s="41"/>
      <c r="G85" s="41"/>
      <c r="H85" s="41"/>
      <c r="I85" s="29"/>
      <c r="J85" s="41"/>
      <c r="K85" s="29"/>
      <c r="L85" s="41"/>
      <c r="M85" s="28"/>
      <c r="N85" s="30"/>
      <c r="O85" s="26"/>
      <c r="P85" s="43"/>
    </row>
    <row r="86" spans="1:16" ht="18.75" x14ac:dyDescent="0.3">
      <c r="A86" s="39">
        <v>21085</v>
      </c>
      <c r="B86" s="26"/>
      <c r="C86" s="27"/>
      <c r="D86" s="41"/>
      <c r="E86" s="41"/>
      <c r="F86" s="41"/>
      <c r="G86" s="41"/>
      <c r="H86" s="41"/>
      <c r="I86" s="29"/>
      <c r="J86" s="41"/>
      <c r="K86" s="29"/>
      <c r="L86" s="41"/>
      <c r="M86" s="28"/>
      <c r="N86" s="30"/>
      <c r="O86" s="26"/>
      <c r="P86" s="43"/>
    </row>
    <row r="87" spans="1:16" ht="18.75" x14ac:dyDescent="0.3">
      <c r="A87" s="39">
        <v>21086</v>
      </c>
      <c r="B87" s="26"/>
      <c r="C87" s="27"/>
      <c r="D87" s="41"/>
      <c r="E87" s="41"/>
      <c r="F87" s="41"/>
      <c r="G87" s="41"/>
      <c r="H87" s="41"/>
      <c r="I87" s="29"/>
      <c r="J87" s="41"/>
      <c r="K87" s="29"/>
      <c r="L87" s="41"/>
      <c r="M87" s="28"/>
      <c r="N87" s="30"/>
      <c r="O87" s="26"/>
      <c r="P87" s="43"/>
    </row>
    <row r="88" spans="1:16" ht="18.75" x14ac:dyDescent="0.3">
      <c r="A88" s="39">
        <v>21087</v>
      </c>
      <c r="B88" s="26"/>
      <c r="C88" s="27"/>
      <c r="D88" s="41"/>
      <c r="E88" s="41"/>
      <c r="F88" s="41"/>
      <c r="G88" s="41"/>
      <c r="H88" s="41"/>
      <c r="I88" s="29"/>
      <c r="J88" s="41"/>
      <c r="K88" s="29"/>
      <c r="L88" s="41"/>
      <c r="M88" s="28"/>
      <c r="N88" s="30"/>
      <c r="O88" s="26"/>
      <c r="P88" s="43"/>
    </row>
    <row r="89" spans="1:16" ht="18.75" x14ac:dyDescent="0.3">
      <c r="A89" s="39">
        <v>21088</v>
      </c>
      <c r="B89" s="26"/>
      <c r="C89" s="27"/>
      <c r="D89" s="41"/>
      <c r="E89" s="41"/>
      <c r="F89" s="41"/>
      <c r="G89" s="41"/>
      <c r="H89" s="41"/>
      <c r="I89" s="29"/>
      <c r="J89" s="41"/>
      <c r="K89" s="29"/>
      <c r="L89" s="41"/>
      <c r="M89" s="28"/>
      <c r="N89" s="30"/>
      <c r="O89" s="26"/>
      <c r="P89" s="43"/>
    </row>
    <row r="90" spans="1:16" ht="18.75" x14ac:dyDescent="0.3">
      <c r="A90" s="39">
        <v>21089</v>
      </c>
      <c r="B90" s="26"/>
      <c r="C90" s="27"/>
      <c r="D90" s="41"/>
      <c r="E90" s="41"/>
      <c r="F90" s="41"/>
      <c r="G90" s="41"/>
      <c r="H90" s="41"/>
      <c r="I90" s="29"/>
      <c r="J90" s="41"/>
      <c r="K90" s="29"/>
      <c r="L90" s="41"/>
      <c r="M90" s="28"/>
      <c r="N90" s="30"/>
      <c r="O90" s="26"/>
      <c r="P90" s="43"/>
    </row>
    <row r="91" spans="1:16" ht="18.75" x14ac:dyDescent="0.3">
      <c r="A91" s="39">
        <v>21090</v>
      </c>
      <c r="B91" s="26"/>
      <c r="C91" s="27"/>
      <c r="D91" s="41"/>
      <c r="E91" s="41"/>
      <c r="F91" s="41"/>
      <c r="G91" s="41"/>
      <c r="H91" s="41"/>
      <c r="I91" s="29"/>
      <c r="J91" s="41"/>
      <c r="K91" s="29"/>
      <c r="L91" s="41"/>
      <c r="M91" s="28"/>
      <c r="N91" s="30"/>
      <c r="O91" s="26"/>
      <c r="P91" s="43"/>
    </row>
    <row r="92" spans="1:16" ht="18.75" x14ac:dyDescent="0.3">
      <c r="A92" s="39">
        <v>21091</v>
      </c>
      <c r="B92" s="26"/>
      <c r="C92" s="27"/>
      <c r="D92" s="41"/>
      <c r="E92" s="41"/>
      <c r="F92" s="41"/>
      <c r="G92" s="41"/>
      <c r="H92" s="41"/>
      <c r="I92" s="29"/>
      <c r="J92" s="41"/>
      <c r="K92" s="29"/>
      <c r="L92" s="41"/>
      <c r="M92" s="28"/>
      <c r="N92" s="30"/>
      <c r="O92" s="26"/>
      <c r="P92" s="43"/>
    </row>
    <row r="93" spans="1:16" ht="18.75" x14ac:dyDescent="0.3">
      <c r="A93" s="39">
        <v>21092</v>
      </c>
      <c r="B93" s="26"/>
      <c r="C93" s="27"/>
      <c r="D93" s="41"/>
      <c r="E93" s="41"/>
      <c r="F93" s="41"/>
      <c r="G93" s="41"/>
      <c r="H93" s="41"/>
      <c r="I93" s="29"/>
      <c r="J93" s="41"/>
      <c r="K93" s="29"/>
      <c r="L93" s="41"/>
      <c r="M93" s="28"/>
      <c r="N93" s="30"/>
      <c r="O93" s="26"/>
      <c r="P93" s="43"/>
    </row>
    <row r="94" spans="1:16" ht="18.75" x14ac:dyDescent="0.3">
      <c r="A94" s="39">
        <v>21093</v>
      </c>
      <c r="B94" s="26"/>
      <c r="C94" s="27"/>
      <c r="D94" s="41"/>
      <c r="E94" s="41"/>
      <c r="F94" s="41"/>
      <c r="G94" s="41"/>
      <c r="H94" s="41"/>
      <c r="I94" s="29"/>
      <c r="J94" s="41"/>
      <c r="K94" s="29"/>
      <c r="L94" s="41"/>
      <c r="M94" s="28"/>
      <c r="N94" s="30"/>
      <c r="O94" s="26"/>
      <c r="P94" s="43"/>
    </row>
    <row r="95" spans="1:16" ht="18.75" x14ac:dyDescent="0.3">
      <c r="A95" s="39">
        <v>21094</v>
      </c>
      <c r="B95" s="26"/>
      <c r="C95" s="27"/>
      <c r="D95" s="41"/>
      <c r="E95" s="41"/>
      <c r="F95" s="41"/>
      <c r="G95" s="41"/>
      <c r="H95" s="41"/>
      <c r="I95" s="29"/>
      <c r="J95" s="41"/>
      <c r="K95" s="29"/>
      <c r="L95" s="41"/>
      <c r="M95" s="28"/>
      <c r="N95" s="30"/>
      <c r="O95" s="26"/>
      <c r="P95" s="43"/>
    </row>
    <row r="96" spans="1:16" ht="18.75" x14ac:dyDescent="0.3">
      <c r="A96" s="39">
        <v>21095</v>
      </c>
      <c r="B96" s="26"/>
      <c r="C96" s="27"/>
      <c r="D96" s="41"/>
      <c r="E96" s="41"/>
      <c r="F96" s="41"/>
      <c r="G96" s="41"/>
      <c r="H96" s="41"/>
      <c r="I96" s="29"/>
      <c r="J96" s="41"/>
      <c r="K96" s="29"/>
      <c r="L96" s="41"/>
      <c r="M96" s="28"/>
      <c r="N96" s="30"/>
      <c r="O96" s="26"/>
      <c r="P96" s="44"/>
    </row>
    <row r="97" spans="1:16" ht="18.75" x14ac:dyDescent="0.3">
      <c r="A97" s="39">
        <v>21096</v>
      </c>
      <c r="B97" s="26"/>
      <c r="C97" s="27"/>
      <c r="D97" s="41"/>
      <c r="E97" s="41"/>
      <c r="F97" s="41"/>
      <c r="G97" s="41"/>
      <c r="H97" s="41"/>
      <c r="I97" s="29"/>
      <c r="J97" s="41"/>
      <c r="K97" s="29"/>
      <c r="L97" s="41"/>
      <c r="M97" s="28"/>
      <c r="N97" s="30"/>
      <c r="O97" s="26"/>
      <c r="P97" s="43"/>
    </row>
    <row r="98" spans="1:16" ht="18.75" x14ac:dyDescent="0.3">
      <c r="A98" s="39">
        <v>21097</v>
      </c>
      <c r="B98" s="26"/>
      <c r="C98" s="27"/>
      <c r="D98" s="41"/>
      <c r="E98" s="41"/>
      <c r="F98" s="41"/>
      <c r="G98" s="41"/>
      <c r="H98" s="41"/>
      <c r="I98" s="29"/>
      <c r="J98" s="41"/>
      <c r="K98" s="29"/>
      <c r="L98" s="41"/>
      <c r="M98" s="28"/>
      <c r="N98" s="30"/>
      <c r="O98" s="26"/>
      <c r="P98" s="43"/>
    </row>
    <row r="99" spans="1:16" ht="18.75" x14ac:dyDescent="0.3">
      <c r="A99" s="39">
        <v>21098</v>
      </c>
      <c r="B99" s="26"/>
      <c r="C99" s="27"/>
      <c r="D99" s="41"/>
      <c r="E99" s="41"/>
      <c r="F99" s="41"/>
      <c r="G99" s="41"/>
      <c r="H99" s="41"/>
      <c r="I99" s="29"/>
      <c r="J99" s="41"/>
      <c r="K99" s="29"/>
      <c r="L99" s="41"/>
      <c r="M99" s="28"/>
      <c r="N99" s="30"/>
      <c r="O99" s="26"/>
      <c r="P99" s="43"/>
    </row>
    <row r="100" spans="1:16" ht="18.75" x14ac:dyDescent="0.3">
      <c r="A100" s="39">
        <v>21099</v>
      </c>
      <c r="B100" s="26"/>
      <c r="C100" s="27"/>
      <c r="D100" s="41"/>
      <c r="E100" s="41"/>
      <c r="F100" s="41"/>
      <c r="G100" s="41"/>
      <c r="H100" s="41"/>
      <c r="I100" s="29"/>
      <c r="J100" s="41"/>
      <c r="K100" s="29"/>
      <c r="L100" s="41"/>
      <c r="M100" s="28"/>
      <c r="N100" s="30"/>
      <c r="O100" s="26"/>
      <c r="P100" s="43"/>
    </row>
    <row r="101" spans="1:16" ht="18.75" x14ac:dyDescent="0.3">
      <c r="A101" s="39">
        <v>21100</v>
      </c>
      <c r="B101" s="26"/>
      <c r="C101" s="27"/>
      <c r="D101" s="41"/>
      <c r="E101" s="41"/>
      <c r="F101" s="41"/>
      <c r="G101" s="41"/>
      <c r="H101" s="41"/>
      <c r="I101" s="29"/>
      <c r="J101" s="41"/>
      <c r="K101" s="29"/>
      <c r="L101" s="41"/>
      <c r="M101" s="28"/>
      <c r="N101" s="30"/>
      <c r="O101" s="26"/>
      <c r="P101" s="43"/>
    </row>
    <row r="102" spans="1:16" ht="18.75" x14ac:dyDescent="0.3">
      <c r="A102" s="39">
        <v>21101</v>
      </c>
      <c r="B102" s="26"/>
      <c r="C102" s="27"/>
      <c r="D102" s="41"/>
      <c r="E102" s="41"/>
      <c r="F102" s="41"/>
      <c r="G102" s="41"/>
      <c r="H102" s="41"/>
      <c r="I102" s="29"/>
      <c r="J102" s="41"/>
      <c r="K102" s="29"/>
      <c r="L102" s="41"/>
      <c r="M102" s="28"/>
      <c r="N102" s="30"/>
      <c r="O102" s="26"/>
      <c r="P102" s="43"/>
    </row>
    <row r="103" spans="1:16" ht="18.75" x14ac:dyDescent="0.3">
      <c r="A103" s="39">
        <v>21102</v>
      </c>
      <c r="B103" s="26"/>
      <c r="C103" s="27"/>
      <c r="D103" s="41"/>
      <c r="E103" s="41"/>
      <c r="F103" s="41"/>
      <c r="G103" s="41"/>
      <c r="H103" s="41"/>
      <c r="I103" s="29"/>
      <c r="J103" s="41"/>
      <c r="K103" s="29"/>
      <c r="L103" s="41"/>
      <c r="M103" s="28"/>
      <c r="N103" s="30"/>
      <c r="O103" s="26"/>
      <c r="P103" s="43"/>
    </row>
    <row r="104" spans="1:16" ht="18.75" x14ac:dyDescent="0.3">
      <c r="A104" s="39">
        <v>21103</v>
      </c>
      <c r="B104" s="26"/>
      <c r="C104" s="27"/>
      <c r="D104" s="41"/>
      <c r="E104" s="41"/>
      <c r="F104" s="41"/>
      <c r="G104" s="41"/>
      <c r="H104" s="41"/>
      <c r="I104" s="29"/>
      <c r="J104" s="41"/>
      <c r="K104" s="29"/>
      <c r="L104" s="41"/>
      <c r="M104" s="28"/>
      <c r="N104" s="30"/>
      <c r="O104" s="26"/>
      <c r="P104" s="43"/>
    </row>
    <row r="105" spans="1:16" ht="18.75" x14ac:dyDescent="0.3">
      <c r="A105" s="39">
        <v>21104</v>
      </c>
      <c r="B105" s="26"/>
      <c r="C105" s="27"/>
      <c r="D105" s="41"/>
      <c r="E105" s="41"/>
      <c r="F105" s="41"/>
      <c r="G105" s="41"/>
      <c r="H105" s="41"/>
      <c r="I105" s="29"/>
      <c r="J105" s="41"/>
      <c r="K105" s="29"/>
      <c r="L105" s="41"/>
      <c r="M105" s="28"/>
      <c r="N105" s="30"/>
      <c r="O105" s="26"/>
      <c r="P105" s="43"/>
    </row>
    <row r="106" spans="1:16" ht="18.75" x14ac:dyDescent="0.3">
      <c r="A106" s="39">
        <v>21105</v>
      </c>
      <c r="B106" s="26"/>
      <c r="C106" s="27"/>
      <c r="D106" s="41"/>
      <c r="E106" s="41"/>
      <c r="F106" s="41"/>
      <c r="G106" s="41"/>
      <c r="H106" s="41"/>
      <c r="I106" s="29"/>
      <c r="J106" s="41"/>
      <c r="K106" s="29"/>
      <c r="L106" s="41"/>
      <c r="M106" s="28"/>
      <c r="N106" s="30"/>
      <c r="O106" s="26"/>
      <c r="P106" s="43"/>
    </row>
    <row r="107" spans="1:16" ht="18.75" x14ac:dyDescent="0.3">
      <c r="A107" s="39">
        <v>21106</v>
      </c>
      <c r="B107" s="26"/>
      <c r="C107" s="27"/>
      <c r="D107" s="41"/>
      <c r="E107" s="41"/>
      <c r="F107" s="41"/>
      <c r="G107" s="41"/>
      <c r="H107" s="41"/>
      <c r="I107" s="29"/>
      <c r="J107" s="41"/>
      <c r="K107" s="29"/>
      <c r="L107" s="41"/>
      <c r="M107" s="28"/>
      <c r="N107" s="30"/>
      <c r="O107" s="26"/>
      <c r="P107" s="43"/>
    </row>
    <row r="108" spans="1:16" ht="18.75" x14ac:dyDescent="0.3">
      <c r="A108" s="39">
        <v>21107</v>
      </c>
      <c r="B108" s="26"/>
      <c r="C108" s="27"/>
      <c r="D108" s="41"/>
      <c r="E108" s="41"/>
      <c r="F108" s="41"/>
      <c r="G108" s="41"/>
      <c r="H108" s="41"/>
      <c r="I108" s="29"/>
      <c r="J108" s="41"/>
      <c r="K108" s="29"/>
      <c r="L108" s="41"/>
      <c r="M108" s="28"/>
      <c r="N108" s="30"/>
      <c r="O108" s="26"/>
      <c r="P108" s="43"/>
    </row>
    <row r="109" spans="1:16" ht="18.75" x14ac:dyDescent="0.3">
      <c r="A109" s="39">
        <v>21108</v>
      </c>
      <c r="B109" s="26"/>
      <c r="C109" s="27"/>
      <c r="D109" s="41"/>
      <c r="E109" s="41"/>
      <c r="F109" s="41"/>
      <c r="G109" s="41"/>
      <c r="H109" s="41"/>
      <c r="I109" s="29"/>
      <c r="J109" s="41"/>
      <c r="K109" s="29"/>
      <c r="L109" s="41"/>
      <c r="M109" s="28"/>
      <c r="N109" s="30"/>
      <c r="O109" s="26"/>
      <c r="P109" s="43"/>
    </row>
    <row r="110" spans="1:16" ht="18.75" x14ac:dyDescent="0.3">
      <c r="A110" s="39">
        <v>21109</v>
      </c>
      <c r="B110" s="26"/>
      <c r="C110" s="27"/>
      <c r="D110" s="41"/>
      <c r="E110" s="41"/>
      <c r="F110" s="41"/>
      <c r="G110" s="41"/>
      <c r="H110" s="41"/>
      <c r="I110" s="29"/>
      <c r="J110" s="41"/>
      <c r="K110" s="29"/>
      <c r="L110" s="41"/>
      <c r="M110" s="28"/>
      <c r="N110" s="30"/>
      <c r="O110" s="26"/>
      <c r="P110" s="43"/>
    </row>
    <row r="111" spans="1:16" ht="18.75" x14ac:dyDescent="0.3">
      <c r="A111" s="39">
        <v>21110</v>
      </c>
      <c r="B111" s="26"/>
      <c r="C111" s="27"/>
      <c r="D111" s="41"/>
      <c r="E111" s="41"/>
      <c r="F111" s="41"/>
      <c r="G111" s="41"/>
      <c r="H111" s="41"/>
      <c r="I111" s="29"/>
      <c r="J111" s="41"/>
      <c r="K111" s="29"/>
      <c r="L111" s="41"/>
      <c r="M111" s="28"/>
      <c r="N111" s="30"/>
      <c r="O111" s="26"/>
      <c r="P111" s="43"/>
    </row>
    <row r="112" spans="1:16" ht="18.75" x14ac:dyDescent="0.3">
      <c r="A112" s="39">
        <v>21111</v>
      </c>
      <c r="B112" s="26"/>
      <c r="C112" s="27"/>
      <c r="D112" s="41"/>
      <c r="E112" s="41"/>
      <c r="F112" s="41"/>
      <c r="G112" s="41"/>
      <c r="H112" s="41"/>
      <c r="I112" s="29"/>
      <c r="J112" s="41"/>
      <c r="K112" s="29"/>
      <c r="L112" s="41"/>
      <c r="M112" s="28"/>
      <c r="N112" s="30"/>
      <c r="O112" s="26"/>
      <c r="P112" s="43"/>
    </row>
    <row r="113" spans="1:16" ht="18.75" x14ac:dyDescent="0.3">
      <c r="A113" s="39">
        <v>21112</v>
      </c>
      <c r="B113" s="26"/>
      <c r="C113" s="27"/>
      <c r="D113" s="41"/>
      <c r="E113" s="41"/>
      <c r="F113" s="41"/>
      <c r="G113" s="41"/>
      <c r="H113" s="41"/>
      <c r="I113" s="29"/>
      <c r="J113" s="41"/>
      <c r="K113" s="29"/>
      <c r="L113" s="41"/>
      <c r="M113" s="28"/>
      <c r="N113" s="30"/>
      <c r="O113" s="26"/>
      <c r="P113" s="43"/>
    </row>
    <row r="114" spans="1:16" ht="18.75" x14ac:dyDescent="0.3">
      <c r="A114" s="39">
        <v>21113</v>
      </c>
      <c r="B114" s="26"/>
      <c r="C114" s="27"/>
      <c r="D114" s="41"/>
      <c r="E114" s="41"/>
      <c r="F114" s="41"/>
      <c r="G114" s="41"/>
      <c r="H114" s="41"/>
      <c r="I114" s="29"/>
      <c r="J114" s="41"/>
      <c r="K114" s="29"/>
      <c r="L114" s="41"/>
      <c r="M114" s="28"/>
      <c r="N114" s="30"/>
      <c r="O114" s="26"/>
      <c r="P114" s="43"/>
    </row>
    <row r="115" spans="1:16" ht="18.75" x14ac:dyDescent="0.3">
      <c r="A115" s="39">
        <v>21114</v>
      </c>
      <c r="B115" s="26"/>
      <c r="C115" s="27"/>
      <c r="D115" s="41"/>
      <c r="E115" s="41"/>
      <c r="F115" s="41"/>
      <c r="G115" s="41"/>
      <c r="H115" s="41"/>
      <c r="I115" s="29"/>
      <c r="J115" s="41"/>
      <c r="K115" s="29"/>
      <c r="L115" s="41"/>
      <c r="M115" s="28"/>
      <c r="N115" s="30"/>
      <c r="O115" s="26"/>
      <c r="P115" s="43"/>
    </row>
    <row r="116" spans="1:16" ht="18.75" x14ac:dyDescent="0.3">
      <c r="A116" s="39">
        <v>21115</v>
      </c>
      <c r="B116" s="26"/>
      <c r="C116" s="27"/>
      <c r="D116" s="41"/>
      <c r="E116" s="41"/>
      <c r="F116" s="41"/>
      <c r="G116" s="41"/>
      <c r="H116" s="41"/>
      <c r="I116" s="29"/>
      <c r="J116" s="41"/>
      <c r="K116" s="29"/>
      <c r="L116" s="41"/>
      <c r="M116" s="28"/>
      <c r="N116" s="30"/>
      <c r="O116" s="26"/>
      <c r="P116" s="43"/>
    </row>
    <row r="117" spans="1:16" ht="18.75" x14ac:dyDescent="0.3">
      <c r="A117" s="39">
        <v>21116</v>
      </c>
      <c r="B117" s="26"/>
      <c r="C117" s="27"/>
      <c r="D117" s="41"/>
      <c r="E117" s="41"/>
      <c r="F117" s="41"/>
      <c r="G117" s="41"/>
      <c r="H117" s="41"/>
      <c r="I117" s="29"/>
      <c r="J117" s="41"/>
      <c r="K117" s="29"/>
      <c r="L117" s="41"/>
      <c r="M117" s="28"/>
      <c r="N117" s="30"/>
      <c r="O117" s="26"/>
      <c r="P117" s="43"/>
    </row>
    <row r="118" spans="1:16" ht="18.75" x14ac:dyDescent="0.3">
      <c r="A118" s="39">
        <v>21323</v>
      </c>
      <c r="B118" s="26"/>
      <c r="C118" s="27"/>
      <c r="D118" s="41"/>
      <c r="E118" s="41"/>
      <c r="F118" s="41"/>
      <c r="G118" s="41"/>
      <c r="H118" s="41"/>
      <c r="I118" s="29"/>
      <c r="J118" s="41"/>
      <c r="K118" s="29"/>
      <c r="L118" s="41"/>
      <c r="M118" s="28"/>
      <c r="N118" s="30"/>
      <c r="O118" s="26"/>
      <c r="P118" s="43"/>
    </row>
    <row r="119" spans="1:16" ht="18.75" x14ac:dyDescent="0.3">
      <c r="A119" s="39">
        <v>21324</v>
      </c>
      <c r="B119" s="26"/>
      <c r="C119" s="27"/>
      <c r="D119" s="41"/>
      <c r="E119" s="41"/>
      <c r="F119" s="41"/>
      <c r="G119" s="41"/>
      <c r="H119" s="41"/>
      <c r="I119" s="29"/>
      <c r="J119" s="41"/>
      <c r="K119" s="29"/>
      <c r="L119" s="41"/>
      <c r="M119" s="28"/>
      <c r="N119" s="30"/>
      <c r="O119" s="26"/>
      <c r="P119" s="43"/>
    </row>
    <row r="120" spans="1:16" x14ac:dyDescent="0.25">
      <c r="P120" s="24"/>
    </row>
    <row r="121" spans="1:16" x14ac:dyDescent="0.25">
      <c r="P121" s="24"/>
    </row>
    <row r="122" spans="1:16" x14ac:dyDescent="0.25">
      <c r="P122" s="24"/>
    </row>
    <row r="123" spans="1:16" x14ac:dyDescent="0.25">
      <c r="P123" s="24"/>
    </row>
    <row r="124" spans="1:16" x14ac:dyDescent="0.25">
      <c r="P124" s="24"/>
    </row>
    <row r="125" spans="1:16" x14ac:dyDescent="0.25">
      <c r="P125" s="24"/>
    </row>
    <row r="126" spans="1:16" x14ac:dyDescent="0.25">
      <c r="P126" s="24"/>
    </row>
    <row r="127" spans="1:16" x14ac:dyDescent="0.25">
      <c r="P127" s="24"/>
    </row>
    <row r="128" spans="1:16" x14ac:dyDescent="0.25">
      <c r="P128" s="24"/>
    </row>
    <row r="129" spans="16:16" x14ac:dyDescent="0.25">
      <c r="P129" s="24"/>
    </row>
    <row r="130" spans="16:16" x14ac:dyDescent="0.25">
      <c r="P130" s="24"/>
    </row>
    <row r="131" spans="16:16" x14ac:dyDescent="0.25">
      <c r="P131" s="24"/>
    </row>
    <row r="132" spans="16:16" x14ac:dyDescent="0.25">
      <c r="P132" s="24"/>
    </row>
    <row r="133" spans="16:16" x14ac:dyDescent="0.25">
      <c r="P133" s="24"/>
    </row>
    <row r="134" spans="16:16" x14ac:dyDescent="0.25">
      <c r="P134" s="24"/>
    </row>
    <row r="135" spans="16:16" x14ac:dyDescent="0.25">
      <c r="P135" s="24"/>
    </row>
    <row r="136" spans="16:16" x14ac:dyDescent="0.25">
      <c r="P136" s="24"/>
    </row>
    <row r="137" spans="16:16" x14ac:dyDescent="0.25">
      <c r="P137" s="24"/>
    </row>
    <row r="138" spans="16:16" x14ac:dyDescent="0.25">
      <c r="P138" s="24"/>
    </row>
    <row r="139" spans="16:16" x14ac:dyDescent="0.25">
      <c r="P139" s="24"/>
    </row>
    <row r="140" spans="16:16" x14ac:dyDescent="0.25">
      <c r="P140" s="24"/>
    </row>
    <row r="141" spans="16:16" x14ac:dyDescent="0.25">
      <c r="P141" s="24"/>
    </row>
    <row r="142" spans="16:16" x14ac:dyDescent="0.25">
      <c r="P142" s="24"/>
    </row>
    <row r="143" spans="16:16" x14ac:dyDescent="0.25">
      <c r="P143" s="24"/>
    </row>
    <row r="144" spans="16:16" x14ac:dyDescent="0.25">
      <c r="P144" s="24"/>
    </row>
    <row r="145" spans="16:16" x14ac:dyDescent="0.25">
      <c r="P145" s="24"/>
    </row>
    <row r="146" spans="16:16" x14ac:dyDescent="0.25">
      <c r="P146" s="24"/>
    </row>
    <row r="147" spans="16:16" x14ac:dyDescent="0.25">
      <c r="P147" s="24"/>
    </row>
    <row r="148" spans="16:16" x14ac:dyDescent="0.25">
      <c r="P148" s="24"/>
    </row>
    <row r="149" spans="16:16" x14ac:dyDescent="0.25">
      <c r="P149" s="24"/>
    </row>
    <row r="150" spans="16:16" x14ac:dyDescent="0.25">
      <c r="P150" s="24"/>
    </row>
    <row r="151" spans="16:16" x14ac:dyDescent="0.25">
      <c r="P151" s="24"/>
    </row>
    <row r="152" spans="16:16" x14ac:dyDescent="0.25">
      <c r="P152" s="24"/>
    </row>
    <row r="153" spans="16:16" x14ac:dyDescent="0.25">
      <c r="P153" s="24"/>
    </row>
    <row r="154" spans="16:16" x14ac:dyDescent="0.25">
      <c r="P154" s="24"/>
    </row>
    <row r="155" spans="16:16" x14ac:dyDescent="0.25">
      <c r="P155" s="24"/>
    </row>
    <row r="156" spans="16:16" x14ac:dyDescent="0.25">
      <c r="P156" s="24"/>
    </row>
    <row r="157" spans="16:16" x14ac:dyDescent="0.25">
      <c r="P157" s="24"/>
    </row>
    <row r="158" spans="16:16" x14ac:dyDescent="0.25">
      <c r="P158" s="24"/>
    </row>
    <row r="159" spans="16:16" x14ac:dyDescent="0.25">
      <c r="P159" s="24"/>
    </row>
    <row r="160" spans="16:16" x14ac:dyDescent="0.25">
      <c r="P160" s="24"/>
    </row>
    <row r="161" spans="16:16" x14ac:dyDescent="0.25">
      <c r="P161" s="24"/>
    </row>
    <row r="162" spans="16:16" x14ac:dyDescent="0.25">
      <c r="P162" s="24"/>
    </row>
    <row r="163" spans="16:16" x14ac:dyDescent="0.25">
      <c r="P163" s="24"/>
    </row>
    <row r="164" spans="16:16" x14ac:dyDescent="0.25">
      <c r="P164" s="24"/>
    </row>
    <row r="165" spans="16:16" x14ac:dyDescent="0.25">
      <c r="P165" s="24"/>
    </row>
    <row r="166" spans="16:16" x14ac:dyDescent="0.25">
      <c r="P166" s="24"/>
    </row>
    <row r="167" spans="16:16" x14ac:dyDescent="0.25">
      <c r="P167" s="24"/>
    </row>
    <row r="168" spans="16:16" x14ac:dyDescent="0.25">
      <c r="P168" s="24"/>
    </row>
    <row r="169" spans="16:16" x14ac:dyDescent="0.25">
      <c r="P169" s="24"/>
    </row>
    <row r="170" spans="16:16" x14ac:dyDescent="0.25">
      <c r="P170" s="24"/>
    </row>
    <row r="171" spans="16:16" x14ac:dyDescent="0.25">
      <c r="P171" s="24"/>
    </row>
    <row r="172" spans="16:16" x14ac:dyDescent="0.25">
      <c r="P172" s="24"/>
    </row>
    <row r="173" spans="16:16" x14ac:dyDescent="0.25">
      <c r="P173" s="24"/>
    </row>
    <row r="174" spans="16:16" x14ac:dyDescent="0.25">
      <c r="P174" s="24"/>
    </row>
    <row r="175" spans="16:16" x14ac:dyDescent="0.25">
      <c r="P175" s="24"/>
    </row>
    <row r="176" spans="16:16" x14ac:dyDescent="0.25">
      <c r="P176" s="24"/>
    </row>
    <row r="177" spans="16:16" x14ac:dyDescent="0.25">
      <c r="P177" s="24"/>
    </row>
    <row r="178" spans="16:16" x14ac:dyDescent="0.25">
      <c r="P178" s="24"/>
    </row>
    <row r="179" spans="16:16" x14ac:dyDescent="0.25">
      <c r="P179" s="25"/>
    </row>
    <row r="180" spans="16:16" x14ac:dyDescent="0.25">
      <c r="P180" s="24"/>
    </row>
    <row r="181" spans="16:16" x14ac:dyDescent="0.25">
      <c r="P181" s="24"/>
    </row>
    <row r="182" spans="16:16" x14ac:dyDescent="0.25">
      <c r="P182" s="24"/>
    </row>
    <row r="183" spans="16:16" x14ac:dyDescent="0.25">
      <c r="P183" s="24"/>
    </row>
    <row r="184" spans="16:16" x14ac:dyDescent="0.25">
      <c r="P184" s="24"/>
    </row>
    <row r="185" spans="16:16" x14ac:dyDescent="0.25">
      <c r="P185" s="24"/>
    </row>
    <row r="186" spans="16:16" x14ac:dyDescent="0.25">
      <c r="P186" s="24"/>
    </row>
    <row r="187" spans="16:16" x14ac:dyDescent="0.25">
      <c r="P187" s="24"/>
    </row>
    <row r="188" spans="16:16" x14ac:dyDescent="0.25">
      <c r="P188" s="24"/>
    </row>
    <row r="189" spans="16:16" x14ac:dyDescent="0.25">
      <c r="P189" s="24"/>
    </row>
    <row r="190" spans="16:16" x14ac:dyDescent="0.25">
      <c r="P190" s="24"/>
    </row>
    <row r="191" spans="16:16" x14ac:dyDescent="0.25">
      <c r="P191" s="24"/>
    </row>
    <row r="192" spans="16:16" x14ac:dyDescent="0.25">
      <c r="P192" s="24"/>
    </row>
    <row r="193" spans="16:16" x14ac:dyDescent="0.25">
      <c r="P193" s="24"/>
    </row>
    <row r="194" spans="16:16" x14ac:dyDescent="0.25">
      <c r="P194" s="24"/>
    </row>
    <row r="195" spans="16:16" x14ac:dyDescent="0.25">
      <c r="P195" s="24"/>
    </row>
    <row r="196" spans="16:16" x14ac:dyDescent="0.25">
      <c r="P196" s="24"/>
    </row>
    <row r="197" spans="16:16" x14ac:dyDescent="0.25">
      <c r="P197" s="24"/>
    </row>
    <row r="198" spans="16:16" x14ac:dyDescent="0.25">
      <c r="P198" s="24"/>
    </row>
    <row r="199" spans="16:16" x14ac:dyDescent="0.25">
      <c r="P199" s="24"/>
    </row>
    <row r="200" spans="16:16" x14ac:dyDescent="0.25">
      <c r="P200" s="24"/>
    </row>
    <row r="201" spans="16:16" x14ac:dyDescent="0.25">
      <c r="P201" s="24"/>
    </row>
    <row r="202" spans="16:16" x14ac:dyDescent="0.25">
      <c r="P202" s="24"/>
    </row>
    <row r="203" spans="16:16" x14ac:dyDescent="0.25">
      <c r="P203" s="24"/>
    </row>
    <row r="204" spans="16:16" x14ac:dyDescent="0.25">
      <c r="P204" s="24"/>
    </row>
    <row r="205" spans="16:16" x14ac:dyDescent="0.25">
      <c r="P205" s="24"/>
    </row>
    <row r="206" spans="16:16" x14ac:dyDescent="0.25">
      <c r="P206" s="24"/>
    </row>
    <row r="207" spans="16:16" x14ac:dyDescent="0.25">
      <c r="P207" s="24"/>
    </row>
  </sheetData>
  <sheetProtection algorithmName="SHA-512" hashValue="xWRU7YhTbM4F4yQ8hK6p+qcqWTLRfHqMlbYnfeA63Dshj0WWcpNPAEwEUSlphTd5CuUUtZxOJVQHaAyCl49ThA==" saltValue="DkXxs/xPvLDt4li24vv3PQ==" spinCount="100000" sheet="1" objects="1" scenarios="1" sort="0" autoFilter="0"/>
  <mergeCells count="1">
    <mergeCell ref="R2:U2"/>
  </mergeCells>
  <dataValidations count="2">
    <dataValidation type="date" operator="greaterThanOrEqual" allowBlank="1" showInputMessage="1" showErrorMessage="1" sqref="B2:B119 I2:I119 K2:K119 O2:O119" xr:uid="{C0EDDB97-4B29-4038-8183-66C0235EC77B}">
      <formula1>45658</formula1>
    </dataValidation>
    <dataValidation type="whole" operator="greaterThanOrEqual" allowBlank="1" showInputMessage="1" showErrorMessage="1" sqref="A2:A119 D2:H119 J2:J119 L2:L119 P2:P119" xr:uid="{DA980299-44E5-431D-858E-5C14374926C5}">
      <formula1>0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9" ma:contentTypeDescription="Create a new document." ma:contentTypeScope="" ma:versionID="9d0a3a6d5f46151a18bbe240688808cd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031130cb593861622ae9b5a1f99c458a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A0325E-771A-4937-9A89-AEC566AF210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2E2D90-D71D-4B29-A1FC-78BC5FA14248}">
  <ds:schemaRefs>
    <ds:schemaRef ds:uri="http://purl.org/dc/terms/"/>
    <ds:schemaRef ds:uri="f09d0ae9-c6ff-4e57-bd1f-955be6ad47ac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d5486727-c7ef-48ef-8f67-294a70abf30d"/>
  </ds:schemaRefs>
</ds:datastoreItem>
</file>

<file path=customXml/itemProps3.xml><?xml version="1.0" encoding="utf-8"?>
<ds:datastoreItem xmlns:ds="http://schemas.openxmlformats.org/officeDocument/2006/customXml" ds:itemID="{78F4AAED-5E0C-45D3-A303-B109E22D76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Metropolitan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  <vt:lpstr>Repeat Attacks 7</vt:lpstr>
      <vt:lpstr>Repeat Attacks 8</vt:lpstr>
      <vt:lpstr>Repeat Attacks 9</vt:lpstr>
      <vt:lpstr>Repeat Attacks 10</vt:lpstr>
      <vt:lpstr>Repeat Attacks 11</vt:lpstr>
      <vt:lpstr>Repeat Attacks 12</vt:lpstr>
    </vt:vector>
  </TitlesOfParts>
  <Manager/>
  <Company>ABM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Mourad Zerrouk</dc:creator>
  <cp:keywords/>
  <dc:description/>
  <cp:lastModifiedBy>Horea Lazar</cp:lastModifiedBy>
  <cp:revision/>
  <dcterms:created xsi:type="dcterms:W3CDTF">2025-10-14T11:42:09Z</dcterms:created>
  <dcterms:modified xsi:type="dcterms:W3CDTF">2025-10-31T16:10:50Z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