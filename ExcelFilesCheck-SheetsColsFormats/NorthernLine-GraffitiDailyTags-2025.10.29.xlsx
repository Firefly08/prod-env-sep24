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38" documentId="13_ncr:1_{1E1E5BEC-5BEE-42AB-81D4-08B890F79E33}" xr6:coauthVersionLast="47" xr6:coauthVersionMax="47" xr10:uidLastSave="{D90FF9FD-355F-40B9-BDCC-347A525FCFCF}"/>
  <bookViews>
    <workbookView xWindow="-120" yWindow="-120" windowWidth="29040" windowHeight="15720" firstSheet="7" activeTab="9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 l="1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<sst xmlns="http://schemas.openxmlformats.org/spreadsheetml/2006/main" count="361" uniqueCount="29">
  <si>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</si>
  <si>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</si>
  <si>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</si>
  <si>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</si>
  <si>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</si>
  <si>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</si>
  <si>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</si>
  <si>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</si>
  <si>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</si>
  <si>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</si>
  <si>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</si>
  <si>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</si>
  <si>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</si>
  <si>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</si>
  <si>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</si>
  <si>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</si>
  <si>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</si>
  <si>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</si>
  <si>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</si>
  <si>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</si>
  <si>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</si>
  <si>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</si>
  <si>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</si>
  <si>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y</t>
  </si>
  <si>
    <t>Roland</t>
  </si>
  <si>
    <t>Michael</t>
  </si>
  <si>
    <t>Patrick</t>
  </si>
  <si>
    <t>Violina</t>
  </si>
  <si>
    <t>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</si>
</sst>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69CFD-890D-4116-B899-AADA49594A99}" name="TagsRA10" displayName="TagsRA10" ref="A1:P213" totalsRowShown="0" headerRowDxfId="53" tableBorderDxfId="52">
  <autoFilter ref="A1:P213" xr:uid="{8C459B2E-0469-4808-A7E2-2087F0BC89FF}"/>
  <tableColumns count="16">
    <tableColumn id="1" xr3:uid="{68231743-FF70-42F3-906A-ECE5EDC989DA}" name="Unit No." dataDxfId="51"/>
    <tableColumn id="2" xr3:uid="{AE4274C1-D46D-441F-B61F-E799B9CC0C03}" name="DATE" dataDxfId="50"/>
    <tableColumn id="3" xr3:uid="{5420B88E-2075-45D6-90FD-9B183A65596D}" name="Status" dataDxfId="49"/>
    <tableColumn id="4" xr3:uid="{2C767611-6FBB-465E-95EB-9631502ABC61}" name="Number of cars affected by graffiti/shadows on this unit" dataDxfId="48"/>
    <tableColumn id="5" xr3:uid="{08C5F349-CCF1-4BE0-ADFC-F898965AA82F}" name="Total Number of Tags found" dataDxfId="47"/>
    <tableColumn id="6" xr3:uid="{F57D1E08-0BC7-4B64-99E3-E380EF758C1E}" name="Total Tags Removed / Cleaned" dataDxfId="46"/>
    <tableColumn id="7" xr3:uid="{DB64F300-DF07-424F-B880-FF8A66E4214C}" name="Total Tags Not Cleaned on this Unit" dataDxfId="45"/>
    <tableColumn id="8" xr3:uid="{8DB4A43F-B97D-4AAB-8CC2-B201DAFD8E8C}" name="Car Number (s)  of Tags not cleaned (shadows)" dataDxfId="44"/>
    <tableColumn id="9" xr3:uid="{690B9A7C-97B6-4449-82FE-98871AE5A17E}" name="Date of 2nd visit to clean remaining tags" dataDxfId="43"/>
    <tableColumn id="10" xr3:uid="{3C569715-6505-4AB4-9F2F-6D5CA1EE9847}" name="Number of tags removed" dataDxfId="42"/>
    <tableColumn id="11" xr3:uid="{A659497D-CE06-4350-9B9D-50B38B03FDA9}" name="Date of 3rd visit to clean remaining tags" dataDxfId="41"/>
    <tableColumn id="12" xr3:uid="{13A5851D-E650-4100-A663-1B9492F7A102}" name="Number of tags removed2" dataDxfId="40"/>
    <tableColumn id="13" xr3:uid="{73F8CF0E-2FEF-40C5-8BD7-493A10B380A1}" name="Train Inspected and Fit for service    (Y/N)" dataDxfId="39"/>
    <tableColumn id="14" xr3:uid="{A04DFF64-6013-4A45-9AC4-E2C466025D05}" name="Inspected by Supervisor/Manager (Name)" dataDxfId="38"/>
    <tableColumn id="15" xr3:uid="{B99D9F3B-A39B-4D83-9717-A54B9AC65E0D}" name="Date of Completing all shadows (Tags) on this Unit excluding acid etched shadows" dataDxfId="37"/>
    <tableColumn id="16" xr3:uid="{9114C060-1EBD-432E-9804-9C34556BE66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7BC928-477E-40D1-8935-60C196B9A3D8}" name="TagsRA11" displayName="TagsRA11" ref="A1:P213" totalsRowShown="0" headerRowDxfId="35" tableBorderDxfId="34">
  <autoFilter ref="A1:P213" xr:uid="{8C459B2E-0469-4808-A7E2-2087F0BC89FF}"/>
  <tableColumns count="16">
    <tableColumn id="1" xr3:uid="{F3727D3C-6918-4DC6-B8A5-1F4E82F5C5B1}" name="Unit No." dataDxfId="33"/>
    <tableColumn id="2" xr3:uid="{761E4751-1A72-4491-9CB8-EA4E3ECB5B16}" name="DATE" dataDxfId="32"/>
    <tableColumn id="3" xr3:uid="{2DD58782-C5A8-4ED4-A37A-6D4A3CC645A3}" name="Status" dataDxfId="31"/>
    <tableColumn id="4" xr3:uid="{8A488197-128B-4BA8-8513-E885FAFAE45E}" name="Number of cars affected by graffiti/shadows on this unit" dataDxfId="30"/>
    <tableColumn id="5" xr3:uid="{99B38EE8-D9C9-4E0D-B134-6C38BCAEE64D}" name="Total Number of Tags found" dataDxfId="29"/>
    <tableColumn id="6" xr3:uid="{5A5CB47D-E05E-47D4-B819-8A0B6E8059CF}" name="Total Tags Removed / Cleaned" dataDxfId="28"/>
    <tableColumn id="7" xr3:uid="{7EE1D572-EE39-4A0F-A69B-7E795D35A04E}" name="Total Tags Not Cleaned on this Unit" dataDxfId="27"/>
    <tableColumn id="8" xr3:uid="{A4512D5A-9926-45B3-B7D0-18DD291E356F}" name="Car Number (s)  of Tags not cleaned (shadows)" dataDxfId="26"/>
    <tableColumn id="9" xr3:uid="{525F0980-057D-4FE0-AD4E-C70D6CB25900}" name="Date of 2nd visit to clean remaining tags" dataDxfId="25"/>
    <tableColumn id="10" xr3:uid="{2219B999-972B-4EC4-A20D-A4832EB41977}" name="Number of tags removed" dataDxfId="24"/>
    <tableColumn id="11" xr3:uid="{B212B101-B87E-4186-B783-E5B91E8FECA1}" name="Date of 3rd visit to clean remaining tags" dataDxfId="23"/>
    <tableColumn id="12" xr3:uid="{3E191CA6-6C3C-462F-8325-6A24FDFD01E5}" name="Number of tags removed2" dataDxfId="22"/>
    <tableColumn id="13" xr3:uid="{9D05AA38-C586-429F-AB08-B43E9CA3CCDD}" name="Train Inspected and Fit for service    (Y/N)" dataDxfId="21"/>
    <tableColumn id="14" xr3:uid="{F2DA2166-5442-4BCE-8FB4-10E613865116}" name="Inspected by Supervisor/Manager (Name)" dataDxfId="20"/>
    <tableColumn id="15" xr3:uid="{1CEE17D5-8187-4DD1-B295-5ABEF5A2E562}" name="Date of Completing all shadows (Tags) on this Unit excluding acid etched shadows" dataDxfId="19"/>
    <tableColumn id="16" xr3:uid="{13EA9BC6-DD42-4BB9-BD23-36BD8E960CE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36456D1-05FE-4A56-A068-8D3BB313118C}" name="TagsRA12" displayName="TagsRA12" ref="A1:P213" totalsRowShown="0" headerRowDxfId="17" tableBorderDxfId="16">
  <autoFilter ref="A1:P213" xr:uid="{8C459B2E-0469-4808-A7E2-2087F0BC89FF}"/>
  <tableColumns count="16">
    <tableColumn id="1" xr3:uid="{91FBC925-C9AD-4E3E-97D6-3654607C82C3}" name="Unit No." dataDxfId="15"/>
    <tableColumn id="2" xr3:uid="{7C3AB0A1-FDED-4D75-9820-4667FEBD214F}" name="DATE" dataDxfId="14"/>
    <tableColumn id="3" xr3:uid="{BB0F5F34-ED22-4DCC-9152-0BB491DF4D92}" name="Status" dataDxfId="13"/>
    <tableColumn id="4" xr3:uid="{17F4A051-85FA-4E08-970A-BDC8F3BF1FC4}" name="Number of cars affected by graffiti/shadows on this unit" dataDxfId="12"/>
    <tableColumn id="5" xr3:uid="{CCB9EE98-52B0-4136-A791-39A80548980B}" name="Total Number of Tags found" dataDxfId="11"/>
    <tableColumn id="6" xr3:uid="{08AF28BF-4A02-4455-B7D0-0FA6307F47DE}" name="Total Tags Removed / Cleaned" dataDxfId="10"/>
    <tableColumn id="7" xr3:uid="{D1F299F5-F17A-42FE-96E6-6DA6EF732686}" name="Total Tags Not Cleaned on this Unit" dataDxfId="9"/>
    <tableColumn id="8" xr3:uid="{601D1D7F-39BC-4644-A985-8EBBFB7BDC00}" name="Car Number (s)  of Tags not cleaned (shadows)" dataDxfId="8"/>
    <tableColumn id="9" xr3:uid="{7DE8E23D-C517-424F-B65E-2DCAB8B249E1}" name="Date of 2nd visit to clean remaining tags" dataDxfId="7"/>
    <tableColumn id="10" xr3:uid="{7CD4599C-4496-4244-8F59-F04A4BE1BF00}" name="Number of tags removed" dataDxfId="6"/>
    <tableColumn id="11" xr3:uid="{556F2717-C037-4599-9FA3-2E12A5D8C21A}" name="Date of 3rd visit to clean remaining tags" dataDxfId="5"/>
    <tableColumn id="12" xr3:uid="{B47BD342-186B-48A9-A2C1-3838B78820C1}" name="Number of tags removed2" dataDxfId="4"/>
    <tableColumn id="13" xr3:uid="{EE42815C-E87D-4A69-9F6A-116EC10121A0}" name="Train Inspected and Fit for service    (Y/N)" dataDxfId="3"/>
    <tableColumn id="14" xr3:uid="{A3A98F56-92BE-4F9C-9D61-76214E7C6A9C}" name="Inspected by Supervisor/Manager (Name)" dataDxfId="2"/>
    <tableColumn id="15" xr3:uid="{CA23EFB7-238E-48D5-A501-8B70C20B233E}" name="Date of Completing all shadows (Tags) on this Unit excluding acid etched shadows" dataDxfId="1"/>
    <tableColumn id="16" xr3:uid="{1A2A16D0-FA20-423B-929E-71924648C52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187" activePane="bottomRight" state="frozen"/>
      <selection pane="topRight"/>
      <selection pane="bottomLeft"/>
      <selection pane="bottomRight" activeCell="H207" sqref="H207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43</v>
      </c>
      <c r="U4" s="21">
        <f>T4/S4</f>
        <v>0.20283018867924529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23</v>
      </c>
      <c r="N22" s="14" t="s">
        <v>24</v>
      </c>
      <c r="O22" s="10">
        <v>45958</v>
      </c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23</v>
      </c>
      <c r="N28" s="27" t="s">
        <v>24</v>
      </c>
      <c r="O28" s="10">
        <v>45958</v>
      </c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23</v>
      </c>
      <c r="N35" s="27" t="s">
        <v>24</v>
      </c>
      <c r="O35" s="10">
        <v>45958</v>
      </c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23</v>
      </c>
      <c r="N53" s="14" t="s">
        <v>24</v>
      </c>
      <c r="O53" s="10">
        <v>45958</v>
      </c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23</v>
      </c>
      <c r="N68" s="27" t="s">
        <v>24</v>
      </c>
      <c r="O68" s="10">
        <v>45958</v>
      </c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23</v>
      </c>
      <c r="N75" s="14" t="s">
        <v>24</v>
      </c>
      <c r="O75" s="10">
        <v>45959</v>
      </c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23</v>
      </c>
      <c r="N88" s="27" t="s">
        <v>24</v>
      </c>
      <c r="O88" s="10">
        <v>45958</v>
      </c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23</v>
      </c>
      <c r="N96" s="14" t="s">
        <v>24</v>
      </c>
      <c r="O96" s="10">
        <v>45959</v>
      </c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23</v>
      </c>
      <c r="N143" s="27" t="s">
        <v>24</v>
      </c>
      <c r="O143" s="10">
        <v>45958</v>
      </c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24</v>
      </c>
      <c r="O146" s="10">
        <v>45946</v>
      </c>
      <c r="P146" s="37"/>
    </row>
    <row r="147" spans="1:16" x14ac:dyDescent="0.2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23</v>
      </c>
      <c r="N147" s="27" t="s">
        <v>24</v>
      </c>
      <c r="O147" s="10">
        <v>45959</v>
      </c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24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23</v>
      </c>
      <c r="N162" s="27" t="s">
        <v>24</v>
      </c>
      <c r="O162" s="10">
        <v>45958</v>
      </c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23</v>
      </c>
      <c r="N166" s="27" t="s">
        <v>24</v>
      </c>
      <c r="O166" s="10">
        <v>45958</v>
      </c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23</v>
      </c>
      <c r="N169" s="27" t="s">
        <v>24</v>
      </c>
      <c r="O169" s="10">
        <v>45958</v>
      </c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23</v>
      </c>
      <c r="N182" s="38" t="s">
        <v>24</v>
      </c>
      <c r="O182" s="10">
        <v>45958</v>
      </c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23</v>
      </c>
      <c r="N188" s="27" t="s">
        <v>24</v>
      </c>
      <c r="O188" s="10">
        <v>45958</v>
      </c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23</v>
      </c>
      <c r="N199" s="27" t="s">
        <v>24</v>
      </c>
      <c r="O199" s="10">
        <v>45959</v>
      </c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23</v>
      </c>
      <c r="N206" s="27" t="s">
        <v>24</v>
      </c>
      <c r="O206" s="10">
        <v>45958</v>
      </c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12" workbookViewId="0">
      <selection activeCell="A129" sqref="A129:XFD12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tabSelected="1" workbookViewId="0">
      <selection activeCell="J27" sqref="J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4066-9A8E-42EA-ADA2-CDF79E1E712E}">
  <dimension ref="A1:U347"/>
  <sheetViews>
    <sheetView topLeftCell="A183" workbookViewId="0">
      <selection activeCell="H192" sqref="H19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eECJDrsxDjnFaEFyTv4I8YXhkieYZ989zVi7Zdes8C4M1ToFiR7n6l8FM7+hWQRUsnIALuS3R2y6naQbvQgtqQ==" saltValue="BxiyugegsqokYx9somkk4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17386147-D157-4D9E-8D0F-AAB553D537E0}">
      <formula1>0</formula1>
    </dataValidation>
    <dataValidation type="date" operator="greaterThanOrEqual" allowBlank="1" showInputMessage="1" showErrorMessage="1" sqref="B2:B213 I2:I213 K2:K213 O2:O213" xr:uid="{5F685164-034E-4448-9E32-A7F670DF6A0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CF77-1451-430D-B02C-61D9F14D6D1E}">
  <dimension ref="A1:U347"/>
  <sheetViews>
    <sheetView topLeftCell="A174" workbookViewId="0">
      <selection activeCell="H192" sqref="H19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tgW9HC/HPtWxPAW9PMnNnsEnDByLrisKHidhgCEira3HFsUwyTBKP9UkQ2IvSnkRZaWpyrgE/4+9LudupVtSuQ==" saltValue="Bxg4hhf/6BolY/IMDhAZ1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2AE70BB6-4508-45EC-A43A-2ACF38837845}">
      <formula1>45658</formula1>
    </dataValidation>
    <dataValidation type="whole" operator="greaterThanOrEqual" allowBlank="1" showInputMessage="1" showErrorMessage="1" sqref="A2:A213 D2:H213 J2:J213 L2:L213 P2:P213" xr:uid="{DB6670A2-E847-4676-B2EC-B245D893E98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A082-3AA6-4690-B229-36B804BF54A5}">
  <dimension ref="A1:U347"/>
  <sheetViews>
    <sheetView topLeftCell="A186" workbookViewId="0">
      <selection activeCell="E188" sqref="E18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vrpGzSkHkxK6YyEJ8JM2GhLKDgm6dtmuR84jRJY/5zUNLoCPTuN7RCwZM1Vmkq3FaEgvgveo06vlPCwGnp6Bw==" saltValue="1mGQdSbgW+4Yt/UNXjor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B73F6C6-0D7D-4B73-85D2-8D82C36D6BCD}">
      <formula1>0</formula1>
    </dataValidation>
    <dataValidation type="date" operator="greaterThanOrEqual" allowBlank="1" showInputMessage="1" showErrorMessage="1" sqref="B2:B213 I2:I213 K2:K213 O2:O213" xr:uid="{1CD1FF88-0972-429B-A154-D86141B2616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f09d0ae9-c6ff-4e57-bd1f-955be6ad47ac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2025-10-31T15:39:41Z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