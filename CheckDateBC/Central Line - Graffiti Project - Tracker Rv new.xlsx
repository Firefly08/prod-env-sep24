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mmscloud-my.sharepoint.com/personal/godfred_bonse_abm_com/Documents/Documents/"/>
    </mc:Choice>
  </mc:AlternateContent>
  <xr:revisionPtr revIDLastSave="224" documentId="8_{640F27E1-4D68-41BB-BC53-5721EC57960F}" xr6:coauthVersionLast="47" xr6:coauthVersionMax="47" xr10:uidLastSave="{B8C1D749-C166-4EF2-A58E-5D323D9548DE}"/>
  <bookViews>
    <workbookView xWindow="-110" yWindow="-110" windowWidth="19420" windowHeight="10420" xr2:uid="{EF5C035C-41B0-4463-AED5-105A1C53EA14}"/>
  </bookViews>
  <sheets>
    <sheet name="Central Line " sheetId="1" r:id="rId1"/>
    <sheet name="Repeat Attacks 1" sheetId="2" r:id="rId2"/>
    <sheet name="Repeat Attacks 2" sheetId="3" r:id="rId3"/>
    <sheet name="Repeat Attacks 3" sheetId="4" r:id="rId4"/>
    <sheet name="Repeat Attacks 4" sheetId="5" r:id="rId5"/>
    <sheet name="Repeat Attacks 5" sheetId="6" r:id="rId6"/>
    <sheet name="Repeat Attack 6" sheetId="7" r:id="rId7"/>
  </sheets>
  <definedNames>
    <definedName name="_xlnm._FilterDatabase" localSheetId="0" hidden="1">'Central Line '!$A$1:$P$341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7" l="1"/>
  <c r="S4" i="7"/>
  <c r="T4" i="6"/>
  <c r="S4" i="6"/>
  <c r="T4" i="5"/>
  <c r="S4" i="5"/>
  <c r="T4" i="4"/>
  <c r="S4" i="4"/>
  <c r="T4" i="3"/>
  <c r="S4" i="3"/>
  <c r="S4" i="2"/>
  <c r="U4" i="2" s="1"/>
  <c r="T4" i="1"/>
  <c r="S4" i="1"/>
  <c r="U4" i="7" l="1"/>
  <c r="U4" i="6"/>
  <c r="U4" i="5"/>
  <c r="U4" i="4"/>
  <c r="U4" i="3"/>
  <c r="U4" i="1"/>
</calcChain>
</file>

<file path=xl/sharedStrings.xml><?xml version="1.0" encoding="utf-8"?>
<sst xmlns="http://schemas.openxmlformats.org/spreadsheetml/2006/main" count="1305" uniqueCount="136">
  <si>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</si>
  <si>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</si>
  <si>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</si>
  <si>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</si>
  <si>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</si>
  <si>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</si>
  <si>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</si>
  <si>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</si>
  <si>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</si>
  <si>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</si>
  <si>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</si>
  <si>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</si>
  <si>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</si>
  <si>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</si>
  <si>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</si>
  <si>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</si>
  <si>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28/04/2025</t>
  </si>
  <si>
    <t>Y</t>
  </si>
  <si>
    <t>D Mihalache</t>
  </si>
  <si>
    <t xml:space="preserve">Y </t>
  </si>
  <si>
    <t>E. N Daniels</t>
  </si>
  <si>
    <t>Total Trains</t>
  </si>
  <si>
    <t>Total Units</t>
  </si>
  <si>
    <t>Units Completed</t>
  </si>
  <si>
    <t>% Completed</t>
  </si>
  <si>
    <t>M. Ebietsuwa</t>
  </si>
  <si>
    <t>2</t>
  </si>
  <si>
    <t>0</t>
  </si>
  <si>
    <t>17/07/2025</t>
  </si>
  <si>
    <t>91063/92063</t>
  </si>
  <si>
    <t>91065/92065</t>
  </si>
  <si>
    <t>91083/92083</t>
  </si>
  <si>
    <t>91089/92089</t>
  </si>
  <si>
    <t>18/05/2025</t>
  </si>
  <si>
    <t>E. Nyarko</t>
  </si>
  <si>
    <t>91129/92129</t>
  </si>
  <si>
    <t>L Dwyer</t>
  </si>
  <si>
    <t>91167/92167</t>
  </si>
  <si>
    <t>91181</t>
  </si>
  <si>
    <t>14/04/2025</t>
  </si>
  <si>
    <t>91183</t>
  </si>
  <si>
    <t>91185</t>
  </si>
  <si>
    <t>91187</t>
  </si>
  <si>
    <t>91189</t>
  </si>
  <si>
    <t>91191</t>
  </si>
  <si>
    <t>91193</t>
  </si>
  <si>
    <t>91195</t>
  </si>
  <si>
    <t>91197</t>
  </si>
  <si>
    <t>91199</t>
  </si>
  <si>
    <t>21/05/2025</t>
  </si>
  <si>
    <t>91201</t>
  </si>
  <si>
    <t>91203</t>
  </si>
  <si>
    <t>91205</t>
  </si>
  <si>
    <t>C. Ebietsuwa</t>
  </si>
  <si>
    <t>91207</t>
  </si>
  <si>
    <t>91211</t>
  </si>
  <si>
    <t>91213</t>
  </si>
  <si>
    <t>91215</t>
  </si>
  <si>
    <t>91217</t>
  </si>
  <si>
    <t>91219</t>
  </si>
  <si>
    <t>91221</t>
  </si>
  <si>
    <t>91223</t>
  </si>
  <si>
    <t>91225</t>
  </si>
  <si>
    <t>91225/92225</t>
  </si>
  <si>
    <t>91227</t>
  </si>
  <si>
    <t>91229</t>
  </si>
  <si>
    <t>91231</t>
  </si>
  <si>
    <t>91233</t>
  </si>
  <si>
    <t>91233/92233</t>
  </si>
  <si>
    <t>91235</t>
  </si>
  <si>
    <t>91237</t>
  </si>
  <si>
    <t>91239</t>
  </si>
  <si>
    <t>91241</t>
  </si>
  <si>
    <t>91243</t>
  </si>
  <si>
    <t>91245</t>
  </si>
  <si>
    <t>91247</t>
  </si>
  <si>
    <t>91249</t>
  </si>
  <si>
    <t>91251</t>
  </si>
  <si>
    <t>91253</t>
  </si>
  <si>
    <t>91255/92255</t>
  </si>
  <si>
    <t>91257</t>
  </si>
  <si>
    <t>91259</t>
  </si>
  <si>
    <t>91261</t>
  </si>
  <si>
    <t>91263</t>
  </si>
  <si>
    <t>91265</t>
  </si>
  <si>
    <t>91267</t>
  </si>
  <si>
    <t>91269</t>
  </si>
  <si>
    <t>91271</t>
  </si>
  <si>
    <t>91275</t>
  </si>
  <si>
    <t>91277</t>
  </si>
  <si>
    <t>91281</t>
  </si>
  <si>
    <t>28/05/2025</t>
  </si>
  <si>
    <t>91283</t>
  </si>
  <si>
    <t>91285</t>
  </si>
  <si>
    <t>91285/92285</t>
  </si>
  <si>
    <t>91287</t>
  </si>
  <si>
    <t>91289</t>
  </si>
  <si>
    <t>91291</t>
  </si>
  <si>
    <t>91293</t>
  </si>
  <si>
    <t>91295</t>
  </si>
  <si>
    <t>91297</t>
  </si>
  <si>
    <t>91299</t>
  </si>
  <si>
    <t>16/04/2025</t>
  </si>
  <si>
    <t>91305</t>
  </si>
  <si>
    <t>91307</t>
  </si>
  <si>
    <t>91309</t>
  </si>
  <si>
    <t>91309/92309</t>
  </si>
  <si>
    <t>91311</t>
  </si>
  <si>
    <t>91313</t>
  </si>
  <si>
    <t>91315</t>
  </si>
  <si>
    <t>91317</t>
  </si>
  <si>
    <t>91317/92317</t>
  </si>
  <si>
    <t>91319</t>
  </si>
  <si>
    <t>91321</t>
  </si>
  <si>
    <t>91323</t>
  </si>
  <si>
    <t>91325</t>
  </si>
  <si>
    <t>91327</t>
  </si>
  <si>
    <t>91331</t>
  </si>
  <si>
    <t>91333</t>
  </si>
  <si>
    <t>91333/92333</t>
  </si>
  <si>
    <t>91335</t>
  </si>
  <si>
    <t>91339</t>
  </si>
  <si>
    <t xml:space="preserve">y </t>
  </si>
  <si>
    <t>20/04/2025</t>
  </si>
  <si>
    <t>13/04/2025</t>
  </si>
  <si>
    <t>29.06.2025</t>
  </si>
  <si>
    <t>34</t>
  </si>
  <si>
    <t>92164/93164</t>
  </si>
  <si>
    <t>93214/92214</t>
  </si>
  <si>
    <t>92230/93230</t>
  </si>
  <si>
    <t>92256/93256</t>
  </si>
  <si>
    <t>24</t>
  </si>
  <si>
    <t>92422/93422</t>
  </si>
  <si>
    <t>92438/93438</t>
  </si>
  <si>
    <t>91023/92023</t>
  </si>
  <si>
    <t>Christopher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</si>
</sst>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3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63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indexed="63"/>
      <name val="Calibri"/>
      <family val="2"/>
      <scheme val="minor"/>
    </font>
    <font>
      <sz val="10"/>
      <color rgb="FF000000"/>
      <name val="Arial"/>
      <family val="2"/>
    </font>
    <font>
      <b/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2" fillId="0" borderId="0"/>
    <xf numFmtId="9" fontId="4" fillId="0" borderId="0" applyFont="0" applyFill="0" applyBorder="0" applyAlignment="0" applyProtection="0"/>
  </cellStyleXfs>
  <cellXfs count="81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  <protection hidden="1"/>
    </xf>
    <xf numFmtId="0" fontId="0" fillId="0" borderId="0" xfId="0" applyAlignment="1">
      <alignment horizontal="left" vertical="top" wrapText="1" indent="1"/>
    </xf>
    <xf numFmtId="0" fontId="0" fillId="8" borderId="2" xfId="0" applyFill="1" applyBorder="1" applyAlignment="1">
      <alignment horizontal="left" vertical="top" wrapText="1" indent="1"/>
    </xf>
    <xf numFmtId="0" fontId="0" fillId="9" borderId="2" xfId="0" applyFill="1" applyBorder="1" applyAlignment="1">
      <alignment horizontal="left" vertical="top" wrapText="1" indent="1"/>
    </xf>
    <xf numFmtId="0" fontId="0" fillId="6" borderId="6" xfId="0" applyFill="1" applyBorder="1" applyAlignment="1">
      <alignment horizontal="left" vertical="top" wrapText="1" indent="1"/>
    </xf>
    <xf numFmtId="0" fontId="5" fillId="0" borderId="7" xfId="0" applyFont="1" applyBorder="1" applyAlignment="1">
      <alignment horizontal="left" vertical="top" wrapText="1" indent="1"/>
    </xf>
    <xf numFmtId="0" fontId="0" fillId="0" borderId="10" xfId="0" applyBorder="1" applyAlignment="1">
      <alignment horizontal="left" vertical="top" wrapText="1" indent="1"/>
    </xf>
    <xf numFmtId="0" fontId="0" fillId="0" borderId="11" xfId="0" applyBorder="1" applyAlignment="1">
      <alignment horizontal="center" vertical="top" wrapText="1"/>
    </xf>
    <xf numFmtId="0" fontId="0" fillId="0" borderId="12" xfId="2" applyNumberFormat="1" applyFont="1" applyBorder="1" applyAlignment="1">
      <alignment horizontal="center" vertical="top" wrapText="1"/>
    </xf>
    <xf numFmtId="0" fontId="0" fillId="0" borderId="13" xfId="0" applyBorder="1" applyAlignment="1">
      <alignment horizontal="left" vertical="top" wrapText="1" indent="1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6" fillId="7" borderId="7" xfId="0" applyFont="1" applyFill="1" applyBorder="1" applyAlignment="1" applyProtection="1">
      <alignment horizontal="center" vertical="center"/>
      <protection hidden="1"/>
    </xf>
    <xf numFmtId="0" fontId="3" fillId="3" borderId="7" xfId="1" applyFont="1" applyFill="1" applyBorder="1" applyAlignment="1">
      <alignment horizontal="center" vertical="center" wrapText="1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10" borderId="7" xfId="0" applyFont="1" applyFill="1" applyBorder="1" applyAlignment="1" applyProtection="1">
      <alignment horizontal="center" vertical="center"/>
      <protection locked="0"/>
    </xf>
    <xf numFmtId="0" fontId="5" fillId="10" borderId="7" xfId="0" applyFont="1" applyFill="1" applyBorder="1" applyAlignment="1">
      <alignment horizontal="left" vertical="top" wrapText="1" indent="1"/>
    </xf>
    <xf numFmtId="0" fontId="9" fillId="0" borderId="7" xfId="0" applyFont="1" applyBorder="1" applyAlignment="1" applyProtection="1">
      <alignment horizontal="center" vertical="center"/>
      <protection locked="0"/>
    </xf>
    <xf numFmtId="0" fontId="9" fillId="0" borderId="7" xfId="0" applyFont="1" applyBorder="1" applyAlignment="1" applyProtection="1">
      <alignment horizontal="center" vertical="center" wrapText="1"/>
      <protection locked="0"/>
    </xf>
    <xf numFmtId="0" fontId="6" fillId="11" borderId="7" xfId="0" applyFont="1" applyFill="1" applyBorder="1" applyAlignment="1" applyProtection="1">
      <alignment horizontal="center" vertical="center"/>
      <protection hidden="1"/>
    </xf>
    <xf numFmtId="0" fontId="4" fillId="3" borderId="7" xfId="1" applyFont="1" applyFill="1" applyBorder="1" applyAlignment="1">
      <alignment horizontal="center"/>
    </xf>
    <xf numFmtId="0" fontId="3" fillId="3" borderId="14" xfId="1" applyFont="1" applyFill="1" applyBorder="1" applyAlignment="1">
      <alignment horizontal="center" vertical="center" wrapText="1"/>
    </xf>
    <xf numFmtId="0" fontId="4" fillId="3" borderId="14" xfId="1" applyFont="1" applyFill="1" applyBorder="1" applyAlignment="1">
      <alignment horizontal="center"/>
    </xf>
    <xf numFmtId="0" fontId="7" fillId="10" borderId="8" xfId="0" applyFont="1" applyFill="1" applyBorder="1" applyAlignment="1" applyProtection="1">
      <alignment horizontal="center" vertical="center"/>
      <protection locked="0"/>
    </xf>
    <xf numFmtId="0" fontId="5" fillId="10" borderId="8" xfId="0" applyFont="1" applyFill="1" applyBorder="1" applyAlignment="1">
      <alignment horizontal="left" vertical="top" wrapText="1" indent="1"/>
    </xf>
    <xf numFmtId="0" fontId="6" fillId="11" borderId="8" xfId="0" applyFont="1" applyFill="1" applyBorder="1" applyAlignment="1" applyProtection="1">
      <alignment horizontal="center" vertical="center"/>
      <protection hidden="1"/>
    </xf>
    <xf numFmtId="0" fontId="1" fillId="2" borderId="15" xfId="0" applyFont="1" applyFill="1" applyBorder="1" applyAlignment="1" applyProtection="1">
      <alignment horizontal="center" vertical="center"/>
      <protection hidden="1"/>
    </xf>
    <xf numFmtId="0" fontId="3" fillId="3" borderId="18" xfId="1" applyFont="1" applyFill="1" applyBorder="1" applyAlignment="1">
      <alignment horizontal="center" vertical="center" wrapText="1"/>
    </xf>
    <xf numFmtId="0" fontId="7" fillId="0" borderId="19" xfId="0" applyFont="1" applyBorder="1" applyAlignment="1" applyProtection="1">
      <alignment horizontal="center" vertical="center"/>
      <protection locked="0"/>
    </xf>
    <xf numFmtId="0" fontId="7" fillId="10" borderId="20" xfId="0" applyFont="1" applyFill="1" applyBorder="1" applyAlignment="1" applyProtection="1">
      <alignment horizontal="center" vertical="center"/>
      <protection locked="0"/>
    </xf>
    <xf numFmtId="0" fontId="12" fillId="4" borderId="16" xfId="0" applyFont="1" applyFill="1" applyBorder="1" applyAlignment="1" applyProtection="1">
      <alignment horizontal="center" vertical="center" wrapText="1"/>
      <protection hidden="1"/>
    </xf>
    <xf numFmtId="0" fontId="12" fillId="5" borderId="16" xfId="0" applyFont="1" applyFill="1" applyBorder="1" applyAlignment="1" applyProtection="1">
      <alignment horizontal="center" vertical="center" wrapText="1"/>
      <protection hidden="1"/>
    </xf>
    <xf numFmtId="0" fontId="12" fillId="12" borderId="16" xfId="0" applyFont="1" applyFill="1" applyBorder="1" applyAlignment="1" applyProtection="1">
      <alignment horizontal="center" vertical="center" wrapText="1"/>
      <protection hidden="1"/>
    </xf>
    <xf numFmtId="0" fontId="12" fillId="13" borderId="16" xfId="0" applyFont="1" applyFill="1" applyBorder="1" applyAlignment="1" applyProtection="1">
      <alignment horizontal="center" vertical="center" wrapText="1"/>
      <protection hidden="1"/>
    </xf>
    <xf numFmtId="0" fontId="12" fillId="10" borderId="17" xfId="0" applyFont="1" applyFill="1" applyBorder="1" applyAlignment="1" applyProtection="1">
      <alignment horizontal="center" vertical="center" wrapText="1"/>
      <protection hidden="1"/>
    </xf>
    <xf numFmtId="0" fontId="6" fillId="0" borderId="7" xfId="0" applyFont="1" applyFill="1" applyBorder="1" applyAlignment="1" applyProtection="1">
      <alignment horizontal="center" vertical="center"/>
      <protection hidden="1"/>
    </xf>
    <xf numFmtId="0" fontId="7" fillId="0" borderId="7" xfId="0" applyFont="1" applyFill="1" applyBorder="1" applyAlignment="1" applyProtection="1">
      <alignment horizontal="center" vertical="center"/>
      <protection locked="0"/>
    </xf>
    <xf numFmtId="0" fontId="8" fillId="0" borderId="7" xfId="0" applyFont="1" applyFill="1" applyBorder="1" applyAlignment="1" applyProtection="1">
      <alignment horizontal="center" vertical="center"/>
      <protection hidden="1"/>
    </xf>
    <xf numFmtId="0" fontId="0" fillId="0" borderId="7" xfId="0" applyFill="1" applyBorder="1" applyAlignment="1">
      <alignment horizontal="left" vertical="top" wrapText="1" indent="1"/>
    </xf>
    <xf numFmtId="0" fontId="6" fillId="0" borderId="19" xfId="0" applyFont="1" applyFill="1" applyBorder="1" applyAlignment="1" applyProtection="1">
      <alignment horizontal="center" vertical="center"/>
      <protection hidden="1"/>
    </xf>
    <xf numFmtId="0" fontId="7" fillId="0" borderId="19" xfId="0" applyFont="1" applyFill="1" applyBorder="1" applyAlignment="1" applyProtection="1">
      <alignment horizontal="center" vertical="center"/>
      <protection locked="0"/>
    </xf>
    <xf numFmtId="0" fontId="5" fillId="0" borderId="7" xfId="0" applyFont="1" applyFill="1" applyBorder="1" applyAlignment="1">
      <alignment horizontal="left" vertical="top" wrapText="1" indent="1"/>
    </xf>
    <xf numFmtId="0" fontId="12" fillId="4" borderId="1" xfId="0" applyFont="1" applyFill="1" applyBorder="1" applyAlignment="1" applyProtection="1">
      <alignment horizontal="center" vertical="center" wrapText="1"/>
      <protection hidden="1"/>
    </xf>
    <xf numFmtId="0" fontId="12" fillId="5" borderId="1" xfId="0" applyFont="1" applyFill="1" applyBorder="1" applyAlignment="1" applyProtection="1">
      <alignment horizontal="center" vertical="center" wrapText="1"/>
      <protection hidden="1"/>
    </xf>
    <xf numFmtId="0" fontId="12" fillId="12" borderId="21" xfId="0" applyFont="1" applyFill="1" applyBorder="1" applyAlignment="1" applyProtection="1">
      <alignment horizontal="center" vertical="center" wrapText="1"/>
      <protection hidden="1"/>
    </xf>
    <xf numFmtId="0" fontId="12" fillId="13" borderId="21" xfId="0" applyFont="1" applyFill="1" applyBorder="1" applyAlignment="1" applyProtection="1">
      <alignment horizontal="center" vertical="center" wrapText="1"/>
      <protection hidden="1"/>
    </xf>
    <xf numFmtId="0" fontId="12" fillId="5" borderId="21" xfId="0" applyFont="1" applyFill="1" applyBorder="1" applyAlignment="1" applyProtection="1">
      <alignment horizontal="center" vertical="center" wrapText="1"/>
      <protection hidden="1"/>
    </xf>
    <xf numFmtId="0" fontId="12" fillId="5" borderId="22" xfId="0" applyFont="1" applyFill="1" applyBorder="1" applyAlignment="1" applyProtection="1">
      <alignment horizontal="center" vertical="center" wrapText="1"/>
      <protection hidden="1"/>
    </xf>
    <xf numFmtId="0" fontId="12" fillId="5" borderId="23" xfId="0" applyFont="1" applyFill="1" applyBorder="1" applyAlignment="1" applyProtection="1">
      <alignment horizontal="center" vertical="center" wrapText="1"/>
      <protection hidden="1"/>
    </xf>
    <xf numFmtId="0" fontId="12" fillId="10" borderId="24" xfId="0" applyFont="1" applyFill="1" applyBorder="1" applyAlignment="1" applyProtection="1">
      <alignment horizontal="center" vertical="center" wrapText="1"/>
      <protection hidden="1"/>
    </xf>
    <xf numFmtId="0" fontId="3" fillId="0" borderId="7" xfId="1" applyFont="1" applyFill="1" applyBorder="1" applyAlignment="1">
      <alignment horizontal="center" vertical="center" wrapText="1"/>
    </xf>
    <xf numFmtId="0" fontId="9" fillId="0" borderId="7" xfId="0" applyFont="1" applyFill="1" applyBorder="1" applyAlignment="1" applyProtection="1">
      <alignment horizontal="center" vertical="center"/>
      <protection locked="0"/>
    </xf>
    <xf numFmtId="0" fontId="9" fillId="0" borderId="7" xfId="0" applyFont="1" applyFill="1" applyBorder="1" applyAlignment="1" applyProtection="1">
      <alignment horizontal="center" vertical="center" wrapText="1"/>
      <protection locked="0"/>
    </xf>
    <xf numFmtId="14" fontId="6" fillId="0" borderId="7" xfId="0" applyNumberFormat="1" applyFont="1" applyFill="1" applyBorder="1" applyAlignment="1" applyProtection="1">
      <alignment horizontal="center" vertical="center"/>
      <protection hidden="1"/>
    </xf>
    <xf numFmtId="14" fontId="9" fillId="0" borderId="7" xfId="0" applyNumberFormat="1" applyFont="1" applyFill="1" applyBorder="1" applyAlignment="1" applyProtection="1">
      <alignment horizontal="center" vertical="center"/>
      <protection locked="0"/>
    </xf>
    <xf numFmtId="0" fontId="4" fillId="0" borderId="7" xfId="1" applyFont="1" applyFill="1" applyBorder="1" applyAlignment="1">
      <alignment horizontal="center"/>
    </xf>
    <xf numFmtId="0" fontId="3" fillId="0" borderId="14" xfId="1" applyFont="1" applyFill="1" applyBorder="1" applyAlignment="1">
      <alignment horizontal="center" vertical="center" wrapText="1"/>
    </xf>
    <xf numFmtId="0" fontId="7" fillId="0" borderId="8" xfId="0" applyFont="1" applyFill="1" applyBorder="1" applyAlignment="1" applyProtection="1">
      <alignment horizontal="center" vertical="center"/>
      <protection locked="0"/>
    </xf>
    <xf numFmtId="0" fontId="5" fillId="0" borderId="8" xfId="0" applyFont="1" applyFill="1" applyBorder="1" applyAlignment="1">
      <alignment horizontal="left" vertical="top" wrapText="1" indent="1"/>
    </xf>
    <xf numFmtId="0" fontId="6" fillId="0" borderId="8" xfId="0" applyFont="1" applyFill="1" applyBorder="1" applyAlignment="1" applyProtection="1">
      <alignment horizontal="center" vertical="center"/>
      <protection hidden="1"/>
    </xf>
    <xf numFmtId="0" fontId="4" fillId="0" borderId="14" xfId="1" applyFont="1" applyFill="1" applyBorder="1" applyAlignment="1">
      <alignment horizontal="center"/>
    </xf>
    <xf numFmtId="0" fontId="3" fillId="0" borderId="18" xfId="1" applyFont="1" applyFill="1" applyBorder="1" applyAlignment="1">
      <alignment horizontal="center" vertical="center" wrapText="1"/>
    </xf>
    <xf numFmtId="0" fontId="7" fillId="0" borderId="20" xfId="0" applyFont="1" applyFill="1" applyBorder="1" applyAlignment="1" applyProtection="1">
      <alignment horizontal="center" vertical="center"/>
      <protection locked="0"/>
    </xf>
    <xf numFmtId="164" fontId="6" fillId="0" borderId="7" xfId="0" applyNumberFormat="1" applyFont="1" applyFill="1" applyBorder="1" applyAlignment="1" applyProtection="1">
      <alignment horizontal="left" vertical="center"/>
      <protection hidden="1"/>
    </xf>
    <xf numFmtId="0" fontId="6" fillId="0" borderId="7" xfId="0" applyFont="1" applyFill="1" applyBorder="1" applyAlignment="1" applyProtection="1">
      <alignment horizontal="left" vertical="center"/>
      <protection hidden="1"/>
    </xf>
    <xf numFmtId="0" fontId="9" fillId="0" borderId="7" xfId="0" applyFont="1" applyFill="1" applyBorder="1" applyAlignment="1" applyProtection="1">
      <alignment horizontal="left" vertical="center"/>
      <protection locked="0"/>
    </xf>
    <xf numFmtId="0" fontId="9" fillId="0" borderId="7" xfId="0" applyFont="1" applyFill="1" applyBorder="1" applyAlignment="1" applyProtection="1">
      <alignment horizontal="left" vertical="center" wrapText="1"/>
      <protection locked="0"/>
    </xf>
    <xf numFmtId="14" fontId="9" fillId="0" borderId="7" xfId="0" applyNumberFormat="1" applyFont="1" applyFill="1" applyBorder="1" applyAlignment="1" applyProtection="1">
      <alignment horizontal="left" vertical="center"/>
      <protection locked="0"/>
    </xf>
    <xf numFmtId="164" fontId="0" fillId="0" borderId="7" xfId="0" applyNumberFormat="1" applyFill="1" applyBorder="1" applyAlignment="1">
      <alignment horizontal="left" vertical="top" wrapText="1" indent="1"/>
    </xf>
    <xf numFmtId="164" fontId="6" fillId="0" borderId="7" xfId="0" applyNumberFormat="1" applyFont="1" applyFill="1" applyBorder="1" applyAlignment="1" applyProtection="1">
      <alignment horizontal="center" vertical="center"/>
      <protection hidden="1"/>
    </xf>
    <xf numFmtId="164" fontId="9" fillId="0" borderId="7" xfId="0" applyNumberFormat="1" applyFont="1" applyFill="1" applyBorder="1" applyAlignment="1" applyProtection="1">
      <alignment horizontal="left" vertical="center"/>
      <protection locked="0"/>
    </xf>
    <xf numFmtId="0" fontId="12" fillId="4" borderId="1" xfId="0" applyFont="1" applyFill="1" applyBorder="1" applyAlignment="1" applyProtection="1">
      <alignment horizontal="left" vertical="center" wrapText="1"/>
      <protection hidden="1"/>
    </xf>
    <xf numFmtId="0" fontId="0" fillId="0" borderId="7" xfId="0" applyFill="1" applyBorder="1" applyAlignment="1">
      <alignment horizontal="left" vertical="top" wrapText="1"/>
    </xf>
    <xf numFmtId="0" fontId="10" fillId="0" borderId="7" xfId="1" applyFont="1" applyFill="1" applyBorder="1" applyAlignment="1">
      <alignment horizontal="left" vertical="center" wrapText="1"/>
    </xf>
    <xf numFmtId="164" fontId="6" fillId="0" borderId="7" xfId="0" applyNumberFormat="1" applyFont="1" applyFill="1" applyBorder="1" applyAlignment="1" applyProtection="1">
      <alignment horizontal="left" vertical="center" wrapText="1"/>
      <protection hidden="1"/>
    </xf>
    <xf numFmtId="0" fontId="5" fillId="0" borderId="7" xfId="1" applyFont="1" applyFill="1" applyBorder="1" applyAlignment="1">
      <alignment horizontal="left"/>
    </xf>
    <xf numFmtId="164" fontId="0" fillId="0" borderId="7" xfId="0" applyNumberFormat="1" applyFill="1" applyBorder="1" applyAlignment="1">
      <alignment horizontal="center" vertical="top" wrapText="1" indent="1"/>
    </xf>
    <xf numFmtId="164" fontId="0" fillId="0" borderId="7" xfId="0" applyNumberFormat="1" applyFill="1" applyBorder="1" applyAlignment="1">
      <alignment horizontal="left" vertical="top" wrapText="1"/>
    </xf>
    <xf numFmtId="0" fontId="12" fillId="10" borderId="9" xfId="0" applyFont="1" applyFill="1" applyBorder="1" applyAlignment="1" applyProtection="1">
      <alignment horizontal="center" vertical="center" wrapText="1"/>
      <protection hidden="1"/>
    </xf>
  </cellXfs>
  <cellStyles count="3">
    <cellStyle name="Normal" xfId="0" builtinId="0"/>
    <cellStyle name="Normal 2" xfId="1" xr:uid="{42090E7C-01C3-4A0A-88B5-D96A9BA41DC0}"/>
    <cellStyle name="Per cent" xfId="2" builtinId="5"/>
  </cellStyles>
  <dxfs count="213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9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9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  <protection locked="1" hidden="1"/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9"/>
          <bgColor indexed="9"/>
        </patternFill>
      </fill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9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color rgb="FF000000"/>
      </font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9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9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none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  <protection locked="1" hidden="1"/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9"/>
          <bgColor indexed="9"/>
        </patternFill>
      </fill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9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none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protection locked="0" hidden="0"/>
    </dxf>
    <dxf>
      <font>
        <color rgb="FF000000"/>
      </font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indexed="9"/>
        </patternFill>
      </fill>
      <alignment horizontal="left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none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protection locked="0" hidden="0"/>
    </dxf>
    <dxf>
      <font>
        <color rgb="FF000000"/>
      </font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indexed="9"/>
        </patternFill>
      </fill>
      <alignment horizontal="left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none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protection locked="0" hidden="0"/>
    </dxf>
    <dxf>
      <font>
        <color rgb="FF000000"/>
      </font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indexed="9"/>
        </patternFill>
      </fill>
      <alignment horizontal="left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none">
          <fgColor indexed="64"/>
          <bgColor theme="8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protection locked="0" hidden="0"/>
    </dxf>
    <dxf>
      <font>
        <color rgb="FF000000"/>
      </font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8DD76F1-8BD5-4101-BBF4-741679691102}" name="TagsBC0" displayName="TagsBC0" ref="A1:P341" totalsRowShown="0" headerRowDxfId="201" dataDxfId="200">
  <autoFilter ref="A1:P341" xr:uid="{EB9D47EE-CBBE-425F-B8B7-F0B980E2281F}"/>
  <tableColumns count="16">
    <tableColumn id="1" xr3:uid="{2B8F83EE-E132-4EFD-B22E-DE86F5C75726}" name="Unit No." dataDxfId="199" dataCellStyle="Normal 2"/>
    <tableColumn id="2" xr3:uid="{3DE45E44-5056-42CB-A063-57B162F4522B}" name="DATE" dataDxfId="198"/>
    <tableColumn id="3" xr3:uid="{B47D3CA3-8D9B-4DA5-912B-438E8DA995FB}" name="Status" dataDxfId="197"/>
    <tableColumn id="4" xr3:uid="{5EABB3FD-85DE-40CD-83B4-F19C6E5C32D1}" name="Number of cars affected by graffiti/shadows on this unit" dataDxfId="196"/>
    <tableColumn id="5" xr3:uid="{650F0141-1B13-49F2-B491-C4FF58F21F27}" name="Total Number of Tags found" dataDxfId="195"/>
    <tableColumn id="6" xr3:uid="{79910875-1707-4569-A848-AC0C27E5084C}" name="Total Tags Removed / Cleaned" dataDxfId="194"/>
    <tableColumn id="7" xr3:uid="{86A813AF-DA18-42C6-948D-F9BB2875A4A6}" name="Total Tags Not Cleaned on this Unit" dataDxfId="193"/>
    <tableColumn id="8" xr3:uid="{8F7C8327-B72A-4B77-8520-C0E46ED880EC}" name="Car Number (s)  of Tags not cleaned (shadows)" dataDxfId="192"/>
    <tableColumn id="9" xr3:uid="{C4D99E9D-7D54-47FC-9031-710B71B9C16F}" name="Date of 2nd visit to clean remaining tags" dataDxfId="191"/>
    <tableColumn id="10" xr3:uid="{9C7A0FC4-C840-41B3-A91B-149596964DD2}" name="Number of tags removed" dataDxfId="190"/>
    <tableColumn id="11" xr3:uid="{35886971-CC65-47D9-8505-F88C1A6AE29C}" name="Date of 3rd visit to clean remaining tags" dataDxfId="189"/>
    <tableColumn id="12" xr3:uid="{9221CDE8-3102-4F46-9225-00612699CCD2}" name="Number of tags removed2" dataDxfId="188"/>
    <tableColumn id="13" xr3:uid="{8B89E9B2-C4C8-4E73-B9E5-E0F44B16C1B5}" name="Train Inspected and Fit for service    (Y/N)" dataDxfId="187"/>
    <tableColumn id="14" xr3:uid="{AE389C7C-40AA-449D-98B0-B715C771EA2A}" name="Inspected by Supervisor/Manager (Name)" dataDxfId="186"/>
    <tableColumn id="15" xr3:uid="{317A8919-4F98-4977-9E91-A8529554BAFF}" name="Date of Completing all shadows (Tags) on this Unit excluding acid etched shadows" dataDxfId="185"/>
    <tableColumn id="16" xr3:uid="{417D48D3-420E-49FA-B5C1-C3E1DF4474C0}" name="Car Number (s)  of Tags not cleaned due to acid etched shadows" dataDxfId="18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4968EB7-F347-4C94-B966-949A16629312}" name="TagsBC1" displayName="TagsBC1" ref="A1:P341" totalsRowShown="0" headerRowDxfId="172" dataDxfId="171" tableBorderDxfId="170">
  <autoFilter ref="A1:P341" xr:uid="{24968EB7-F347-4C94-B966-949A16629312}"/>
  <tableColumns count="16">
    <tableColumn id="1" xr3:uid="{9E9E0A8D-C746-4494-BC10-0FB960EDF8CE}" name="Unit No." dataDxfId="169" dataCellStyle="Normal 2"/>
    <tableColumn id="2" xr3:uid="{0726634F-E602-4824-8C90-B3E13FBC1082}" name="DATE" dataDxfId="168"/>
    <tableColumn id="3" xr3:uid="{577F3D7F-5D8F-4C7A-8445-03216F2A32B2}" name="Status" dataDxfId="167"/>
    <tableColumn id="4" xr3:uid="{02547543-C5D7-42E7-BF7A-0B3A5DF7D4B3}" name="Number of cars affected by graffiti/shadows on this unit" dataDxfId="166"/>
    <tableColumn id="5" xr3:uid="{9E962F78-6D1D-4C06-80AC-950CDAF014DE}" name="Total Number of Tags found" dataDxfId="165"/>
    <tableColumn id="6" xr3:uid="{8A929DA5-408F-4314-AEB4-5DE1C53B3AEC}" name="Total Tags Removed / Cleaned" dataDxfId="164"/>
    <tableColumn id="7" xr3:uid="{58724C0E-7182-43A7-9814-2DC76639A7AA}" name="Total Tags Not Cleaned on this Unit" dataDxfId="163"/>
    <tableColumn id="8" xr3:uid="{20054FD2-7573-4CDE-803A-B1F439AF1162}" name="Car Number (s)  of Tags not cleaned (shadows)" dataDxfId="162"/>
    <tableColumn id="9" xr3:uid="{6BFE2F3F-D3BD-48EB-AA24-2DCA2ECE2A0D}" name="Date of 2nd visit to clean remaining tags" dataDxfId="161"/>
    <tableColumn id="10" xr3:uid="{49FFF050-8FF4-4496-9D01-C2AC38576D15}" name="Number of tags removed" dataDxfId="160"/>
    <tableColumn id="11" xr3:uid="{1C86B8CF-F5AA-46E8-989E-036B15F00B11}" name="Date of 3rd visit to clean remaining tags" dataDxfId="159"/>
    <tableColumn id="12" xr3:uid="{EC8B7C71-846A-4C91-9743-0CB7B1C1D1FE}" name="Number of tags removed2" dataDxfId="158"/>
    <tableColumn id="13" xr3:uid="{CFC1EF54-B4F4-4C06-A021-4FE4198DBBC8}" name="Train Inspected and Fit for service    (Y/N)" dataDxfId="157"/>
    <tableColumn id="14" xr3:uid="{4E28D75F-ADF8-4D53-BEA0-AD16D27D2DF3}" name="Inspected by Supervisor/Manager (Name)" dataDxfId="156"/>
    <tableColumn id="15" xr3:uid="{5BC016A0-5290-409D-9BFB-79CE83E47363}" name="Date of Completing all shadows (Tags) on this Unit excluding acid etched shadows" dataDxfId="155"/>
    <tableColumn id="16" xr3:uid="{B9518489-BD02-4D2F-8196-8D4FC9FFACC8}" name="Car Number (s)  of Tags not cleaned due to acid etched shadows" dataDxfId="15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64946AD-70AC-49E7-932C-0AA1BD622D33}" name="TagsBC2" displayName="TagsBC2" ref="A1:P341" totalsRowShown="0" headerRowDxfId="142" dataDxfId="141" tableBorderDxfId="140">
  <autoFilter ref="A1:P341" xr:uid="{864946AD-70AC-49E7-932C-0AA1BD622D33}"/>
  <tableColumns count="16">
    <tableColumn id="1" xr3:uid="{475AD51F-30AD-4375-B137-1E7D903BFD62}" name="Unit No." dataDxfId="139" dataCellStyle="Normal 2"/>
    <tableColumn id="2" xr3:uid="{04E01528-B0B0-42B5-9A27-6EF73875F9F0}" name="DATE" dataDxfId="138"/>
    <tableColumn id="3" xr3:uid="{B0518C24-8E86-4C5C-B1B9-2BBEE11E080D}" name="Status" dataDxfId="137"/>
    <tableColumn id="4" xr3:uid="{B723683E-CC7A-42E5-8FE9-BE7FF3A8CCCC}" name="Number of cars affected by graffiti/shadows on this unit" dataDxfId="136"/>
    <tableColumn id="5" xr3:uid="{58726E18-295E-423F-A1D2-CC8A168A6071}" name="Total Number of Tags found" dataDxfId="135"/>
    <tableColumn id="6" xr3:uid="{56BFF58D-B2C6-4C60-BCF7-D5279F5D9BDF}" name="Total Tags Removed / Cleaned" dataDxfId="134"/>
    <tableColumn id="7" xr3:uid="{89C9C104-8192-4132-80F4-68DF20E2E825}" name="Total Tags Not Cleaned on this Unit" dataDxfId="133"/>
    <tableColumn id="8" xr3:uid="{AD8F53D2-F721-42A5-93EC-D0D092D7651C}" name="Car Number (s)  of Tags not cleaned (shadows)" dataDxfId="132"/>
    <tableColumn id="9" xr3:uid="{AF8F6E67-71C3-47A4-80DB-1ABA7BE5BA6D}" name="Date of 2nd visit to clean remaining tags" dataDxfId="131"/>
    <tableColumn id="10" xr3:uid="{B9DA6D93-B5C1-44B0-ADAB-5C440004E1A4}" name="Number of tags removed" dataDxfId="130"/>
    <tableColumn id="11" xr3:uid="{9D79D914-4DA3-457E-A6C7-E500288D8898}" name="Date of 3rd visit to clean remaining tags" dataDxfId="129"/>
    <tableColumn id="12" xr3:uid="{811BBE11-C92D-4C8A-9A56-295CCBFA538A}" name="Number of tags removed2" dataDxfId="128"/>
    <tableColumn id="13" xr3:uid="{54A67342-BB3F-4ED2-92FA-6AB3E8A590AD}" name="Train Inspected and Fit for service    (Y/N)" dataDxfId="127"/>
    <tableColumn id="14" xr3:uid="{94C003AF-5179-4315-A9E1-C2210F141EF7}" name="Inspected by Supervisor/Manager (Name)" dataDxfId="126"/>
    <tableColumn id="15" xr3:uid="{B6059136-1542-42C3-B7B2-B1CBBDE33181}" name="Date of Completing all shadows (Tags) on this Unit excluding acid etched shadows" dataDxfId="125"/>
    <tableColumn id="16" xr3:uid="{C8CA1B2A-B2F7-4E1D-B813-9D06713BDCF9}" name="Car Number (s)  of Tags not cleaned due to acid etched shadows" dataDxfId="12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DBEFECA-C099-4B1F-823E-B841E784D1F6}" name="TagsBC3" displayName="TagsBC3" ref="A1:P341" totalsRowShown="0" headerRowDxfId="112" dataDxfId="111" tableBorderDxfId="110">
  <autoFilter ref="A1:P341" xr:uid="{8DBEFECA-C099-4B1F-823E-B841E784D1F6}"/>
  <tableColumns count="16">
    <tableColumn id="1" xr3:uid="{02CC94A0-9F8C-48C7-9E88-D8C1A165DF1D}" name="Unit No." dataDxfId="109" dataCellStyle="Normal 2"/>
    <tableColumn id="2" xr3:uid="{631AA4E4-E30E-45E8-A145-BBB7647FD425}" name="DATE" dataDxfId="108"/>
    <tableColumn id="3" xr3:uid="{3CF6841D-D985-4EF6-985F-AD0139E2D2D9}" name="Status" dataDxfId="107"/>
    <tableColumn id="4" xr3:uid="{61288A7E-3D16-4BF4-8426-89F2E6A399AD}" name="Number of cars affected by graffiti/shadows on this unit" dataDxfId="106"/>
    <tableColumn id="5" xr3:uid="{3DF2A661-EE68-446B-BD64-7BCFD0F2878C}" name="Total Number of Tags found" dataDxfId="105"/>
    <tableColumn id="6" xr3:uid="{F50E3CE8-C696-4C4D-BF2D-B79FADB29684}" name="Total Tags Removed / Cleaned" dataDxfId="104"/>
    <tableColumn id="7" xr3:uid="{96365DA8-EC91-4B55-BDD0-A4D34305D81B}" name="Total Tags Not Cleaned on this Unit" dataDxfId="103"/>
    <tableColumn id="8" xr3:uid="{284DADC1-709E-4698-B38B-7635D948462F}" name="Car Number (s)  of Tags not cleaned (shadows)" dataDxfId="102"/>
    <tableColumn id="9" xr3:uid="{74EC63C5-4DC5-4B1F-82DA-2658D251FBA3}" name="Date of 2nd visit to clean remaining tags" dataDxfId="101"/>
    <tableColumn id="10" xr3:uid="{B6EDEE86-54BA-446C-85BD-3E6BF9C83316}" name="Number of tags removed" dataDxfId="100"/>
    <tableColumn id="11" xr3:uid="{63F9F77F-5B0B-4485-8CED-98B3853D9F69}" name="Date of 3rd visit to clean remaining tags" dataDxfId="99"/>
    <tableColumn id="12" xr3:uid="{336BBC36-F501-424F-92C6-C022595699C3}" name="Number of tags removed2" dataDxfId="98"/>
    <tableColumn id="13" xr3:uid="{2CBAF530-D5EB-44F1-BC94-DA53E89A8927}" name="Train Inspected and Fit for service    (Y/N)" dataDxfId="97"/>
    <tableColumn id="14" xr3:uid="{45212CBA-5748-47BF-AE9A-1613F16C3734}" name="Inspected by Supervisor/Manager (Name)" dataDxfId="96"/>
    <tableColumn id="15" xr3:uid="{1CE3CB29-8F35-4E55-AF63-0C62DFA73720}" name="Date of Completing all shadows (Tags) on this Unit excluding acid etched shadows" dataDxfId="95"/>
    <tableColumn id="16" xr3:uid="{C2E59B4C-D674-4860-9F22-00318FC8A7CF}" name="Car Number (s)  of Tags not cleaned due to acid etched shadows" dataDxfId="9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A1B1A1-3BCA-43B3-827F-6896001DE5D5}" name="TagsBC4" displayName="TagsBC4" ref="A1:P341" totalsRowShown="0" headerRowDxfId="82" dataDxfId="81" headerRowBorderDxfId="79" tableBorderDxfId="80" totalsRowBorderDxfId="78">
  <autoFilter ref="A1:P341" xr:uid="{78A1B1A1-3BCA-43B3-827F-6896001DE5D5}"/>
  <tableColumns count="16">
    <tableColumn id="1" xr3:uid="{FCFC657D-F542-460E-86C1-6CEBD6E35ADA}" name="Unit No." dataDxfId="77" dataCellStyle="Normal 2"/>
    <tableColumn id="2" xr3:uid="{301ACAE0-58E0-4421-99B2-4CCCDFD3F440}" name="DATE" dataDxfId="76"/>
    <tableColumn id="3" xr3:uid="{5BEBAFCA-A663-4030-89C0-532E9D8CD410}" name="Status" dataDxfId="75"/>
    <tableColumn id="4" xr3:uid="{5245A77E-A8F1-485C-8BC8-1A64D4B187C0}" name="Number of cars affected by graffiti/shadows on this unit" dataDxfId="74"/>
    <tableColumn id="5" xr3:uid="{FBC4BDB1-570A-42F9-9BD8-D06FB22CACA3}" name="Total Number of Tags found" dataDxfId="73"/>
    <tableColumn id="6" xr3:uid="{1C26BA80-F4FD-4C43-A408-D2286B246AE4}" name="Total Tags Removed / Cleaned" dataDxfId="72"/>
    <tableColumn id="7" xr3:uid="{01022A67-689E-431B-A88F-49D6F428D618}" name="Total Tags Not Cleaned on this Unit" dataDxfId="71"/>
    <tableColumn id="8" xr3:uid="{E45622E4-EF02-4FEC-B624-5BDC2AB73C30}" name="Car Number (s)  of Tags not cleaned (shadows)" dataDxfId="70"/>
    <tableColumn id="9" xr3:uid="{45C82CA5-4646-4D05-8656-2AAEDE813D93}" name="Date of 2nd visit to clean remaining tags" dataDxfId="69"/>
    <tableColumn id="10" xr3:uid="{A2021744-6617-487D-BDBE-65DDDADD971E}" name="Number of tags removed" dataDxfId="68"/>
    <tableColumn id="11" xr3:uid="{4AEA925D-5269-41E3-A9D4-D6F9BB54D3FE}" name="Date of 3rd visit to clean remaining tags" dataDxfId="67"/>
    <tableColumn id="12" xr3:uid="{86468F57-38D2-4ACA-BDFC-1ACF89727A3F}" name="Number of tags removed2" dataDxfId="66"/>
    <tableColumn id="13" xr3:uid="{6CBC5F3A-0C58-42DF-8D02-02C934BAC7D6}" name="Train Inspected and Fit for service    (Y/N)" dataDxfId="65"/>
    <tableColumn id="14" xr3:uid="{91D041F6-E970-4D24-9802-0C1156659D70}" name="Inspected by Supervisor/Manager (Name)" dataDxfId="64"/>
    <tableColumn id="15" xr3:uid="{A1425D5C-CB23-4C79-8DFE-C39973B9CD3E}" name="Date of Completing all shadows (Tags) on this Unit excluding acid etched shadows" dataDxfId="63"/>
    <tableColumn id="16" xr3:uid="{AA8D53BE-7C9A-424E-8ADD-24DCCF5AB440}" name="Car Number (s)  of Tags not cleaned due to acid etched shadows" dataDxfId="6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82A231-46F8-420D-BAA5-91882E269771}" name="TagsBC5" displayName="TagsBC5" ref="A1:P341" totalsRowShown="0" headerRowDxfId="50" dataDxfId="49" tableBorderDxfId="48">
  <autoFilter ref="A1:P341" xr:uid="{7682A231-46F8-420D-BAA5-91882E269771}"/>
  <tableColumns count="16">
    <tableColumn id="1" xr3:uid="{5DC677A6-32A3-495E-A5C9-B0FA6B2F3805}" name="Unit No." dataDxfId="47" dataCellStyle="Normal 2"/>
    <tableColumn id="2" xr3:uid="{81887DA9-CBB9-4054-8B26-AD9B792B98F8}" name="DATE" dataDxfId="46"/>
    <tableColumn id="3" xr3:uid="{EC122B3C-BFAB-41DA-A607-2FA2657FC42E}" name="Status" dataDxfId="45"/>
    <tableColumn id="4" xr3:uid="{632DF07C-E34B-4CA0-9F20-DBFE84FEB8AD}" name="Number of cars affected by graffiti/shadows on this unit" dataDxfId="44"/>
    <tableColumn id="5" xr3:uid="{A5B26929-7509-4C2F-A920-765C76B69B84}" name="Total Number of Tags found" dataDxfId="43"/>
    <tableColumn id="6" xr3:uid="{1EED74D8-D471-42E8-9356-6DB2DE49D5DF}" name="Total Tags Removed / Cleaned" dataDxfId="42"/>
    <tableColumn id="7" xr3:uid="{66BD2FE2-FA30-45CB-A6AB-DBC3722C9DC3}" name="Total Tags Not Cleaned on this Unit" dataDxfId="41"/>
    <tableColumn id="8" xr3:uid="{A001B458-DD1E-4DAF-A927-51F3954C37C3}" name="Car Number (s)  of Tags not cleaned (shadows)" dataDxfId="40"/>
    <tableColumn id="9" xr3:uid="{E6914320-1D5E-40D9-867F-63F5BBF1DFB0}" name="Date of 2nd visit to clean remaining tags" dataDxfId="39"/>
    <tableColumn id="10" xr3:uid="{AC6FD774-7D53-45E8-864D-F209FE66226E}" name="Number of tags removed" dataDxfId="38"/>
    <tableColumn id="11" xr3:uid="{11D13099-827E-4ACB-83E7-A61841456599}" name="Date of 3rd visit to clean remaining tags" dataDxfId="37"/>
    <tableColumn id="12" xr3:uid="{1C61094A-1035-46E5-8E62-7F0E62344487}" name="Number of tags removed2" dataDxfId="36"/>
    <tableColumn id="13" xr3:uid="{C7357388-8929-4495-A364-26D1F584C37F}" name="Train Inspected and Fit for service    (Y/N)" dataDxfId="35"/>
    <tableColumn id="14" xr3:uid="{31FBC24D-8810-4AE6-96CD-20E958CF99B7}" name="Inspected by Supervisor/Manager (Name)" dataDxfId="34"/>
    <tableColumn id="15" xr3:uid="{4DF401FE-2958-40A6-B0E5-EE0E37736BF2}" name="Date of Completing all shadows (Tags) on this Unit excluding acid etched shadows" dataDxfId="33"/>
    <tableColumn id="16" xr3:uid="{59BEF04C-51AB-4B99-A0DD-8DD8B9C2CABA}" name="Car Number (s)  of Tags not cleaned due to acid etched shadows" dataDxfId="3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AC4BCC-E256-44C4-8F46-B87F152D929A}" name="TagsBC6" displayName="TagsBC6" ref="A1:P341" totalsRowShown="0" headerRowDxfId="20" dataDxfId="19" headerRowBorderDxfId="17" tableBorderDxfId="18" totalsRowBorderDxfId="16">
  <autoFilter ref="A1:P341" xr:uid="{09AC4BCC-E256-44C4-8F46-B87F152D929A}"/>
  <tableColumns count="16">
    <tableColumn id="1" xr3:uid="{00FFD0B3-C6D2-42D0-9BCD-7C294E2E6B49}" name="Unit No." dataDxfId="15" dataCellStyle="Normal 2"/>
    <tableColumn id="2" xr3:uid="{5065216D-E24B-4FA3-8FA1-FC4AB4C1CF69}" name="DATE" dataDxfId="14"/>
    <tableColumn id="3" xr3:uid="{1DD2BCD7-A663-400C-9CE9-544BACF0D15A}" name="Status" dataDxfId="13"/>
    <tableColumn id="4" xr3:uid="{3ECFC3CD-35B3-4080-B4D0-4DF96886CAE0}" name="Number of cars affected by graffiti/shadows on this unit" dataDxfId="12"/>
    <tableColumn id="5" xr3:uid="{AC9EB93D-4106-4F08-BF27-3F8F48B7DCC3}" name="Total Number of Tags found" dataDxfId="11"/>
    <tableColumn id="6" xr3:uid="{B8556088-58AF-44E8-8BD3-1733A3FBD7C7}" name="Total Tags Removed / Cleaned" dataDxfId="10"/>
    <tableColumn id="7" xr3:uid="{1A4343D8-C41D-4D0D-BEFD-51E32ADF604B}" name="Total Tags Not Cleaned on this Unit" dataDxfId="9"/>
    <tableColumn id="8" xr3:uid="{3EFDE87B-6858-461A-A992-C49AA372133E}" name="Car Number (s)  of Tags not cleaned (shadows)" dataDxfId="8"/>
    <tableColumn id="9" xr3:uid="{59178971-130A-45B9-94B5-84B00CCA9C92}" name="Date of 2nd visit to clean remaining tags" dataDxfId="7"/>
    <tableColumn id="10" xr3:uid="{6F607FC8-960A-4265-90FA-CE24B9FA3C40}" name="Number of tags removed" dataDxfId="6"/>
    <tableColumn id="11" xr3:uid="{4D5A926F-28F4-4957-95A8-52E8DE02E05A}" name="Date of 3rd visit to clean remaining tags" dataDxfId="5"/>
    <tableColumn id="12" xr3:uid="{661C30AD-320C-4570-A704-C508A1B80CF9}" name="Number of tags removed2" dataDxfId="4"/>
    <tableColumn id="13" xr3:uid="{6FE609DD-8926-46F8-8B8B-1CFA6AF105B3}" name="Train Inspected and Fit for service    (Y/N)" dataDxfId="3"/>
    <tableColumn id="14" xr3:uid="{E1B1F1A8-6D85-4A86-85E4-F5990E983ADB}" name="Inspected by Supervisor/Manager (Name)" dataDxfId="2"/>
    <tableColumn id="15" xr3:uid="{8E71B0A5-05D7-4606-AEB2-AA976F8DAF33}" name="Date of Completing all shadows (Tags) on this Unit excluding acid etched shadows" dataDxfId="1"/>
    <tableColumn id="16" xr3:uid="{5E47BC02-111F-44F2-ACDC-D0B59795AD4A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47EE-CBBE-425F-B8B7-F0B980E2281F}">
  <sheetPr>
    <tabColor rgb="FF00B050"/>
  </sheetPr>
  <dimension ref="A1:U341"/>
  <sheetViews>
    <sheetView tabSelected="1" workbookViewId="0">
      <selection activeCell="D5" sqref="D5"/>
    </sheetView>
  </sheetViews>
  <sheetFormatPr defaultColWidth="9.42578125" defaultRowHeight="15" customHeight="1"/>
  <cols>
    <col min="1" max="1" width="9.7109375" style="2" bestFit="1" customWidth="1"/>
    <col min="2" max="3" width="11.5703125" style="2" customWidth="1"/>
    <col min="4" max="4" width="16.85546875" style="2" bestFit="1" customWidth="1"/>
    <col min="5" max="5" width="12.85546875" style="2" bestFit="1" customWidth="1"/>
    <col min="6" max="6" width="12.7109375" style="2" bestFit="1" customWidth="1"/>
    <col min="7" max="12" width="15.7109375" style="2" bestFit="1" customWidth="1"/>
    <col min="13" max="13" width="12.85546875" style="2" bestFit="1" customWidth="1"/>
    <col min="14" max="14" width="14.85546875" style="2" bestFit="1" customWidth="1"/>
    <col min="15" max="15" width="15.7109375" style="2" bestFit="1" customWidth="1"/>
    <col min="16" max="16" width="16.85546875" style="2" bestFit="1" customWidth="1"/>
    <col min="17" max="17" width="2" style="2" customWidth="1"/>
    <col min="18" max="18" width="12.42578125" style="2" customWidth="1"/>
    <col min="19" max="19" width="11.42578125" style="2" customWidth="1"/>
    <col min="20" max="20" width="16.42578125" style="2" customWidth="1"/>
    <col min="21" max="21" width="13" style="2" customWidth="1"/>
    <col min="22" max="16384" width="9.42578125" style="2"/>
  </cols>
  <sheetData>
    <row r="1" spans="1:21" ht="99.6" customHeight="1">
      <c r="A1" s="1" t="s">
        <v>0</v>
      </c>
      <c r="B1" s="44" t="s">
        <v>1</v>
      </c>
      <c r="C1" s="44" t="s">
        <v>2</v>
      </c>
      <c r="D1" s="45" t="s">
        <v>3</v>
      </c>
      <c r="E1" s="45" t="s">
        <v>4</v>
      </c>
      <c r="F1" s="45" t="s">
        <v>5</v>
      </c>
      <c r="G1" s="45" t="s">
        <v>6</v>
      </c>
      <c r="H1" s="45" t="s">
        <v>7</v>
      </c>
      <c r="I1" s="46" t="s">
        <v>8</v>
      </c>
      <c r="J1" s="46" t="s">
        <v>9</v>
      </c>
      <c r="K1" s="47" t="s">
        <v>10</v>
      </c>
      <c r="L1" s="47" t="s">
        <v>11</v>
      </c>
      <c r="M1" s="48" t="s">
        <v>12</v>
      </c>
      <c r="N1" s="49" t="s">
        <v>13</v>
      </c>
      <c r="O1" s="50" t="s">
        <v>14</v>
      </c>
      <c r="P1" s="80" t="s">
        <v>15</v>
      </c>
    </row>
    <row r="2" spans="1:21" ht="15" customHeight="1">
      <c r="A2" s="75">
        <v>91001</v>
      </c>
      <c r="B2" s="65" t="s">
        <v>16</v>
      </c>
      <c r="C2" s="65"/>
      <c r="D2" s="67">
        <v>1</v>
      </c>
      <c r="E2" s="67">
        <v>1</v>
      </c>
      <c r="F2" s="67">
        <v>1</v>
      </c>
      <c r="G2" s="67">
        <v>0</v>
      </c>
      <c r="H2" s="67">
        <v>0</v>
      </c>
      <c r="I2" s="67"/>
      <c r="J2" s="67"/>
      <c r="K2" s="67"/>
      <c r="L2" s="67"/>
      <c r="M2" s="67" t="s">
        <v>17</v>
      </c>
      <c r="N2" s="67" t="s">
        <v>18</v>
      </c>
      <c r="O2" s="65" t="s">
        <v>16</v>
      </c>
      <c r="P2" s="67"/>
      <c r="R2" s="11"/>
      <c r="S2" s="12"/>
      <c r="T2" s="12"/>
      <c r="U2" s="13"/>
    </row>
    <row r="3" spans="1:21" ht="15" customHeight="1">
      <c r="A3" s="75">
        <v>91003</v>
      </c>
      <c r="B3" s="65">
        <v>45838</v>
      </c>
      <c r="C3" s="65"/>
      <c r="D3" s="67">
        <v>1</v>
      </c>
      <c r="E3" s="67">
        <v>44</v>
      </c>
      <c r="F3" s="67">
        <v>44</v>
      </c>
      <c r="G3" s="67">
        <v>0</v>
      </c>
      <c r="H3" s="67">
        <v>0</v>
      </c>
      <c r="I3" s="67"/>
      <c r="J3" s="67"/>
      <c r="K3" s="67"/>
      <c r="L3" s="67"/>
      <c r="M3" s="67" t="s">
        <v>19</v>
      </c>
      <c r="N3" s="67" t="s">
        <v>20</v>
      </c>
      <c r="O3" s="65">
        <v>45838</v>
      </c>
      <c r="P3" s="67"/>
      <c r="R3" s="10" t="s">
        <v>21</v>
      </c>
      <c r="S3" s="3" t="s">
        <v>22</v>
      </c>
      <c r="T3" s="4" t="s">
        <v>23</v>
      </c>
      <c r="U3" s="5" t="s">
        <v>24</v>
      </c>
    </row>
    <row r="4" spans="1:21" ht="15" customHeight="1">
      <c r="A4" s="75">
        <v>91005</v>
      </c>
      <c r="B4" s="65">
        <v>45817</v>
      </c>
      <c r="C4" s="65"/>
      <c r="D4" s="67">
        <v>2</v>
      </c>
      <c r="E4" s="67">
        <v>115</v>
      </c>
      <c r="F4" s="67">
        <v>115</v>
      </c>
      <c r="G4" s="67">
        <v>0</v>
      </c>
      <c r="H4" s="67">
        <v>0</v>
      </c>
      <c r="I4" s="67"/>
      <c r="J4" s="67"/>
      <c r="K4" s="67"/>
      <c r="L4" s="67"/>
      <c r="M4" s="67" t="s">
        <v>19</v>
      </c>
      <c r="N4" s="67" t="s">
        <v>25</v>
      </c>
      <c r="O4" s="65">
        <v>45817</v>
      </c>
      <c r="P4" s="67"/>
      <c r="R4" s="7">
        <v>85</v>
      </c>
      <c r="S4" s="8">
        <f>COUNTA(A:A)-1</f>
        <v>340</v>
      </c>
      <c r="T4" s="8">
        <f>COUNTA(O:O)-1</f>
        <v>210</v>
      </c>
      <c r="U4" s="9">
        <f>T4/S4*100</f>
        <v>61.764705882352942</v>
      </c>
    </row>
    <row r="5" spans="1:21" ht="15" customHeight="1">
      <c r="A5" s="75">
        <v>91007</v>
      </c>
      <c r="B5" s="65"/>
      <c r="C5" s="65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5"/>
      <c r="P5" s="67"/>
    </row>
    <row r="6" spans="1:21" ht="15" customHeight="1">
      <c r="A6" s="75">
        <v>91009</v>
      </c>
      <c r="B6" s="65"/>
      <c r="C6" s="65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5"/>
      <c r="P6" s="67"/>
    </row>
    <row r="7" spans="1:21" ht="15" customHeight="1">
      <c r="A7" s="75">
        <v>91011</v>
      </c>
      <c r="B7" s="65">
        <v>45805</v>
      </c>
      <c r="C7" s="65"/>
      <c r="D7" s="67">
        <v>2</v>
      </c>
      <c r="E7" s="40">
        <v>250</v>
      </c>
      <c r="F7" s="40">
        <v>250</v>
      </c>
      <c r="G7" s="40">
        <v>0</v>
      </c>
      <c r="H7" s="40">
        <v>0</v>
      </c>
      <c r="I7" s="40"/>
      <c r="J7" s="40"/>
      <c r="K7" s="40"/>
      <c r="L7" s="40"/>
      <c r="M7" s="74" t="s">
        <v>19</v>
      </c>
      <c r="N7" s="67" t="s">
        <v>20</v>
      </c>
      <c r="O7" s="65">
        <v>45805</v>
      </c>
      <c r="P7" s="40"/>
    </row>
    <row r="8" spans="1:21" ht="15" customHeight="1">
      <c r="A8" s="75">
        <v>91013</v>
      </c>
      <c r="B8" s="65"/>
      <c r="C8" s="65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5"/>
      <c r="P8" s="67"/>
    </row>
    <row r="9" spans="1:21" ht="15" customHeight="1">
      <c r="A9" s="75">
        <v>91015</v>
      </c>
      <c r="B9" s="65">
        <v>45790</v>
      </c>
      <c r="C9" s="65"/>
      <c r="D9" s="67">
        <v>2</v>
      </c>
      <c r="E9" s="67">
        <v>98</v>
      </c>
      <c r="F9" s="67">
        <v>98</v>
      </c>
      <c r="G9" s="67">
        <v>0</v>
      </c>
      <c r="H9" s="67">
        <v>0</v>
      </c>
      <c r="I9" s="67"/>
      <c r="J9" s="67"/>
      <c r="K9" s="67"/>
      <c r="L9" s="67"/>
      <c r="M9" s="67" t="s">
        <v>19</v>
      </c>
      <c r="N9" s="67" t="s">
        <v>20</v>
      </c>
      <c r="O9" s="65">
        <v>45790</v>
      </c>
      <c r="P9" s="67">
        <v>91015</v>
      </c>
    </row>
    <row r="10" spans="1:21" ht="15" customHeight="1">
      <c r="A10" s="75">
        <v>91017</v>
      </c>
      <c r="B10" s="65"/>
      <c r="C10" s="65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5"/>
      <c r="P10" s="67"/>
    </row>
    <row r="11" spans="1:21" ht="15" customHeight="1">
      <c r="A11" s="75">
        <v>91019</v>
      </c>
      <c r="B11" s="65">
        <v>45827</v>
      </c>
      <c r="C11" s="65"/>
      <c r="D11" s="67">
        <v>2</v>
      </c>
      <c r="E11" s="67">
        <v>240</v>
      </c>
      <c r="F11" s="67">
        <v>240</v>
      </c>
      <c r="G11" s="67">
        <v>0</v>
      </c>
      <c r="H11" s="67">
        <v>0</v>
      </c>
      <c r="I11" s="67"/>
      <c r="J11" s="67"/>
      <c r="K11" s="67"/>
      <c r="L11" s="67"/>
      <c r="M11" s="67" t="s">
        <v>19</v>
      </c>
      <c r="N11" s="67" t="s">
        <v>20</v>
      </c>
      <c r="O11" s="65">
        <v>45827</v>
      </c>
      <c r="P11" s="67"/>
    </row>
    <row r="12" spans="1:21" ht="15" customHeight="1">
      <c r="A12" s="75">
        <v>91021</v>
      </c>
      <c r="B12" s="65">
        <v>45824</v>
      </c>
      <c r="C12" s="65"/>
      <c r="D12" s="67">
        <v>2</v>
      </c>
      <c r="E12" s="67">
        <v>200</v>
      </c>
      <c r="F12" s="67">
        <v>200</v>
      </c>
      <c r="G12" s="67">
        <v>0</v>
      </c>
      <c r="H12" s="67">
        <v>0</v>
      </c>
      <c r="I12" s="67"/>
      <c r="J12" s="67"/>
      <c r="K12" s="67"/>
      <c r="L12" s="67"/>
      <c r="M12" s="67" t="s">
        <v>19</v>
      </c>
      <c r="N12" s="67" t="s">
        <v>20</v>
      </c>
      <c r="O12" s="65">
        <v>45824</v>
      </c>
      <c r="P12" s="67"/>
    </row>
    <row r="13" spans="1:21" ht="15" customHeight="1">
      <c r="A13" s="75">
        <v>91023</v>
      </c>
      <c r="B13" s="65">
        <v>45784</v>
      </c>
      <c r="C13" s="65"/>
      <c r="D13" s="66">
        <v>2</v>
      </c>
      <c r="E13" s="67">
        <v>70</v>
      </c>
      <c r="F13" s="67">
        <v>70</v>
      </c>
      <c r="G13" s="67">
        <v>0</v>
      </c>
      <c r="H13" s="67">
        <v>0</v>
      </c>
      <c r="I13" s="67"/>
      <c r="J13" s="67"/>
      <c r="K13" s="67"/>
      <c r="L13" s="67"/>
      <c r="M13" s="67" t="s">
        <v>19</v>
      </c>
      <c r="N13" s="67" t="s">
        <v>20</v>
      </c>
      <c r="O13" s="65">
        <v>45784</v>
      </c>
      <c r="P13" s="67"/>
    </row>
    <row r="14" spans="1:21" ht="15" customHeight="1">
      <c r="A14" s="75">
        <v>91025</v>
      </c>
      <c r="B14" s="65"/>
      <c r="C14" s="65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5"/>
      <c r="P14" s="67"/>
    </row>
    <row r="15" spans="1:21" ht="15" customHeight="1">
      <c r="A15" s="75">
        <v>91027</v>
      </c>
      <c r="B15" s="65">
        <v>45820</v>
      </c>
      <c r="C15" s="65"/>
      <c r="D15" s="67">
        <v>2</v>
      </c>
      <c r="E15" s="67">
        <v>226</v>
      </c>
      <c r="F15" s="67">
        <v>226</v>
      </c>
      <c r="G15" s="67">
        <v>0</v>
      </c>
      <c r="H15" s="67">
        <v>0</v>
      </c>
      <c r="I15" s="67"/>
      <c r="J15" s="67"/>
      <c r="K15" s="67"/>
      <c r="L15" s="67"/>
      <c r="M15" s="67" t="s">
        <v>19</v>
      </c>
      <c r="N15" s="67" t="s">
        <v>25</v>
      </c>
      <c r="O15" s="65">
        <v>45820</v>
      </c>
      <c r="P15" s="67"/>
    </row>
    <row r="16" spans="1:21" ht="15" customHeight="1">
      <c r="A16" s="75">
        <v>91029</v>
      </c>
      <c r="B16" s="65"/>
      <c r="C16" s="65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5"/>
      <c r="P16" s="67"/>
    </row>
    <row r="17" spans="1:16" ht="15" customHeight="1">
      <c r="A17" s="75">
        <v>91031</v>
      </c>
      <c r="B17" s="65">
        <v>45802</v>
      </c>
      <c r="C17" s="65"/>
      <c r="D17" s="67">
        <v>2</v>
      </c>
      <c r="E17" s="67">
        <v>200</v>
      </c>
      <c r="F17" s="67">
        <v>200</v>
      </c>
      <c r="G17" s="67">
        <v>0</v>
      </c>
      <c r="H17" s="67">
        <v>0</v>
      </c>
      <c r="I17" s="67"/>
      <c r="J17" s="67"/>
      <c r="K17" s="67"/>
      <c r="L17" s="67"/>
      <c r="M17" s="67" t="s">
        <v>19</v>
      </c>
      <c r="N17" s="67" t="s">
        <v>20</v>
      </c>
      <c r="O17" s="65">
        <v>45802</v>
      </c>
      <c r="P17" s="67"/>
    </row>
    <row r="18" spans="1:16" ht="15" customHeight="1">
      <c r="A18" s="75">
        <v>91033</v>
      </c>
      <c r="B18" s="65">
        <v>45789</v>
      </c>
      <c r="C18" s="65"/>
      <c r="D18" s="67">
        <v>2</v>
      </c>
      <c r="E18" s="67">
        <v>120</v>
      </c>
      <c r="F18" s="67">
        <v>120</v>
      </c>
      <c r="G18" s="67">
        <v>0</v>
      </c>
      <c r="H18" s="67">
        <v>0</v>
      </c>
      <c r="I18" s="67"/>
      <c r="J18" s="67"/>
      <c r="K18" s="67"/>
      <c r="L18" s="67"/>
      <c r="M18" s="67" t="s">
        <v>19</v>
      </c>
      <c r="N18" s="67" t="s">
        <v>20</v>
      </c>
      <c r="O18" s="65">
        <v>45789</v>
      </c>
      <c r="P18" s="67">
        <v>91033</v>
      </c>
    </row>
    <row r="19" spans="1:16" ht="15" customHeight="1">
      <c r="A19" s="75">
        <v>91035</v>
      </c>
      <c r="B19" s="65">
        <v>45853</v>
      </c>
      <c r="C19" s="65"/>
      <c r="D19" s="67">
        <v>2</v>
      </c>
      <c r="E19" s="67">
        <v>140</v>
      </c>
      <c r="F19" s="67">
        <v>140</v>
      </c>
      <c r="G19" s="67">
        <v>0</v>
      </c>
      <c r="H19" s="67">
        <v>0</v>
      </c>
      <c r="I19" s="67"/>
      <c r="J19" s="67"/>
      <c r="K19" s="67"/>
      <c r="L19" s="67"/>
      <c r="M19" s="67" t="s">
        <v>19</v>
      </c>
      <c r="N19" s="67" t="s">
        <v>25</v>
      </c>
      <c r="O19" s="65">
        <v>45853</v>
      </c>
      <c r="P19" s="67"/>
    </row>
    <row r="20" spans="1:16" ht="15" customHeight="1">
      <c r="A20" s="75">
        <v>91037</v>
      </c>
      <c r="B20" s="65">
        <v>45762</v>
      </c>
      <c r="C20" s="65"/>
      <c r="D20" s="66" t="s">
        <v>26</v>
      </c>
      <c r="E20" s="66">
        <v>62</v>
      </c>
      <c r="F20" s="66">
        <v>62</v>
      </c>
      <c r="G20" s="66" t="s">
        <v>27</v>
      </c>
      <c r="H20" s="66" t="s">
        <v>27</v>
      </c>
      <c r="I20" s="66"/>
      <c r="J20" s="66"/>
      <c r="K20" s="66"/>
      <c r="L20" s="66"/>
      <c r="M20" s="67" t="s">
        <v>17</v>
      </c>
      <c r="N20" s="67" t="s">
        <v>20</v>
      </c>
      <c r="O20" s="65">
        <v>45762</v>
      </c>
      <c r="P20" s="67"/>
    </row>
    <row r="21" spans="1:16" ht="15" customHeight="1">
      <c r="A21" s="75">
        <v>91039</v>
      </c>
      <c r="B21" s="65">
        <v>45774</v>
      </c>
      <c r="C21" s="65"/>
      <c r="D21" s="66">
        <v>2</v>
      </c>
      <c r="E21" s="67">
        <v>49</v>
      </c>
      <c r="F21" s="67">
        <v>49</v>
      </c>
      <c r="G21" s="67">
        <v>0</v>
      </c>
      <c r="H21" s="67">
        <v>0</v>
      </c>
      <c r="I21" s="67"/>
      <c r="J21" s="67"/>
      <c r="K21" s="67"/>
      <c r="L21" s="67"/>
      <c r="M21" s="67" t="s">
        <v>17</v>
      </c>
      <c r="N21" s="67" t="s">
        <v>20</v>
      </c>
      <c r="O21" s="65">
        <v>45774</v>
      </c>
      <c r="P21" s="67"/>
    </row>
    <row r="22" spans="1:16" ht="15" customHeight="1">
      <c r="A22" s="75">
        <v>91041</v>
      </c>
      <c r="B22" s="65"/>
      <c r="C22" s="65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5"/>
      <c r="P22" s="67"/>
    </row>
    <row r="23" spans="1:16" ht="15" customHeight="1">
      <c r="A23" s="75">
        <v>91043</v>
      </c>
      <c r="B23" s="70"/>
      <c r="C23" s="70"/>
      <c r="D23" s="40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70"/>
      <c r="P23" s="67"/>
    </row>
    <row r="24" spans="1:16" ht="15" customHeight="1">
      <c r="A24" s="75">
        <v>91045</v>
      </c>
      <c r="B24" s="65">
        <v>45846</v>
      </c>
      <c r="C24" s="65"/>
      <c r="D24" s="67">
        <v>2</v>
      </c>
      <c r="E24" s="67">
        <v>210</v>
      </c>
      <c r="F24" s="67">
        <v>210</v>
      </c>
      <c r="G24" s="67">
        <v>0</v>
      </c>
      <c r="H24" s="67">
        <v>0</v>
      </c>
      <c r="I24" s="67"/>
      <c r="J24" s="67"/>
      <c r="K24" s="67"/>
      <c r="L24" s="67"/>
      <c r="M24" s="67" t="s">
        <v>19</v>
      </c>
      <c r="N24" s="67" t="s">
        <v>20</v>
      </c>
      <c r="O24" s="65">
        <v>45846</v>
      </c>
      <c r="P24" s="67"/>
    </row>
    <row r="25" spans="1:16" ht="15" customHeight="1">
      <c r="A25" s="75">
        <v>91047</v>
      </c>
      <c r="B25" s="65">
        <v>45858</v>
      </c>
      <c r="C25" s="65"/>
      <c r="D25" s="67">
        <v>2</v>
      </c>
      <c r="E25" s="67">
        <v>160</v>
      </c>
      <c r="F25" s="67">
        <v>160</v>
      </c>
      <c r="G25" s="67">
        <v>0</v>
      </c>
      <c r="H25" s="67">
        <v>0</v>
      </c>
      <c r="I25" s="67"/>
      <c r="J25" s="67"/>
      <c r="K25" s="67"/>
      <c r="L25" s="67"/>
      <c r="M25" s="67" t="s">
        <v>19</v>
      </c>
      <c r="N25" s="67" t="s">
        <v>25</v>
      </c>
      <c r="O25" s="65">
        <v>45858</v>
      </c>
      <c r="P25" s="67"/>
    </row>
    <row r="26" spans="1:16" ht="15" customHeight="1">
      <c r="A26" s="75">
        <v>91049</v>
      </c>
      <c r="B26" s="65">
        <v>45796</v>
      </c>
      <c r="C26" s="65"/>
      <c r="D26" s="66">
        <v>2</v>
      </c>
      <c r="E26" s="67">
        <v>98</v>
      </c>
      <c r="F26" s="67">
        <v>98</v>
      </c>
      <c r="G26" s="67">
        <v>0</v>
      </c>
      <c r="H26" s="67">
        <v>0</v>
      </c>
      <c r="I26" s="67"/>
      <c r="J26" s="67"/>
      <c r="K26" s="67"/>
      <c r="L26" s="67"/>
      <c r="M26" s="67" t="s">
        <v>19</v>
      </c>
      <c r="N26" s="67" t="s">
        <v>20</v>
      </c>
      <c r="O26" s="65">
        <v>45796</v>
      </c>
      <c r="P26" s="67"/>
    </row>
    <row r="27" spans="1:16" ht="15" customHeight="1">
      <c r="A27" s="75">
        <v>91051</v>
      </c>
      <c r="B27" s="65">
        <v>45776</v>
      </c>
      <c r="C27" s="65"/>
      <c r="D27" s="67">
        <v>2</v>
      </c>
      <c r="E27" s="67">
        <v>2</v>
      </c>
      <c r="F27" s="67">
        <v>2</v>
      </c>
      <c r="G27" s="67">
        <v>0</v>
      </c>
      <c r="H27" s="67">
        <v>0</v>
      </c>
      <c r="I27" s="67"/>
      <c r="J27" s="67"/>
      <c r="K27" s="67"/>
      <c r="L27" s="67"/>
      <c r="M27" s="67" t="s">
        <v>19</v>
      </c>
      <c r="N27" s="67" t="s">
        <v>20</v>
      </c>
      <c r="O27" s="65">
        <v>45776</v>
      </c>
      <c r="P27" s="67"/>
    </row>
    <row r="28" spans="1:16" ht="15" customHeight="1">
      <c r="A28" s="75">
        <v>91053</v>
      </c>
      <c r="B28" s="65"/>
      <c r="C28" s="65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5"/>
      <c r="P28" s="67"/>
    </row>
    <row r="29" spans="1:16" ht="15" customHeight="1">
      <c r="A29" s="75">
        <v>91055</v>
      </c>
      <c r="B29" s="65">
        <v>45786</v>
      </c>
      <c r="C29" s="65"/>
      <c r="D29" s="67">
        <v>2</v>
      </c>
      <c r="E29" s="67">
        <v>216</v>
      </c>
      <c r="F29" s="67">
        <v>216</v>
      </c>
      <c r="G29" s="67">
        <v>0</v>
      </c>
      <c r="H29" s="67">
        <v>0</v>
      </c>
      <c r="I29" s="67"/>
      <c r="J29" s="67"/>
      <c r="K29" s="67"/>
      <c r="L29" s="67"/>
      <c r="M29" s="67" t="s">
        <v>19</v>
      </c>
      <c r="N29" s="67" t="s">
        <v>20</v>
      </c>
      <c r="O29" s="65">
        <v>45786</v>
      </c>
      <c r="P29" s="67"/>
    </row>
    <row r="30" spans="1:16" ht="15" customHeight="1">
      <c r="A30" s="75">
        <v>91057</v>
      </c>
      <c r="B30" s="65" t="s">
        <v>28</v>
      </c>
      <c r="C30" s="65"/>
      <c r="D30" s="67">
        <v>2</v>
      </c>
      <c r="E30" s="67">
        <v>190</v>
      </c>
      <c r="F30" s="67">
        <v>190</v>
      </c>
      <c r="G30" s="67">
        <v>0</v>
      </c>
      <c r="H30" s="67">
        <v>0</v>
      </c>
      <c r="I30" s="67"/>
      <c r="J30" s="67"/>
      <c r="K30" s="67"/>
      <c r="L30" s="67"/>
      <c r="M30" s="67" t="s">
        <v>19</v>
      </c>
      <c r="N30" s="67" t="s">
        <v>20</v>
      </c>
      <c r="O30" s="65">
        <v>45855</v>
      </c>
      <c r="P30" s="67"/>
    </row>
    <row r="31" spans="1:16" ht="15" customHeight="1">
      <c r="A31" s="75">
        <v>91059</v>
      </c>
      <c r="B31" s="65"/>
      <c r="C31" s="65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5"/>
      <c r="P31" s="67"/>
    </row>
    <row r="32" spans="1:16" ht="15" customHeight="1">
      <c r="A32" s="75">
        <v>91061</v>
      </c>
      <c r="B32" s="65">
        <v>45797</v>
      </c>
      <c r="C32" s="65"/>
      <c r="D32" s="67">
        <v>2</v>
      </c>
      <c r="E32" s="67">
        <v>225</v>
      </c>
      <c r="F32" s="67">
        <v>225</v>
      </c>
      <c r="G32" s="67">
        <v>0</v>
      </c>
      <c r="H32" s="67">
        <v>0</v>
      </c>
      <c r="I32" s="67"/>
      <c r="J32" s="67"/>
      <c r="K32" s="67"/>
      <c r="L32" s="67"/>
      <c r="M32" s="67" t="s">
        <v>19</v>
      </c>
      <c r="N32" s="67" t="s">
        <v>20</v>
      </c>
      <c r="O32" s="65">
        <v>45797</v>
      </c>
      <c r="P32" s="67"/>
    </row>
    <row r="33" spans="1:16" ht="15" customHeight="1">
      <c r="A33" s="75">
        <v>91063</v>
      </c>
      <c r="B33" s="65">
        <v>45789</v>
      </c>
      <c r="C33" s="65"/>
      <c r="D33" s="67">
        <v>2</v>
      </c>
      <c r="E33" s="67">
        <v>108</v>
      </c>
      <c r="F33" s="67">
        <v>108</v>
      </c>
      <c r="G33" s="67">
        <v>0</v>
      </c>
      <c r="H33" s="67">
        <v>0</v>
      </c>
      <c r="I33" s="67"/>
      <c r="J33" s="67"/>
      <c r="K33" s="67"/>
      <c r="L33" s="67"/>
      <c r="M33" s="67" t="s">
        <v>19</v>
      </c>
      <c r="N33" s="67" t="s">
        <v>25</v>
      </c>
      <c r="O33" s="65">
        <v>45789</v>
      </c>
      <c r="P33" s="67" t="s">
        <v>29</v>
      </c>
    </row>
    <row r="34" spans="1:16" ht="15" customHeight="1">
      <c r="A34" s="75">
        <v>91065</v>
      </c>
      <c r="B34" s="65" t="s">
        <v>16</v>
      </c>
      <c r="C34" s="65"/>
      <c r="D34" s="67">
        <v>2</v>
      </c>
      <c r="E34" s="67">
        <v>36</v>
      </c>
      <c r="F34" s="67">
        <v>36</v>
      </c>
      <c r="G34" s="67">
        <v>0</v>
      </c>
      <c r="H34" s="67">
        <v>0</v>
      </c>
      <c r="I34" s="67"/>
      <c r="J34" s="67"/>
      <c r="K34" s="67"/>
      <c r="L34" s="67"/>
      <c r="M34" s="67" t="s">
        <v>19</v>
      </c>
      <c r="N34" s="67" t="s">
        <v>20</v>
      </c>
      <c r="O34" s="65" t="s">
        <v>16</v>
      </c>
      <c r="P34" s="67" t="s">
        <v>30</v>
      </c>
    </row>
    <row r="35" spans="1:16" ht="15" customHeight="1">
      <c r="A35" s="75">
        <v>91067</v>
      </c>
      <c r="B35" s="65"/>
      <c r="C35" s="65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5"/>
      <c r="P35" s="67"/>
    </row>
    <row r="36" spans="1:16" ht="15" customHeight="1">
      <c r="A36" s="75">
        <v>91069</v>
      </c>
      <c r="B36" s="65"/>
      <c r="C36" s="65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5"/>
      <c r="P36" s="67"/>
    </row>
    <row r="37" spans="1:16" ht="15" customHeight="1">
      <c r="A37" s="75">
        <v>91071</v>
      </c>
      <c r="B37" s="65"/>
      <c r="C37" s="65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5"/>
      <c r="P37" s="67"/>
    </row>
    <row r="38" spans="1:16" ht="15" customHeight="1">
      <c r="A38" s="75">
        <v>91073</v>
      </c>
      <c r="B38" s="65">
        <v>45851</v>
      </c>
      <c r="C38" s="65"/>
      <c r="D38" s="67">
        <v>2</v>
      </c>
      <c r="E38" s="67">
        <v>280</v>
      </c>
      <c r="F38" s="67">
        <v>280</v>
      </c>
      <c r="G38" s="67">
        <v>0</v>
      </c>
      <c r="H38" s="67">
        <v>0</v>
      </c>
      <c r="I38" s="67"/>
      <c r="J38" s="67"/>
      <c r="K38" s="67"/>
      <c r="L38" s="67"/>
      <c r="M38" s="67" t="s">
        <v>19</v>
      </c>
      <c r="N38" s="67" t="s">
        <v>20</v>
      </c>
      <c r="O38" s="65">
        <v>45851</v>
      </c>
      <c r="P38" s="67"/>
    </row>
    <row r="39" spans="1:16" ht="15" customHeight="1">
      <c r="A39" s="75">
        <v>91075</v>
      </c>
      <c r="B39" s="65"/>
      <c r="C39" s="65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5"/>
      <c r="P39" s="67"/>
    </row>
    <row r="40" spans="1:16" ht="15" customHeight="1">
      <c r="A40" s="75">
        <v>91077</v>
      </c>
      <c r="B40" s="65"/>
      <c r="C40" s="65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5"/>
      <c r="P40" s="67"/>
    </row>
    <row r="41" spans="1:16" ht="15" customHeight="1">
      <c r="A41" s="75">
        <v>91079</v>
      </c>
      <c r="B41" s="70"/>
      <c r="C41" s="70"/>
      <c r="D41" s="40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70"/>
      <c r="P41" s="67"/>
    </row>
    <row r="42" spans="1:16" ht="15" customHeight="1">
      <c r="A42" s="75">
        <v>91081</v>
      </c>
      <c r="B42" s="65"/>
      <c r="C42" s="65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5"/>
      <c r="P42" s="67"/>
    </row>
    <row r="43" spans="1:16" ht="15" customHeight="1">
      <c r="A43" s="75">
        <v>91083</v>
      </c>
      <c r="B43" s="65">
        <v>45769</v>
      </c>
      <c r="C43" s="65"/>
      <c r="D43" s="66">
        <v>2</v>
      </c>
      <c r="E43" s="66">
        <v>200</v>
      </c>
      <c r="F43" s="66">
        <v>200</v>
      </c>
      <c r="G43" s="66">
        <v>0</v>
      </c>
      <c r="H43" s="66">
        <v>0</v>
      </c>
      <c r="I43" s="66"/>
      <c r="J43" s="66"/>
      <c r="K43" s="66"/>
      <c r="L43" s="66"/>
      <c r="M43" s="67" t="s">
        <v>17</v>
      </c>
      <c r="N43" s="67" t="s">
        <v>20</v>
      </c>
      <c r="O43" s="65">
        <v>45769</v>
      </c>
      <c r="P43" s="67" t="s">
        <v>31</v>
      </c>
    </row>
    <row r="44" spans="1:16" ht="15" customHeight="1">
      <c r="A44" s="75">
        <v>91085</v>
      </c>
      <c r="B44" s="65"/>
      <c r="C44" s="65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5"/>
      <c r="P44" s="67"/>
    </row>
    <row r="45" spans="1:16" ht="15" customHeight="1">
      <c r="A45" s="75">
        <v>91087</v>
      </c>
      <c r="B45" s="65"/>
      <c r="C45" s="65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5"/>
      <c r="P45" s="67"/>
    </row>
    <row r="46" spans="1:16" ht="15" customHeight="1">
      <c r="A46" s="75">
        <v>91089</v>
      </c>
      <c r="B46" s="65">
        <v>45771</v>
      </c>
      <c r="C46" s="65"/>
      <c r="D46" s="66">
        <v>2</v>
      </c>
      <c r="E46" s="66">
        <v>63</v>
      </c>
      <c r="F46" s="66">
        <v>63</v>
      </c>
      <c r="G46" s="66">
        <v>0</v>
      </c>
      <c r="H46" s="66">
        <v>0</v>
      </c>
      <c r="I46" s="66"/>
      <c r="J46" s="66"/>
      <c r="K46" s="66"/>
      <c r="L46" s="66"/>
      <c r="M46" s="67" t="s">
        <v>17</v>
      </c>
      <c r="N46" s="67" t="s">
        <v>20</v>
      </c>
      <c r="O46" s="65">
        <v>45771</v>
      </c>
      <c r="P46" s="67" t="s">
        <v>32</v>
      </c>
    </row>
    <row r="47" spans="1:16" ht="15" customHeight="1">
      <c r="A47" s="75">
        <v>91091</v>
      </c>
      <c r="B47" s="65">
        <v>45803</v>
      </c>
      <c r="C47" s="65"/>
      <c r="D47" s="66">
        <v>2</v>
      </c>
      <c r="E47" s="67">
        <v>102</v>
      </c>
      <c r="F47" s="67">
        <v>102</v>
      </c>
      <c r="G47" s="67">
        <v>0</v>
      </c>
      <c r="H47" s="67">
        <v>0</v>
      </c>
      <c r="I47" s="67"/>
      <c r="J47" s="67"/>
      <c r="K47" s="67"/>
      <c r="L47" s="67"/>
      <c r="M47" s="67" t="s">
        <v>19</v>
      </c>
      <c r="N47" s="67" t="s">
        <v>25</v>
      </c>
      <c r="O47" s="65">
        <v>45803</v>
      </c>
      <c r="P47" s="67"/>
    </row>
    <row r="48" spans="1:16" ht="15" customHeight="1">
      <c r="A48" s="75">
        <v>91093</v>
      </c>
      <c r="B48" s="65" t="s">
        <v>16</v>
      </c>
      <c r="C48" s="65"/>
      <c r="D48" s="67">
        <v>1</v>
      </c>
      <c r="E48" s="67">
        <v>1</v>
      </c>
      <c r="F48" s="67">
        <v>1</v>
      </c>
      <c r="G48" s="67">
        <v>0</v>
      </c>
      <c r="H48" s="67">
        <v>0</v>
      </c>
      <c r="I48" s="67"/>
      <c r="J48" s="67"/>
      <c r="K48" s="67"/>
      <c r="L48" s="67"/>
      <c r="M48" s="67" t="s">
        <v>17</v>
      </c>
      <c r="N48" s="67" t="s">
        <v>18</v>
      </c>
      <c r="O48" s="65" t="s">
        <v>16</v>
      </c>
      <c r="P48" s="67"/>
    </row>
    <row r="49" spans="1:16" ht="15" customHeight="1">
      <c r="A49" s="75">
        <v>91095</v>
      </c>
      <c r="B49" s="65" t="s">
        <v>33</v>
      </c>
      <c r="C49" s="65"/>
      <c r="D49" s="67">
        <v>2</v>
      </c>
      <c r="E49" s="67">
        <v>119</v>
      </c>
      <c r="F49" s="67">
        <v>119</v>
      </c>
      <c r="G49" s="67">
        <v>0</v>
      </c>
      <c r="H49" s="67">
        <v>0</v>
      </c>
      <c r="I49" s="67"/>
      <c r="J49" s="67"/>
      <c r="K49" s="67"/>
      <c r="L49" s="67"/>
      <c r="M49" s="67" t="s">
        <v>19</v>
      </c>
      <c r="N49" s="67" t="s">
        <v>20</v>
      </c>
      <c r="O49" s="65" t="s">
        <v>33</v>
      </c>
      <c r="P49" s="67"/>
    </row>
    <row r="50" spans="1:16" ht="15" customHeight="1">
      <c r="A50" s="75">
        <v>91097</v>
      </c>
      <c r="B50" s="65">
        <v>45781</v>
      </c>
      <c r="C50" s="65"/>
      <c r="D50" s="67">
        <v>2</v>
      </c>
      <c r="E50" s="67">
        <v>26</v>
      </c>
      <c r="F50" s="67">
        <v>26</v>
      </c>
      <c r="G50" s="67">
        <v>0</v>
      </c>
      <c r="H50" s="67">
        <v>0</v>
      </c>
      <c r="I50" s="67"/>
      <c r="J50" s="67"/>
      <c r="K50" s="67"/>
      <c r="L50" s="67"/>
      <c r="M50" s="67" t="s">
        <v>17</v>
      </c>
      <c r="N50" s="67" t="s">
        <v>20</v>
      </c>
      <c r="O50" s="65">
        <v>45781</v>
      </c>
      <c r="P50" s="67"/>
    </row>
    <row r="51" spans="1:16" ht="15" customHeight="1">
      <c r="A51" s="75">
        <v>91099</v>
      </c>
      <c r="B51" s="65">
        <v>45806</v>
      </c>
      <c r="C51" s="65"/>
      <c r="D51" s="67">
        <v>2</v>
      </c>
      <c r="E51" s="67">
        <v>4</v>
      </c>
      <c r="F51" s="67">
        <v>4</v>
      </c>
      <c r="G51" s="67">
        <v>0</v>
      </c>
      <c r="H51" s="67">
        <v>0</v>
      </c>
      <c r="I51" s="67"/>
      <c r="J51" s="67"/>
      <c r="K51" s="67"/>
      <c r="L51" s="67"/>
      <c r="M51" s="67" t="s">
        <v>19</v>
      </c>
      <c r="N51" s="67" t="s">
        <v>20</v>
      </c>
      <c r="O51" s="65">
        <v>45806</v>
      </c>
      <c r="P51" s="67"/>
    </row>
    <row r="52" spans="1:16" ht="15" customHeight="1">
      <c r="A52" s="75">
        <v>91101</v>
      </c>
      <c r="B52" s="65"/>
      <c r="C52" s="65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5"/>
      <c r="P52" s="67"/>
    </row>
    <row r="53" spans="1:16" ht="15" customHeight="1">
      <c r="A53" s="75">
        <v>91103</v>
      </c>
      <c r="B53" s="65"/>
      <c r="C53" s="65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5"/>
      <c r="P53" s="67"/>
    </row>
    <row r="54" spans="1:16" ht="15" customHeight="1">
      <c r="A54" s="75">
        <v>91105</v>
      </c>
      <c r="B54" s="65">
        <v>45761</v>
      </c>
      <c r="C54" s="65"/>
      <c r="D54" s="66">
        <v>2</v>
      </c>
      <c r="E54" s="66">
        <v>22</v>
      </c>
      <c r="F54" s="66">
        <v>22</v>
      </c>
      <c r="G54" s="66">
        <v>0</v>
      </c>
      <c r="H54" s="66">
        <v>0</v>
      </c>
      <c r="I54" s="66"/>
      <c r="J54" s="66"/>
      <c r="K54" s="66"/>
      <c r="L54" s="66"/>
      <c r="M54" s="67" t="s">
        <v>17</v>
      </c>
      <c r="N54" s="67" t="s">
        <v>20</v>
      </c>
      <c r="O54" s="65">
        <v>45761</v>
      </c>
      <c r="P54" s="66"/>
    </row>
    <row r="55" spans="1:16" ht="15" customHeight="1">
      <c r="A55" s="75">
        <v>91107</v>
      </c>
      <c r="B55" s="65"/>
      <c r="C55" s="65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5"/>
      <c r="P55" s="67"/>
    </row>
    <row r="56" spans="1:16" ht="15" customHeight="1">
      <c r="A56" s="75">
        <v>91109</v>
      </c>
      <c r="B56" s="65">
        <v>45775</v>
      </c>
      <c r="C56" s="65"/>
      <c r="D56" s="67">
        <v>1</v>
      </c>
      <c r="E56" s="67">
        <v>1</v>
      </c>
      <c r="F56" s="67">
        <v>1</v>
      </c>
      <c r="G56" s="67">
        <v>0</v>
      </c>
      <c r="H56" s="67">
        <v>0</v>
      </c>
      <c r="I56" s="67"/>
      <c r="J56" s="67"/>
      <c r="K56" s="67"/>
      <c r="L56" s="67"/>
      <c r="M56" s="67" t="s">
        <v>17</v>
      </c>
      <c r="N56" s="67" t="s">
        <v>18</v>
      </c>
      <c r="O56" s="65">
        <v>45775</v>
      </c>
      <c r="P56" s="67"/>
    </row>
    <row r="57" spans="1:16" ht="15" customHeight="1">
      <c r="A57" s="75">
        <v>91111</v>
      </c>
      <c r="B57" s="65"/>
      <c r="C57" s="65"/>
      <c r="D57" s="66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5"/>
      <c r="P57" s="67"/>
    </row>
    <row r="58" spans="1:16" ht="15" customHeight="1">
      <c r="A58" s="75">
        <v>91113</v>
      </c>
      <c r="B58" s="65">
        <v>45775</v>
      </c>
      <c r="C58" s="65"/>
      <c r="D58" s="66">
        <v>2</v>
      </c>
      <c r="E58" s="67">
        <v>10</v>
      </c>
      <c r="F58" s="67">
        <v>10</v>
      </c>
      <c r="G58" s="67">
        <v>0</v>
      </c>
      <c r="H58" s="67">
        <v>0</v>
      </c>
      <c r="I58" s="67"/>
      <c r="J58" s="67"/>
      <c r="K58" s="67"/>
      <c r="L58" s="67"/>
      <c r="M58" s="67" t="s">
        <v>19</v>
      </c>
      <c r="N58" s="67" t="s">
        <v>20</v>
      </c>
      <c r="O58" s="65">
        <v>45775</v>
      </c>
      <c r="P58" s="67"/>
    </row>
    <row r="59" spans="1:16" ht="15" customHeight="1">
      <c r="A59" s="75">
        <v>91115</v>
      </c>
      <c r="B59" s="65"/>
      <c r="C59" s="65"/>
      <c r="D59" s="66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5"/>
      <c r="P59" s="67"/>
    </row>
    <row r="60" spans="1:16" ht="15" customHeight="1">
      <c r="A60" s="75">
        <v>91117</v>
      </c>
      <c r="B60" s="65"/>
      <c r="C60" s="65"/>
      <c r="D60" s="66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5"/>
      <c r="P60" s="67"/>
    </row>
    <row r="61" spans="1:16" ht="15" customHeight="1">
      <c r="A61" s="75">
        <v>91119</v>
      </c>
      <c r="B61" s="65"/>
      <c r="C61" s="65"/>
      <c r="D61" s="66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5"/>
      <c r="P61" s="67"/>
    </row>
    <row r="62" spans="1:16" ht="15" customHeight="1">
      <c r="A62" s="75">
        <v>91121</v>
      </c>
      <c r="B62" s="65">
        <v>45806</v>
      </c>
      <c r="C62" s="65"/>
      <c r="D62" s="67">
        <v>2</v>
      </c>
      <c r="E62" s="67">
        <v>4</v>
      </c>
      <c r="F62" s="67">
        <v>4</v>
      </c>
      <c r="G62" s="67">
        <v>0</v>
      </c>
      <c r="H62" s="67">
        <v>0</v>
      </c>
      <c r="I62" s="67"/>
      <c r="J62" s="67"/>
      <c r="K62" s="67"/>
      <c r="L62" s="67"/>
      <c r="M62" s="67" t="s">
        <v>19</v>
      </c>
      <c r="N62" s="67" t="s">
        <v>20</v>
      </c>
      <c r="O62" s="65">
        <v>45806</v>
      </c>
      <c r="P62" s="67"/>
    </row>
    <row r="63" spans="1:16" ht="15" customHeight="1">
      <c r="A63" s="75">
        <v>91123</v>
      </c>
      <c r="B63" s="65"/>
      <c r="C63" s="65"/>
      <c r="D63" s="66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5"/>
      <c r="P63" s="67"/>
    </row>
    <row r="64" spans="1:16" ht="15" customHeight="1">
      <c r="A64" s="75">
        <v>91125</v>
      </c>
      <c r="B64" s="65">
        <v>45809</v>
      </c>
      <c r="C64" s="65"/>
      <c r="D64" s="66">
        <v>2</v>
      </c>
      <c r="E64" s="67">
        <v>100</v>
      </c>
      <c r="F64" s="67">
        <v>100</v>
      </c>
      <c r="G64" s="67">
        <v>0</v>
      </c>
      <c r="H64" s="67">
        <v>0</v>
      </c>
      <c r="I64" s="67"/>
      <c r="J64" s="67"/>
      <c r="K64" s="67"/>
      <c r="L64" s="67"/>
      <c r="M64" s="67" t="s">
        <v>19</v>
      </c>
      <c r="N64" s="67" t="s">
        <v>25</v>
      </c>
      <c r="O64" s="65">
        <v>45809</v>
      </c>
      <c r="P64" s="67"/>
    </row>
    <row r="65" spans="1:16" ht="15" customHeight="1">
      <c r="A65" s="75">
        <v>91127</v>
      </c>
      <c r="B65" s="65">
        <v>45826</v>
      </c>
      <c r="C65" s="65"/>
      <c r="D65" s="66">
        <v>2</v>
      </c>
      <c r="E65" s="67">
        <v>290</v>
      </c>
      <c r="F65" s="67">
        <v>290</v>
      </c>
      <c r="G65" s="67">
        <v>0</v>
      </c>
      <c r="H65" s="67">
        <v>0</v>
      </c>
      <c r="I65" s="67"/>
      <c r="J65" s="67"/>
      <c r="K65" s="67"/>
      <c r="L65" s="67"/>
      <c r="M65" s="67" t="s">
        <v>19</v>
      </c>
      <c r="N65" s="67" t="s">
        <v>34</v>
      </c>
      <c r="O65" s="65">
        <v>45826</v>
      </c>
      <c r="P65" s="67"/>
    </row>
    <row r="66" spans="1:16" ht="15" customHeight="1">
      <c r="A66" s="75">
        <v>91129</v>
      </c>
      <c r="B66" s="65">
        <v>45788</v>
      </c>
      <c r="C66" s="65"/>
      <c r="D66" s="66">
        <v>2</v>
      </c>
      <c r="E66" s="67">
        <v>80</v>
      </c>
      <c r="F66" s="67">
        <v>80</v>
      </c>
      <c r="G66" s="67">
        <v>0</v>
      </c>
      <c r="H66" s="67">
        <v>0</v>
      </c>
      <c r="I66" s="67"/>
      <c r="J66" s="67"/>
      <c r="K66" s="67"/>
      <c r="L66" s="67"/>
      <c r="M66" s="67" t="s">
        <v>19</v>
      </c>
      <c r="N66" s="67" t="s">
        <v>20</v>
      </c>
      <c r="O66" s="65">
        <v>45788</v>
      </c>
      <c r="P66" s="67" t="s">
        <v>35</v>
      </c>
    </row>
    <row r="67" spans="1:16" ht="15" customHeight="1">
      <c r="A67" s="75">
        <v>91131</v>
      </c>
      <c r="B67" s="65">
        <v>45802</v>
      </c>
      <c r="C67" s="65"/>
      <c r="D67" s="66">
        <v>2</v>
      </c>
      <c r="E67" s="67">
        <v>109</v>
      </c>
      <c r="F67" s="67">
        <v>109</v>
      </c>
      <c r="G67" s="67">
        <v>0</v>
      </c>
      <c r="H67" s="67">
        <v>0</v>
      </c>
      <c r="I67" s="67"/>
      <c r="J67" s="67"/>
      <c r="K67" s="67"/>
      <c r="L67" s="67"/>
      <c r="M67" s="67" t="s">
        <v>19</v>
      </c>
      <c r="N67" s="67" t="s">
        <v>20</v>
      </c>
      <c r="O67" s="65">
        <v>45802</v>
      </c>
      <c r="P67" s="67"/>
    </row>
    <row r="68" spans="1:16">
      <c r="A68" s="75">
        <v>91133</v>
      </c>
      <c r="B68" s="65">
        <v>45847</v>
      </c>
      <c r="C68" s="65"/>
      <c r="D68" s="66">
        <v>2</v>
      </c>
      <c r="E68" s="67">
        <v>260</v>
      </c>
      <c r="F68" s="67">
        <v>260</v>
      </c>
      <c r="G68" s="67">
        <v>0</v>
      </c>
      <c r="H68" s="67">
        <v>0</v>
      </c>
      <c r="I68" s="67"/>
      <c r="J68" s="67"/>
      <c r="K68" s="67"/>
      <c r="L68" s="67"/>
      <c r="M68" s="67" t="s">
        <v>19</v>
      </c>
      <c r="N68" s="67" t="s">
        <v>20</v>
      </c>
      <c r="O68" s="65">
        <v>45847</v>
      </c>
      <c r="P68" s="67"/>
    </row>
    <row r="69" spans="1:16">
      <c r="A69" s="75">
        <v>91135</v>
      </c>
      <c r="B69" s="65">
        <v>45809</v>
      </c>
      <c r="C69" s="65"/>
      <c r="D69" s="66">
        <v>2</v>
      </c>
      <c r="E69" s="67">
        <v>130</v>
      </c>
      <c r="F69" s="67">
        <v>130</v>
      </c>
      <c r="G69" s="67">
        <v>0</v>
      </c>
      <c r="H69" s="67">
        <v>0</v>
      </c>
      <c r="I69" s="67"/>
      <c r="J69" s="67"/>
      <c r="K69" s="67"/>
      <c r="L69" s="67"/>
      <c r="M69" s="67" t="s">
        <v>19</v>
      </c>
      <c r="N69" s="67" t="s">
        <v>25</v>
      </c>
      <c r="O69" s="65">
        <v>45809</v>
      </c>
      <c r="P69" s="67"/>
    </row>
    <row r="70" spans="1:16">
      <c r="A70" s="75">
        <v>91137</v>
      </c>
      <c r="B70" s="65"/>
      <c r="C70" s="65"/>
      <c r="D70" s="66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5"/>
      <c r="P70" s="67"/>
    </row>
    <row r="71" spans="1:16">
      <c r="A71" s="75">
        <v>91139</v>
      </c>
      <c r="B71" s="65">
        <v>45806</v>
      </c>
      <c r="C71" s="65"/>
      <c r="D71" s="66">
        <v>2</v>
      </c>
      <c r="E71" s="67">
        <v>225</v>
      </c>
      <c r="F71" s="67">
        <v>225</v>
      </c>
      <c r="G71" s="67">
        <v>0</v>
      </c>
      <c r="H71" s="67">
        <v>0</v>
      </c>
      <c r="I71" s="67"/>
      <c r="J71" s="67"/>
      <c r="K71" s="67"/>
      <c r="L71" s="67"/>
      <c r="M71" s="67" t="s">
        <v>19</v>
      </c>
      <c r="N71" s="67" t="s">
        <v>20</v>
      </c>
      <c r="O71" s="65">
        <v>45806</v>
      </c>
      <c r="P71" s="67"/>
    </row>
    <row r="72" spans="1:16">
      <c r="A72" s="75">
        <v>91141</v>
      </c>
      <c r="B72" s="65">
        <v>45775</v>
      </c>
      <c r="C72" s="65"/>
      <c r="D72" s="66">
        <v>2</v>
      </c>
      <c r="E72" s="67">
        <v>6</v>
      </c>
      <c r="F72" s="67">
        <v>6</v>
      </c>
      <c r="G72" s="67">
        <v>0</v>
      </c>
      <c r="H72" s="67">
        <v>0</v>
      </c>
      <c r="I72" s="67"/>
      <c r="J72" s="67"/>
      <c r="K72" s="67"/>
      <c r="L72" s="67"/>
      <c r="M72" s="67" t="s">
        <v>19</v>
      </c>
      <c r="N72" s="67" t="s">
        <v>20</v>
      </c>
      <c r="O72" s="65">
        <v>45775</v>
      </c>
      <c r="P72" s="67"/>
    </row>
    <row r="73" spans="1:16">
      <c r="A73" s="75">
        <v>91143</v>
      </c>
      <c r="B73" s="65"/>
      <c r="C73" s="65"/>
      <c r="D73" s="66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5"/>
      <c r="P73" s="67"/>
    </row>
    <row r="74" spans="1:16">
      <c r="A74" s="75">
        <v>91145</v>
      </c>
      <c r="B74" s="65">
        <v>45816</v>
      </c>
      <c r="C74" s="65"/>
      <c r="D74" s="66">
        <v>2</v>
      </c>
      <c r="E74" s="67">
        <v>230</v>
      </c>
      <c r="F74" s="67">
        <v>230</v>
      </c>
      <c r="G74" s="67">
        <v>0</v>
      </c>
      <c r="H74" s="67">
        <v>0</v>
      </c>
      <c r="I74" s="67"/>
      <c r="J74" s="67"/>
      <c r="K74" s="67"/>
      <c r="L74" s="67"/>
      <c r="M74" s="67" t="s">
        <v>19</v>
      </c>
      <c r="N74" s="67" t="s">
        <v>20</v>
      </c>
      <c r="O74" s="65">
        <v>45816</v>
      </c>
      <c r="P74" s="67"/>
    </row>
    <row r="75" spans="1:16">
      <c r="A75" s="75">
        <v>91147</v>
      </c>
      <c r="B75" s="65"/>
      <c r="C75" s="65"/>
      <c r="D75" s="66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5"/>
      <c r="P75" s="67"/>
    </row>
    <row r="76" spans="1:16">
      <c r="A76" s="75">
        <v>91149</v>
      </c>
      <c r="B76" s="65"/>
      <c r="C76" s="65"/>
      <c r="D76" s="66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5"/>
      <c r="P76" s="67"/>
    </row>
    <row r="77" spans="1:16">
      <c r="A77" s="75">
        <v>91151</v>
      </c>
      <c r="B77" s="65">
        <v>45781</v>
      </c>
      <c r="C77" s="65"/>
      <c r="D77" s="66">
        <v>2</v>
      </c>
      <c r="E77" s="67">
        <v>33</v>
      </c>
      <c r="F77" s="67">
        <v>33</v>
      </c>
      <c r="G77" s="67">
        <v>0</v>
      </c>
      <c r="H77" s="67">
        <v>0</v>
      </c>
      <c r="I77" s="67"/>
      <c r="J77" s="67"/>
      <c r="K77" s="67"/>
      <c r="L77" s="67"/>
      <c r="M77" s="67" t="s">
        <v>17</v>
      </c>
      <c r="N77" s="67" t="s">
        <v>20</v>
      </c>
      <c r="O77" s="65">
        <v>45781</v>
      </c>
      <c r="P77" s="67"/>
    </row>
    <row r="78" spans="1:16">
      <c r="A78" s="75">
        <v>91153</v>
      </c>
      <c r="B78" s="65">
        <v>45795</v>
      </c>
      <c r="C78" s="65"/>
      <c r="D78" s="66">
        <v>2</v>
      </c>
      <c r="E78" s="67">
        <v>95</v>
      </c>
      <c r="F78" s="67">
        <v>95</v>
      </c>
      <c r="G78" s="67">
        <v>0</v>
      </c>
      <c r="H78" s="67">
        <v>0</v>
      </c>
      <c r="I78" s="67"/>
      <c r="J78" s="67"/>
      <c r="K78" s="67"/>
      <c r="L78" s="67"/>
      <c r="M78" s="67" t="s">
        <v>19</v>
      </c>
      <c r="N78" s="67" t="s">
        <v>25</v>
      </c>
      <c r="O78" s="65">
        <v>45795</v>
      </c>
      <c r="P78" s="67"/>
    </row>
    <row r="79" spans="1:16">
      <c r="A79" s="75">
        <v>91155</v>
      </c>
      <c r="B79" s="65"/>
      <c r="C79" s="65"/>
      <c r="D79" s="66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5"/>
      <c r="P79" s="67"/>
    </row>
    <row r="80" spans="1:16">
      <c r="A80" s="75">
        <v>91157</v>
      </c>
      <c r="B80" s="65"/>
      <c r="C80" s="65"/>
      <c r="D80" s="66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5"/>
      <c r="P80" s="67"/>
    </row>
    <row r="81" spans="1:16">
      <c r="A81" s="75">
        <v>91159</v>
      </c>
      <c r="B81" s="65">
        <v>45841</v>
      </c>
      <c r="C81" s="65"/>
      <c r="D81" s="66">
        <v>2</v>
      </c>
      <c r="E81" s="67">
        <v>87</v>
      </c>
      <c r="F81" s="67">
        <v>87</v>
      </c>
      <c r="G81" s="67">
        <v>0</v>
      </c>
      <c r="H81" s="67">
        <v>0</v>
      </c>
      <c r="I81" s="67"/>
      <c r="J81" s="67"/>
      <c r="K81" s="67"/>
      <c r="L81" s="67"/>
      <c r="M81" s="67" t="s">
        <v>19</v>
      </c>
      <c r="N81" s="67" t="s">
        <v>20</v>
      </c>
      <c r="O81" s="65">
        <v>45841</v>
      </c>
      <c r="P81" s="67"/>
    </row>
    <row r="82" spans="1:16">
      <c r="A82" s="75">
        <v>91161</v>
      </c>
      <c r="B82" s="65"/>
      <c r="C82" s="65"/>
      <c r="D82" s="66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5"/>
      <c r="P82" s="67"/>
    </row>
    <row r="83" spans="1:16">
      <c r="A83" s="75">
        <v>91163</v>
      </c>
      <c r="B83" s="65">
        <v>45775</v>
      </c>
      <c r="C83" s="65"/>
      <c r="D83" s="66">
        <v>2</v>
      </c>
      <c r="E83" s="67">
        <v>4</v>
      </c>
      <c r="F83" s="67">
        <v>4</v>
      </c>
      <c r="G83" s="67">
        <v>0</v>
      </c>
      <c r="H83" s="67">
        <v>0</v>
      </c>
      <c r="I83" s="67"/>
      <c r="J83" s="67"/>
      <c r="K83" s="67"/>
      <c r="L83" s="67"/>
      <c r="M83" s="67" t="s">
        <v>19</v>
      </c>
      <c r="N83" s="67" t="s">
        <v>20</v>
      </c>
      <c r="O83" s="65">
        <v>45775</v>
      </c>
      <c r="P83" s="67"/>
    </row>
    <row r="84" spans="1:16">
      <c r="A84" s="75">
        <v>91165</v>
      </c>
      <c r="B84" s="65">
        <v>45785</v>
      </c>
      <c r="C84" s="65"/>
      <c r="D84" s="66">
        <v>2</v>
      </c>
      <c r="E84" s="67">
        <v>82</v>
      </c>
      <c r="F84" s="67">
        <v>82</v>
      </c>
      <c r="G84" s="67">
        <v>0</v>
      </c>
      <c r="H84" s="67">
        <v>0</v>
      </c>
      <c r="I84" s="67"/>
      <c r="J84" s="67"/>
      <c r="K84" s="67"/>
      <c r="L84" s="67"/>
      <c r="M84" s="67" t="s">
        <v>19</v>
      </c>
      <c r="N84" s="67" t="s">
        <v>36</v>
      </c>
      <c r="O84" s="65">
        <v>45785</v>
      </c>
      <c r="P84" s="67"/>
    </row>
    <row r="85" spans="1:16">
      <c r="A85" s="75">
        <v>91167</v>
      </c>
      <c r="B85" s="65">
        <v>45783</v>
      </c>
      <c r="C85" s="65"/>
      <c r="D85" s="66">
        <v>2</v>
      </c>
      <c r="E85" s="67">
        <v>38</v>
      </c>
      <c r="F85" s="67">
        <v>38</v>
      </c>
      <c r="G85" s="67">
        <v>0</v>
      </c>
      <c r="H85" s="67">
        <v>0</v>
      </c>
      <c r="I85" s="67"/>
      <c r="J85" s="67"/>
      <c r="K85" s="67"/>
      <c r="L85" s="67"/>
      <c r="M85" s="67" t="s">
        <v>19</v>
      </c>
      <c r="N85" s="67" t="s">
        <v>20</v>
      </c>
      <c r="O85" s="65">
        <v>45783</v>
      </c>
      <c r="P85" s="67" t="s">
        <v>37</v>
      </c>
    </row>
    <row r="86" spans="1:16">
      <c r="A86" s="75">
        <v>91169</v>
      </c>
      <c r="B86" s="65">
        <v>45778</v>
      </c>
      <c r="C86" s="65"/>
      <c r="D86" s="66">
        <v>2</v>
      </c>
      <c r="E86" s="67">
        <v>44</v>
      </c>
      <c r="F86" s="67">
        <v>44</v>
      </c>
      <c r="G86" s="67">
        <v>0</v>
      </c>
      <c r="H86" s="67">
        <v>0</v>
      </c>
      <c r="I86" s="67"/>
      <c r="J86" s="67"/>
      <c r="K86" s="67"/>
      <c r="L86" s="67"/>
      <c r="M86" s="67" t="s">
        <v>19</v>
      </c>
      <c r="N86" s="67" t="s">
        <v>20</v>
      </c>
      <c r="O86" s="65">
        <v>45778</v>
      </c>
      <c r="P86" s="67"/>
    </row>
    <row r="87" spans="1:16">
      <c r="A87" s="75">
        <v>91171</v>
      </c>
      <c r="B87" s="65"/>
      <c r="C87" s="65"/>
      <c r="D87" s="66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5"/>
      <c r="P87" s="67"/>
    </row>
    <row r="88" spans="1:16">
      <c r="A88" s="75">
        <v>91173</v>
      </c>
      <c r="B88" s="76">
        <v>45791</v>
      </c>
      <c r="C88" s="76"/>
      <c r="D88" s="66">
        <v>2</v>
      </c>
      <c r="E88" s="67">
        <v>200</v>
      </c>
      <c r="F88" s="67">
        <v>200</v>
      </c>
      <c r="G88" s="67">
        <v>0</v>
      </c>
      <c r="H88" s="67">
        <v>0</v>
      </c>
      <c r="I88" s="67"/>
      <c r="J88" s="67"/>
      <c r="K88" s="67"/>
      <c r="L88" s="67"/>
      <c r="M88" s="67" t="s">
        <v>19</v>
      </c>
      <c r="N88" s="67" t="s">
        <v>20</v>
      </c>
      <c r="O88" s="76">
        <v>45791</v>
      </c>
      <c r="P88" s="67"/>
    </row>
    <row r="89" spans="1:16">
      <c r="A89" s="75">
        <v>91175</v>
      </c>
      <c r="B89" s="65">
        <v>45782</v>
      </c>
      <c r="C89" s="65"/>
      <c r="D89" s="66">
        <v>2</v>
      </c>
      <c r="E89" s="67">
        <v>42</v>
      </c>
      <c r="F89" s="67">
        <v>42</v>
      </c>
      <c r="G89" s="67">
        <v>0</v>
      </c>
      <c r="H89" s="67">
        <v>0</v>
      </c>
      <c r="I89" s="67"/>
      <c r="J89" s="67"/>
      <c r="K89" s="67"/>
      <c r="L89" s="67"/>
      <c r="M89" s="67" t="s">
        <v>19</v>
      </c>
      <c r="N89" s="67" t="s">
        <v>25</v>
      </c>
      <c r="O89" s="65">
        <v>45782</v>
      </c>
      <c r="P89" s="67"/>
    </row>
    <row r="90" spans="1:16">
      <c r="A90" s="75">
        <v>91177</v>
      </c>
      <c r="B90" s="65">
        <v>45775</v>
      </c>
      <c r="C90" s="65"/>
      <c r="D90" s="66">
        <v>2</v>
      </c>
      <c r="E90" s="67">
        <v>3</v>
      </c>
      <c r="F90" s="67">
        <v>3</v>
      </c>
      <c r="G90" s="67">
        <v>0</v>
      </c>
      <c r="H90" s="67">
        <v>0</v>
      </c>
      <c r="I90" s="67"/>
      <c r="J90" s="67"/>
      <c r="K90" s="67"/>
      <c r="L90" s="67"/>
      <c r="M90" s="67" t="s">
        <v>19</v>
      </c>
      <c r="N90" s="67" t="s">
        <v>20</v>
      </c>
      <c r="O90" s="65">
        <v>45775</v>
      </c>
      <c r="P90" s="67">
        <v>91177</v>
      </c>
    </row>
    <row r="91" spans="1:16">
      <c r="A91" s="75">
        <v>91179</v>
      </c>
      <c r="B91" s="76">
        <v>45804</v>
      </c>
      <c r="C91" s="76"/>
      <c r="D91" s="66">
        <v>2</v>
      </c>
      <c r="E91" s="67">
        <v>225</v>
      </c>
      <c r="F91" s="67">
        <v>225</v>
      </c>
      <c r="G91" s="67">
        <v>0</v>
      </c>
      <c r="H91" s="67">
        <v>0</v>
      </c>
      <c r="I91" s="67"/>
      <c r="J91" s="67"/>
      <c r="K91" s="67"/>
      <c r="L91" s="67"/>
      <c r="M91" s="67" t="s">
        <v>19</v>
      </c>
      <c r="N91" s="67" t="s">
        <v>20</v>
      </c>
      <c r="O91" s="76">
        <v>45804</v>
      </c>
      <c r="P91" s="67"/>
    </row>
    <row r="92" spans="1:16">
      <c r="A92" s="75" t="s">
        <v>38</v>
      </c>
      <c r="B92" s="65" t="s">
        <v>39</v>
      </c>
      <c r="C92" s="65"/>
      <c r="D92" s="66">
        <v>2</v>
      </c>
      <c r="E92" s="67">
        <v>182</v>
      </c>
      <c r="F92" s="67">
        <v>182</v>
      </c>
      <c r="G92" s="67">
        <v>0</v>
      </c>
      <c r="H92" s="67">
        <v>0</v>
      </c>
      <c r="I92" s="67"/>
      <c r="J92" s="67"/>
      <c r="K92" s="67"/>
      <c r="L92" s="67"/>
      <c r="M92" s="67" t="s">
        <v>19</v>
      </c>
      <c r="N92" s="67" t="s">
        <v>20</v>
      </c>
      <c r="O92" s="65">
        <v>45852</v>
      </c>
      <c r="P92" s="67"/>
    </row>
    <row r="93" spans="1:16">
      <c r="A93" s="75" t="s">
        <v>40</v>
      </c>
      <c r="B93" s="65"/>
      <c r="C93" s="65"/>
      <c r="D93" s="66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5"/>
      <c r="P93" s="67"/>
    </row>
    <row r="94" spans="1:16">
      <c r="A94" s="75" t="s">
        <v>41</v>
      </c>
      <c r="B94" s="65">
        <v>45778</v>
      </c>
      <c r="C94" s="65"/>
      <c r="D94" s="66">
        <v>2</v>
      </c>
      <c r="E94" s="67">
        <v>32</v>
      </c>
      <c r="F94" s="67">
        <v>32</v>
      </c>
      <c r="G94" s="67">
        <v>0</v>
      </c>
      <c r="H94" s="67">
        <v>0</v>
      </c>
      <c r="I94" s="67"/>
      <c r="J94" s="67"/>
      <c r="K94" s="67"/>
      <c r="L94" s="67"/>
      <c r="M94" s="67" t="s">
        <v>19</v>
      </c>
      <c r="N94" s="67" t="s">
        <v>20</v>
      </c>
      <c r="O94" s="65">
        <v>45778</v>
      </c>
      <c r="P94" s="67"/>
    </row>
    <row r="95" spans="1:16">
      <c r="A95" s="75" t="s">
        <v>42</v>
      </c>
      <c r="B95" s="65"/>
      <c r="C95" s="65"/>
      <c r="D95" s="66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5"/>
      <c r="P95" s="67"/>
    </row>
    <row r="96" spans="1:16">
      <c r="A96" s="75" t="s">
        <v>43</v>
      </c>
      <c r="B96" s="65">
        <v>45827</v>
      </c>
      <c r="C96" s="65"/>
      <c r="D96" s="66">
        <v>2</v>
      </c>
      <c r="E96" s="67">
        <v>210</v>
      </c>
      <c r="F96" s="67">
        <v>210</v>
      </c>
      <c r="G96" s="67">
        <v>0</v>
      </c>
      <c r="H96" s="67">
        <v>0</v>
      </c>
      <c r="I96" s="67"/>
      <c r="J96" s="67"/>
      <c r="K96" s="67"/>
      <c r="L96" s="67"/>
      <c r="M96" s="67" t="s">
        <v>19</v>
      </c>
      <c r="N96" s="67" t="s">
        <v>20</v>
      </c>
      <c r="O96" s="65">
        <v>45827</v>
      </c>
      <c r="P96" s="67"/>
    </row>
    <row r="97" spans="1:16">
      <c r="A97" s="75" t="s">
        <v>44</v>
      </c>
      <c r="B97" s="65"/>
      <c r="C97" s="65"/>
      <c r="D97" s="66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5"/>
      <c r="P97" s="67"/>
    </row>
    <row r="98" spans="1:16">
      <c r="A98" s="75" t="s">
        <v>45</v>
      </c>
      <c r="B98" s="65">
        <v>45782</v>
      </c>
      <c r="C98" s="65"/>
      <c r="D98" s="66">
        <v>2</v>
      </c>
      <c r="E98" s="67">
        <v>48</v>
      </c>
      <c r="F98" s="67">
        <v>48</v>
      </c>
      <c r="G98" s="67">
        <v>0</v>
      </c>
      <c r="H98" s="67">
        <v>0</v>
      </c>
      <c r="I98" s="67"/>
      <c r="J98" s="67"/>
      <c r="K98" s="67"/>
      <c r="L98" s="67"/>
      <c r="M98" s="67" t="s">
        <v>19</v>
      </c>
      <c r="N98" s="67" t="s">
        <v>25</v>
      </c>
      <c r="O98" s="65">
        <v>45782</v>
      </c>
      <c r="P98" s="67"/>
    </row>
    <row r="99" spans="1:16">
      <c r="A99" s="75" t="s">
        <v>46</v>
      </c>
      <c r="B99" s="65">
        <v>45803</v>
      </c>
      <c r="C99" s="65"/>
      <c r="D99" s="66">
        <v>2</v>
      </c>
      <c r="E99" s="67">
        <v>59</v>
      </c>
      <c r="F99" s="67">
        <v>59</v>
      </c>
      <c r="G99" s="67">
        <v>0</v>
      </c>
      <c r="H99" s="67">
        <v>0</v>
      </c>
      <c r="I99" s="67"/>
      <c r="J99" s="67"/>
      <c r="K99" s="67"/>
      <c r="L99" s="67"/>
      <c r="M99" s="67" t="s">
        <v>19</v>
      </c>
      <c r="N99" s="67" t="s">
        <v>25</v>
      </c>
      <c r="O99" s="65">
        <v>45803</v>
      </c>
      <c r="P99" s="67"/>
    </row>
    <row r="100" spans="1:16">
      <c r="A100" s="75" t="s">
        <v>47</v>
      </c>
      <c r="B100" s="65">
        <v>45776</v>
      </c>
      <c r="C100" s="65"/>
      <c r="D100" s="67">
        <v>2</v>
      </c>
      <c r="E100" s="67">
        <v>16</v>
      </c>
      <c r="F100" s="67">
        <v>16</v>
      </c>
      <c r="G100" s="67">
        <v>0</v>
      </c>
      <c r="H100" s="67">
        <v>0</v>
      </c>
      <c r="I100" s="67"/>
      <c r="J100" s="67"/>
      <c r="K100" s="67"/>
      <c r="L100" s="67"/>
      <c r="M100" s="67" t="s">
        <v>19</v>
      </c>
      <c r="N100" s="67" t="s">
        <v>20</v>
      </c>
      <c r="O100" s="65">
        <v>45776</v>
      </c>
      <c r="P100" s="67"/>
    </row>
    <row r="101" spans="1:16">
      <c r="A101" s="75" t="s">
        <v>48</v>
      </c>
      <c r="B101" s="65" t="s">
        <v>49</v>
      </c>
      <c r="C101" s="65"/>
      <c r="D101" s="66">
        <v>2</v>
      </c>
      <c r="E101" s="67">
        <v>200</v>
      </c>
      <c r="F101" s="67">
        <v>200</v>
      </c>
      <c r="G101" s="67">
        <v>0</v>
      </c>
      <c r="H101" s="67">
        <v>0</v>
      </c>
      <c r="I101" s="67"/>
      <c r="J101" s="67"/>
      <c r="K101" s="67"/>
      <c r="L101" s="67"/>
      <c r="M101" s="67" t="s">
        <v>19</v>
      </c>
      <c r="N101" s="67" t="s">
        <v>20</v>
      </c>
      <c r="O101" s="65" t="s">
        <v>49</v>
      </c>
      <c r="P101" s="67"/>
    </row>
    <row r="102" spans="1:16">
      <c r="A102" s="75" t="s">
        <v>50</v>
      </c>
      <c r="B102" s="65" t="s">
        <v>16</v>
      </c>
      <c r="C102" s="65"/>
      <c r="D102" s="67">
        <v>1</v>
      </c>
      <c r="E102" s="67">
        <v>1</v>
      </c>
      <c r="F102" s="67">
        <v>1</v>
      </c>
      <c r="G102" s="67">
        <v>0</v>
      </c>
      <c r="H102" s="67">
        <v>0</v>
      </c>
      <c r="I102" s="67"/>
      <c r="J102" s="67"/>
      <c r="K102" s="67"/>
      <c r="L102" s="67"/>
      <c r="M102" s="67" t="s">
        <v>17</v>
      </c>
      <c r="N102" s="67" t="s">
        <v>18</v>
      </c>
      <c r="O102" s="65" t="s">
        <v>16</v>
      </c>
      <c r="P102" s="67"/>
    </row>
    <row r="103" spans="1:16">
      <c r="A103" s="75" t="s">
        <v>51</v>
      </c>
      <c r="B103" s="65"/>
      <c r="C103" s="65"/>
      <c r="D103" s="66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5"/>
      <c r="P103" s="67"/>
    </row>
    <row r="104" spans="1:16">
      <c r="A104" s="75" t="s">
        <v>52</v>
      </c>
      <c r="B104" s="65" t="s">
        <v>49</v>
      </c>
      <c r="C104" s="65"/>
      <c r="D104" s="66">
        <v>2</v>
      </c>
      <c r="E104" s="67">
        <v>208</v>
      </c>
      <c r="F104" s="67">
        <v>208</v>
      </c>
      <c r="G104" s="67">
        <v>0</v>
      </c>
      <c r="H104" s="67">
        <v>0</v>
      </c>
      <c r="I104" s="67"/>
      <c r="J104" s="67"/>
      <c r="K104" s="67"/>
      <c r="L104" s="67"/>
      <c r="M104" s="67" t="s">
        <v>19</v>
      </c>
      <c r="N104" s="67" t="s">
        <v>53</v>
      </c>
      <c r="O104" s="65" t="s">
        <v>49</v>
      </c>
      <c r="P104" s="67"/>
    </row>
    <row r="105" spans="1:16">
      <c r="A105" s="75" t="s">
        <v>54</v>
      </c>
      <c r="B105" s="65">
        <v>45837</v>
      </c>
      <c r="C105" s="65"/>
      <c r="D105" s="66">
        <v>2</v>
      </c>
      <c r="E105" s="67">
        <v>160</v>
      </c>
      <c r="F105" s="67">
        <v>160</v>
      </c>
      <c r="G105" s="67">
        <v>0</v>
      </c>
      <c r="H105" s="67">
        <v>0</v>
      </c>
      <c r="I105" s="67"/>
      <c r="J105" s="67"/>
      <c r="K105" s="67"/>
      <c r="L105" s="67"/>
      <c r="M105" s="67" t="s">
        <v>19</v>
      </c>
      <c r="N105" s="67" t="s">
        <v>20</v>
      </c>
      <c r="O105" s="65">
        <v>45837</v>
      </c>
      <c r="P105" s="67"/>
    </row>
    <row r="106" spans="1:16">
      <c r="A106" s="75">
        <v>91209</v>
      </c>
      <c r="B106" s="65"/>
      <c r="C106" s="65"/>
      <c r="D106" s="66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5"/>
      <c r="P106" s="67"/>
    </row>
    <row r="107" spans="1:16">
      <c r="A107" s="75" t="s">
        <v>55</v>
      </c>
      <c r="B107" s="65">
        <v>45777</v>
      </c>
      <c r="C107" s="65"/>
      <c r="D107" s="66">
        <v>2</v>
      </c>
      <c r="E107" s="67">
        <v>28</v>
      </c>
      <c r="F107" s="67">
        <v>28</v>
      </c>
      <c r="G107" s="67">
        <v>0</v>
      </c>
      <c r="H107" s="67">
        <v>0</v>
      </c>
      <c r="I107" s="67"/>
      <c r="J107" s="67"/>
      <c r="K107" s="67"/>
      <c r="L107" s="67"/>
      <c r="M107" s="67" t="s">
        <v>19</v>
      </c>
      <c r="N107" s="67" t="s">
        <v>20</v>
      </c>
      <c r="O107" s="65">
        <v>45777</v>
      </c>
      <c r="P107" s="67"/>
    </row>
    <row r="108" spans="1:16">
      <c r="A108" s="75" t="s">
        <v>56</v>
      </c>
      <c r="B108" s="65">
        <v>45812</v>
      </c>
      <c r="C108" s="65"/>
      <c r="D108" s="66">
        <v>1</v>
      </c>
      <c r="E108" s="67">
        <v>20</v>
      </c>
      <c r="F108" s="67">
        <v>20</v>
      </c>
      <c r="G108" s="67">
        <v>0</v>
      </c>
      <c r="H108" s="67">
        <v>0</v>
      </c>
      <c r="I108" s="67"/>
      <c r="J108" s="67"/>
      <c r="K108" s="67"/>
      <c r="L108" s="67"/>
      <c r="M108" s="67" t="s">
        <v>19</v>
      </c>
      <c r="N108" s="67" t="s">
        <v>34</v>
      </c>
      <c r="O108" s="65">
        <v>45812</v>
      </c>
      <c r="P108" s="67"/>
    </row>
    <row r="109" spans="1:16">
      <c r="A109" s="75" t="s">
        <v>57</v>
      </c>
      <c r="B109" s="65"/>
      <c r="C109" s="65"/>
      <c r="D109" s="66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5"/>
      <c r="P109" s="67"/>
    </row>
    <row r="110" spans="1:16">
      <c r="A110" s="75" t="s">
        <v>58</v>
      </c>
      <c r="B110" s="65"/>
      <c r="C110" s="65"/>
      <c r="D110" s="66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5"/>
      <c r="P110" s="67"/>
    </row>
    <row r="111" spans="1:16">
      <c r="A111" s="75" t="s">
        <v>59</v>
      </c>
      <c r="B111" s="65"/>
      <c r="C111" s="65"/>
      <c r="D111" s="66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5"/>
      <c r="P111" s="67"/>
    </row>
    <row r="112" spans="1:16">
      <c r="A112" s="75" t="s">
        <v>60</v>
      </c>
      <c r="B112" s="65">
        <v>45777</v>
      </c>
      <c r="C112" s="65"/>
      <c r="D112" s="66">
        <v>2</v>
      </c>
      <c r="E112" s="67">
        <v>38</v>
      </c>
      <c r="F112" s="67">
        <v>38</v>
      </c>
      <c r="G112" s="67">
        <v>0</v>
      </c>
      <c r="H112" s="67">
        <v>0</v>
      </c>
      <c r="I112" s="67"/>
      <c r="J112" s="67"/>
      <c r="K112" s="67"/>
      <c r="L112" s="67"/>
      <c r="M112" s="67" t="s">
        <v>19</v>
      </c>
      <c r="N112" s="67" t="s">
        <v>20</v>
      </c>
      <c r="O112" s="65">
        <v>45777</v>
      </c>
      <c r="P112" s="67"/>
    </row>
    <row r="113" spans="1:16">
      <c r="A113" s="75" t="s">
        <v>61</v>
      </c>
      <c r="B113" s="65">
        <v>45823</v>
      </c>
      <c r="C113" s="65"/>
      <c r="D113" s="66">
        <v>2</v>
      </c>
      <c r="E113" s="67">
        <v>100</v>
      </c>
      <c r="F113" s="67">
        <v>100</v>
      </c>
      <c r="G113" s="67">
        <v>0</v>
      </c>
      <c r="H113" s="67">
        <v>0</v>
      </c>
      <c r="I113" s="67"/>
      <c r="J113" s="67"/>
      <c r="K113" s="67"/>
      <c r="L113" s="67"/>
      <c r="M113" s="67" t="s">
        <v>17</v>
      </c>
      <c r="N113" s="67" t="s">
        <v>20</v>
      </c>
      <c r="O113" s="65">
        <v>45823</v>
      </c>
      <c r="P113" s="67"/>
    </row>
    <row r="114" spans="1:16">
      <c r="A114" s="75" t="s">
        <v>62</v>
      </c>
      <c r="B114" s="65">
        <v>45769</v>
      </c>
      <c r="C114" s="65"/>
      <c r="D114" s="66">
        <v>2</v>
      </c>
      <c r="E114" s="66">
        <v>34</v>
      </c>
      <c r="F114" s="66">
        <v>34</v>
      </c>
      <c r="G114" s="66">
        <v>0</v>
      </c>
      <c r="H114" s="66">
        <v>0</v>
      </c>
      <c r="I114" s="66"/>
      <c r="J114" s="66"/>
      <c r="K114" s="66"/>
      <c r="L114" s="66"/>
      <c r="M114" s="67" t="s">
        <v>17</v>
      </c>
      <c r="N114" s="67" t="s">
        <v>20</v>
      </c>
      <c r="O114" s="65">
        <v>45769</v>
      </c>
      <c r="P114" s="67" t="s">
        <v>63</v>
      </c>
    </row>
    <row r="115" spans="1:16">
      <c r="A115" s="75" t="s">
        <v>64</v>
      </c>
      <c r="B115" s="65">
        <v>45806</v>
      </c>
      <c r="C115" s="65"/>
      <c r="D115" s="66">
        <v>2</v>
      </c>
      <c r="E115" s="67">
        <v>200</v>
      </c>
      <c r="F115" s="67">
        <v>200</v>
      </c>
      <c r="G115" s="67">
        <v>0</v>
      </c>
      <c r="H115" s="67">
        <v>0</v>
      </c>
      <c r="I115" s="67"/>
      <c r="J115" s="67"/>
      <c r="K115" s="67"/>
      <c r="L115" s="67"/>
      <c r="M115" s="67" t="s">
        <v>19</v>
      </c>
      <c r="N115" s="67" t="s">
        <v>25</v>
      </c>
      <c r="O115" s="65">
        <v>45806</v>
      </c>
      <c r="P115" s="67"/>
    </row>
    <row r="116" spans="1:16">
      <c r="A116" s="75" t="s">
        <v>65</v>
      </c>
      <c r="B116" s="65"/>
      <c r="C116" s="65"/>
      <c r="D116" s="66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5"/>
      <c r="P116" s="67"/>
    </row>
    <row r="117" spans="1:16">
      <c r="A117" s="75" t="s">
        <v>66</v>
      </c>
      <c r="B117" s="65">
        <v>45792</v>
      </c>
      <c r="C117" s="65"/>
      <c r="D117" s="66">
        <v>2</v>
      </c>
      <c r="E117" s="67">
        <v>114</v>
      </c>
      <c r="F117" s="67">
        <v>114</v>
      </c>
      <c r="G117" s="67">
        <v>0</v>
      </c>
      <c r="H117" s="67">
        <v>0</v>
      </c>
      <c r="I117" s="67"/>
      <c r="J117" s="67"/>
      <c r="K117" s="67"/>
      <c r="L117" s="67"/>
      <c r="M117" s="67" t="s">
        <v>19</v>
      </c>
      <c r="N117" s="67" t="s">
        <v>20</v>
      </c>
      <c r="O117" s="65">
        <v>45792</v>
      </c>
      <c r="P117" s="67"/>
    </row>
    <row r="118" spans="1:16">
      <c r="A118" s="75" t="s">
        <v>67</v>
      </c>
      <c r="B118" s="65">
        <v>45784</v>
      </c>
      <c r="C118" s="65"/>
      <c r="D118" s="66">
        <v>2</v>
      </c>
      <c r="E118" s="67">
        <v>69</v>
      </c>
      <c r="F118" s="67">
        <v>69</v>
      </c>
      <c r="G118" s="67">
        <v>0</v>
      </c>
      <c r="H118" s="67">
        <v>0</v>
      </c>
      <c r="I118" s="67"/>
      <c r="J118" s="67"/>
      <c r="K118" s="67"/>
      <c r="L118" s="67"/>
      <c r="M118" s="67" t="s">
        <v>19</v>
      </c>
      <c r="N118" s="67" t="s">
        <v>20</v>
      </c>
      <c r="O118" s="65">
        <v>45784</v>
      </c>
      <c r="P118" s="67" t="s">
        <v>68</v>
      </c>
    </row>
    <row r="119" spans="1:16">
      <c r="A119" s="75" t="s">
        <v>69</v>
      </c>
      <c r="B119" s="76">
        <v>45791</v>
      </c>
      <c r="C119" s="76"/>
      <c r="D119" s="66">
        <v>2</v>
      </c>
      <c r="E119" s="67">
        <v>150</v>
      </c>
      <c r="F119" s="67">
        <v>150</v>
      </c>
      <c r="G119" s="67">
        <v>0</v>
      </c>
      <c r="H119" s="67">
        <v>0</v>
      </c>
      <c r="I119" s="67"/>
      <c r="J119" s="67"/>
      <c r="K119" s="67"/>
      <c r="L119" s="67"/>
      <c r="M119" s="67" t="s">
        <v>19</v>
      </c>
      <c r="N119" s="67" t="s">
        <v>20</v>
      </c>
      <c r="O119" s="76">
        <v>45791</v>
      </c>
      <c r="P119" s="67"/>
    </row>
    <row r="120" spans="1:16">
      <c r="A120" s="75" t="s">
        <v>70</v>
      </c>
      <c r="B120" s="65">
        <v>45839</v>
      </c>
      <c r="C120" s="65"/>
      <c r="D120" s="66">
        <v>2</v>
      </c>
      <c r="E120" s="67">
        <v>66</v>
      </c>
      <c r="F120" s="67">
        <v>66</v>
      </c>
      <c r="G120" s="67">
        <v>0</v>
      </c>
      <c r="H120" s="67">
        <v>0</v>
      </c>
      <c r="I120" s="67"/>
      <c r="J120" s="67"/>
      <c r="K120" s="67"/>
      <c r="L120" s="67"/>
      <c r="M120" s="67" t="s">
        <v>19</v>
      </c>
      <c r="N120" s="67" t="s">
        <v>20</v>
      </c>
      <c r="O120" s="65">
        <v>45839</v>
      </c>
      <c r="P120" s="67"/>
    </row>
    <row r="121" spans="1:16">
      <c r="A121" s="75" t="s">
        <v>71</v>
      </c>
      <c r="B121" s="65">
        <v>45855</v>
      </c>
      <c r="C121" s="65"/>
      <c r="D121" s="66">
        <v>2</v>
      </c>
      <c r="E121" s="67">
        <v>190</v>
      </c>
      <c r="F121" s="67">
        <v>190</v>
      </c>
      <c r="G121" s="67">
        <v>0</v>
      </c>
      <c r="H121" s="67">
        <v>0</v>
      </c>
      <c r="I121" s="67"/>
      <c r="J121" s="67"/>
      <c r="K121" s="67"/>
      <c r="L121" s="67"/>
      <c r="M121" s="67" t="s">
        <v>19</v>
      </c>
      <c r="N121" s="67" t="s">
        <v>20</v>
      </c>
      <c r="O121" s="65">
        <v>45855</v>
      </c>
      <c r="P121" s="67"/>
    </row>
    <row r="122" spans="1:16">
      <c r="A122" s="75" t="s">
        <v>72</v>
      </c>
      <c r="B122" s="65"/>
      <c r="C122" s="65"/>
      <c r="D122" s="66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5"/>
      <c r="P122" s="67"/>
    </row>
    <row r="123" spans="1:16">
      <c r="A123" s="75" t="s">
        <v>73</v>
      </c>
      <c r="B123" s="65"/>
      <c r="C123" s="65"/>
      <c r="D123" s="66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5"/>
      <c r="P123" s="67"/>
    </row>
    <row r="124" spans="1:16">
      <c r="A124" s="75" t="s">
        <v>74</v>
      </c>
      <c r="B124" s="65"/>
      <c r="C124" s="65"/>
      <c r="D124" s="66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5"/>
      <c r="P124" s="67"/>
    </row>
    <row r="125" spans="1:16">
      <c r="A125" s="75" t="s">
        <v>75</v>
      </c>
      <c r="B125" s="65">
        <v>45810</v>
      </c>
      <c r="C125" s="65"/>
      <c r="D125" s="66">
        <v>2</v>
      </c>
      <c r="E125" s="67">
        <v>150</v>
      </c>
      <c r="F125" s="67">
        <v>150</v>
      </c>
      <c r="G125" s="67">
        <v>0</v>
      </c>
      <c r="H125" s="67">
        <v>0</v>
      </c>
      <c r="I125" s="67"/>
      <c r="J125" s="67"/>
      <c r="K125" s="67"/>
      <c r="L125" s="67"/>
      <c r="M125" s="67" t="s">
        <v>19</v>
      </c>
      <c r="N125" s="67" t="s">
        <v>25</v>
      </c>
      <c r="O125" s="65">
        <v>45810</v>
      </c>
      <c r="P125" s="67"/>
    </row>
    <row r="126" spans="1:16">
      <c r="A126" s="75" t="s">
        <v>76</v>
      </c>
      <c r="B126" s="65">
        <v>45790</v>
      </c>
      <c r="C126" s="65"/>
      <c r="D126" s="66">
        <v>2</v>
      </c>
      <c r="E126" s="67">
        <v>76</v>
      </c>
      <c r="F126" s="67">
        <v>76</v>
      </c>
      <c r="G126" s="67">
        <v>0</v>
      </c>
      <c r="H126" s="67">
        <v>0</v>
      </c>
      <c r="I126" s="67"/>
      <c r="J126" s="67"/>
      <c r="K126" s="67"/>
      <c r="L126" s="67"/>
      <c r="M126" s="67" t="s">
        <v>19</v>
      </c>
      <c r="N126" s="67" t="s">
        <v>25</v>
      </c>
      <c r="O126" s="65">
        <v>45790</v>
      </c>
      <c r="P126" s="67"/>
    </row>
    <row r="127" spans="1:16">
      <c r="A127" s="75" t="s">
        <v>77</v>
      </c>
      <c r="B127" s="65">
        <v>45810</v>
      </c>
      <c r="C127" s="65"/>
      <c r="D127" s="66">
        <v>0</v>
      </c>
      <c r="E127" s="67">
        <v>44</v>
      </c>
      <c r="F127" s="67">
        <v>44</v>
      </c>
      <c r="G127" s="67">
        <v>0</v>
      </c>
      <c r="H127" s="67">
        <v>0</v>
      </c>
      <c r="I127" s="67"/>
      <c r="J127" s="67"/>
      <c r="K127" s="67"/>
      <c r="L127" s="67"/>
      <c r="M127" s="67" t="s">
        <v>19</v>
      </c>
      <c r="N127" s="67" t="s">
        <v>20</v>
      </c>
      <c r="O127" s="65">
        <v>45810</v>
      </c>
      <c r="P127" s="67"/>
    </row>
    <row r="128" spans="1:16">
      <c r="A128" s="75" t="s">
        <v>78</v>
      </c>
      <c r="B128" s="65">
        <v>45810</v>
      </c>
      <c r="C128" s="65"/>
      <c r="D128" s="66">
        <v>0</v>
      </c>
      <c r="E128" s="67">
        <v>150</v>
      </c>
      <c r="F128" s="67">
        <v>150</v>
      </c>
      <c r="G128" s="67">
        <v>0</v>
      </c>
      <c r="H128" s="67">
        <v>0</v>
      </c>
      <c r="I128" s="67"/>
      <c r="J128" s="67"/>
      <c r="K128" s="67"/>
      <c r="L128" s="67"/>
      <c r="M128" s="67" t="s">
        <v>19</v>
      </c>
      <c r="N128" s="67" t="s">
        <v>20</v>
      </c>
      <c r="O128" s="65">
        <v>45810</v>
      </c>
      <c r="P128" s="67"/>
    </row>
    <row r="129" spans="1:16">
      <c r="A129" s="75">
        <v>91255</v>
      </c>
      <c r="B129" s="65">
        <v>45770</v>
      </c>
      <c r="C129" s="65"/>
      <c r="D129" s="66">
        <v>2</v>
      </c>
      <c r="E129" s="66">
        <v>42</v>
      </c>
      <c r="F129" s="66">
        <v>42</v>
      </c>
      <c r="G129" s="66">
        <v>0</v>
      </c>
      <c r="H129" s="66">
        <v>0</v>
      </c>
      <c r="I129" s="66"/>
      <c r="J129" s="66"/>
      <c r="K129" s="66"/>
      <c r="L129" s="66"/>
      <c r="M129" s="67" t="s">
        <v>17</v>
      </c>
      <c r="N129" s="67" t="s">
        <v>20</v>
      </c>
      <c r="O129" s="65">
        <v>45770</v>
      </c>
      <c r="P129" s="67" t="s">
        <v>79</v>
      </c>
    </row>
    <row r="130" spans="1:16">
      <c r="A130" s="75" t="s">
        <v>80</v>
      </c>
      <c r="B130" s="65">
        <v>45812</v>
      </c>
      <c r="C130" s="65"/>
      <c r="D130" s="66">
        <v>2</v>
      </c>
      <c r="E130" s="67">
        <v>200</v>
      </c>
      <c r="F130" s="67">
        <v>200</v>
      </c>
      <c r="G130" s="67">
        <v>0</v>
      </c>
      <c r="H130" s="67">
        <v>0</v>
      </c>
      <c r="I130" s="67"/>
      <c r="J130" s="67"/>
      <c r="K130" s="67"/>
      <c r="L130" s="67"/>
      <c r="M130" s="67" t="s">
        <v>19</v>
      </c>
      <c r="N130" s="67" t="s">
        <v>34</v>
      </c>
      <c r="O130" s="65">
        <v>45812</v>
      </c>
      <c r="P130" s="67"/>
    </row>
    <row r="131" spans="1:16">
      <c r="A131" s="75" t="s">
        <v>81</v>
      </c>
      <c r="B131" s="65">
        <v>45777</v>
      </c>
      <c r="C131" s="65"/>
      <c r="D131" s="66">
        <v>2</v>
      </c>
      <c r="E131" s="67">
        <v>44</v>
      </c>
      <c r="F131" s="67">
        <v>44</v>
      </c>
      <c r="G131" s="67">
        <v>0</v>
      </c>
      <c r="H131" s="67">
        <v>0</v>
      </c>
      <c r="I131" s="67"/>
      <c r="J131" s="67"/>
      <c r="K131" s="67"/>
      <c r="L131" s="67"/>
      <c r="M131" s="67" t="s">
        <v>19</v>
      </c>
      <c r="N131" s="67" t="s">
        <v>20</v>
      </c>
      <c r="O131" s="65">
        <v>45777</v>
      </c>
      <c r="P131" s="67"/>
    </row>
    <row r="132" spans="1:16">
      <c r="A132" s="75" t="s">
        <v>82</v>
      </c>
      <c r="B132" s="65">
        <v>45805</v>
      </c>
      <c r="C132" s="65"/>
      <c r="D132" s="66">
        <v>2</v>
      </c>
      <c r="E132" s="67">
        <v>256</v>
      </c>
      <c r="F132" s="67">
        <v>256</v>
      </c>
      <c r="G132" s="67">
        <v>0</v>
      </c>
      <c r="H132" s="67">
        <v>0</v>
      </c>
      <c r="I132" s="67"/>
      <c r="J132" s="67"/>
      <c r="K132" s="67"/>
      <c r="L132" s="67"/>
      <c r="M132" s="67" t="s">
        <v>19</v>
      </c>
      <c r="N132" s="67" t="s">
        <v>25</v>
      </c>
      <c r="O132" s="65">
        <v>45805</v>
      </c>
      <c r="P132" s="67"/>
    </row>
    <row r="133" spans="1:16">
      <c r="A133" s="75" t="s">
        <v>83</v>
      </c>
      <c r="B133" s="65"/>
      <c r="C133" s="65"/>
      <c r="D133" s="66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5"/>
      <c r="P133" s="67"/>
    </row>
    <row r="134" spans="1:16">
      <c r="A134" s="75" t="s">
        <v>84</v>
      </c>
      <c r="B134" s="65"/>
      <c r="C134" s="65"/>
      <c r="D134" s="66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5"/>
      <c r="P134" s="67"/>
    </row>
    <row r="135" spans="1:16">
      <c r="A135" s="75" t="s">
        <v>85</v>
      </c>
      <c r="B135" s="65">
        <v>45789</v>
      </c>
      <c r="C135" s="65"/>
      <c r="D135" s="67">
        <v>2</v>
      </c>
      <c r="E135" s="67">
        <v>79</v>
      </c>
      <c r="F135" s="67">
        <v>79</v>
      </c>
      <c r="G135" s="67">
        <v>0</v>
      </c>
      <c r="H135" s="67">
        <v>0</v>
      </c>
      <c r="I135" s="67"/>
      <c r="J135" s="67"/>
      <c r="K135" s="67"/>
      <c r="L135" s="67"/>
      <c r="M135" s="67" t="s">
        <v>19</v>
      </c>
      <c r="N135" s="67" t="s">
        <v>25</v>
      </c>
      <c r="O135" s="65">
        <v>45789</v>
      </c>
      <c r="P135" s="67">
        <v>91267</v>
      </c>
    </row>
    <row r="136" spans="1:16">
      <c r="A136" s="75" t="s">
        <v>86</v>
      </c>
      <c r="B136" s="65">
        <v>45839</v>
      </c>
      <c r="C136" s="65"/>
      <c r="D136" s="66">
        <v>2</v>
      </c>
      <c r="E136" s="67">
        <v>133</v>
      </c>
      <c r="F136" s="67">
        <v>133</v>
      </c>
      <c r="G136" s="67">
        <v>0</v>
      </c>
      <c r="H136" s="67">
        <v>0</v>
      </c>
      <c r="I136" s="67"/>
      <c r="J136" s="67"/>
      <c r="K136" s="67"/>
      <c r="L136" s="67"/>
      <c r="M136" s="67" t="s">
        <v>19</v>
      </c>
      <c r="N136" s="67" t="s">
        <v>20</v>
      </c>
      <c r="O136" s="65">
        <v>45839</v>
      </c>
      <c r="P136" s="67"/>
    </row>
    <row r="137" spans="1:16">
      <c r="A137" s="75" t="s">
        <v>87</v>
      </c>
      <c r="B137" s="65">
        <v>45813</v>
      </c>
      <c r="C137" s="65"/>
      <c r="D137" s="66">
        <v>2</v>
      </c>
      <c r="E137" s="67">
        <v>248</v>
      </c>
      <c r="F137" s="67">
        <v>248</v>
      </c>
      <c r="G137" s="67">
        <v>0</v>
      </c>
      <c r="H137" s="67">
        <v>0</v>
      </c>
      <c r="I137" s="67"/>
      <c r="J137" s="67"/>
      <c r="K137" s="67"/>
      <c r="L137" s="67"/>
      <c r="M137" s="67" t="s">
        <v>19</v>
      </c>
      <c r="N137" s="67" t="s">
        <v>25</v>
      </c>
      <c r="O137" s="65">
        <v>45813</v>
      </c>
      <c r="P137" s="67"/>
    </row>
    <row r="138" spans="1:16">
      <c r="A138" s="75">
        <v>91273</v>
      </c>
      <c r="B138" s="65">
        <v>45812</v>
      </c>
      <c r="C138" s="65"/>
      <c r="D138" s="66">
        <v>2</v>
      </c>
      <c r="E138" s="67">
        <v>100</v>
      </c>
      <c r="F138" s="67">
        <v>100</v>
      </c>
      <c r="G138" s="67">
        <v>0</v>
      </c>
      <c r="H138" s="67">
        <v>0</v>
      </c>
      <c r="I138" s="67"/>
      <c r="J138" s="67"/>
      <c r="K138" s="67"/>
      <c r="L138" s="67"/>
      <c r="M138" s="67" t="s">
        <v>19</v>
      </c>
      <c r="N138" s="67" t="s">
        <v>20</v>
      </c>
      <c r="O138" s="65">
        <v>45812</v>
      </c>
      <c r="P138" s="67"/>
    </row>
    <row r="139" spans="1:16">
      <c r="A139" s="75" t="s">
        <v>88</v>
      </c>
      <c r="B139" s="65">
        <v>45804</v>
      </c>
      <c r="C139" s="65"/>
      <c r="D139" s="66">
        <v>2</v>
      </c>
      <c r="E139" s="67">
        <v>188</v>
      </c>
      <c r="F139" s="67">
        <v>188</v>
      </c>
      <c r="G139" s="67">
        <v>0</v>
      </c>
      <c r="H139" s="67">
        <v>0</v>
      </c>
      <c r="I139" s="67"/>
      <c r="J139" s="67"/>
      <c r="K139" s="67"/>
      <c r="L139" s="67"/>
      <c r="M139" s="67" t="s">
        <v>19</v>
      </c>
      <c r="N139" s="67" t="s">
        <v>25</v>
      </c>
      <c r="O139" s="65">
        <v>45804</v>
      </c>
      <c r="P139" s="67">
        <v>91275</v>
      </c>
    </row>
    <row r="140" spans="1:16">
      <c r="A140" s="75" t="s">
        <v>89</v>
      </c>
      <c r="B140" s="65">
        <v>45764</v>
      </c>
      <c r="C140" s="65"/>
      <c r="D140" s="66">
        <v>2</v>
      </c>
      <c r="E140" s="66">
        <v>88</v>
      </c>
      <c r="F140" s="66">
        <v>88</v>
      </c>
      <c r="G140" s="66">
        <v>0</v>
      </c>
      <c r="H140" s="66">
        <v>0</v>
      </c>
      <c r="I140" s="66"/>
      <c r="J140" s="66"/>
      <c r="K140" s="66"/>
      <c r="L140" s="66"/>
      <c r="M140" s="67" t="s">
        <v>17</v>
      </c>
      <c r="N140" s="68" t="s">
        <v>20</v>
      </c>
      <c r="O140" s="65">
        <v>45764</v>
      </c>
      <c r="P140" s="74">
        <v>91277</v>
      </c>
    </row>
    <row r="141" spans="1:16">
      <c r="A141" s="75">
        <v>91279</v>
      </c>
      <c r="B141" s="65">
        <v>45809</v>
      </c>
      <c r="C141" s="65"/>
      <c r="D141" s="66">
        <v>2</v>
      </c>
      <c r="E141" s="67">
        <v>114</v>
      </c>
      <c r="F141" s="67">
        <v>114</v>
      </c>
      <c r="G141" s="67">
        <v>0</v>
      </c>
      <c r="H141" s="67">
        <v>0</v>
      </c>
      <c r="I141" s="67"/>
      <c r="J141" s="67"/>
      <c r="K141" s="67"/>
      <c r="L141" s="67"/>
      <c r="M141" s="67" t="s">
        <v>19</v>
      </c>
      <c r="N141" s="67" t="s">
        <v>20</v>
      </c>
      <c r="O141" s="65">
        <v>45809</v>
      </c>
      <c r="P141" s="67"/>
    </row>
    <row r="142" spans="1:16">
      <c r="A142" s="75" t="s">
        <v>90</v>
      </c>
      <c r="B142" s="65" t="s">
        <v>91</v>
      </c>
      <c r="C142" s="65"/>
      <c r="D142" s="66">
        <v>1</v>
      </c>
      <c r="E142" s="67">
        <v>21</v>
      </c>
      <c r="F142" s="67">
        <v>21</v>
      </c>
      <c r="G142" s="67">
        <v>0</v>
      </c>
      <c r="H142" s="67">
        <v>0</v>
      </c>
      <c r="I142" s="67"/>
      <c r="J142" s="67"/>
      <c r="K142" s="67"/>
      <c r="L142" s="67"/>
      <c r="M142" s="67" t="s">
        <v>19</v>
      </c>
      <c r="N142" s="67" t="s">
        <v>20</v>
      </c>
      <c r="O142" s="65" t="s">
        <v>91</v>
      </c>
      <c r="P142" s="67"/>
    </row>
    <row r="143" spans="1:16">
      <c r="A143" s="75" t="s">
        <v>92</v>
      </c>
      <c r="B143" s="65">
        <v>45802</v>
      </c>
      <c r="C143" s="65"/>
      <c r="D143" s="66">
        <v>2</v>
      </c>
      <c r="E143" s="67">
        <v>200</v>
      </c>
      <c r="F143" s="67">
        <v>200</v>
      </c>
      <c r="G143" s="67">
        <v>0</v>
      </c>
      <c r="H143" s="67">
        <v>0</v>
      </c>
      <c r="I143" s="67"/>
      <c r="J143" s="67"/>
      <c r="K143" s="67"/>
      <c r="L143" s="67"/>
      <c r="M143" s="67" t="s">
        <v>19</v>
      </c>
      <c r="N143" s="67" t="s">
        <v>20</v>
      </c>
      <c r="O143" s="65">
        <v>45802</v>
      </c>
      <c r="P143" s="67"/>
    </row>
    <row r="144" spans="1:16">
      <c r="A144" s="75" t="s">
        <v>93</v>
      </c>
      <c r="B144" s="65">
        <v>45781</v>
      </c>
      <c r="C144" s="65"/>
      <c r="D144" s="66">
        <v>2</v>
      </c>
      <c r="E144" s="67">
        <v>42</v>
      </c>
      <c r="F144" s="67">
        <v>42</v>
      </c>
      <c r="G144" s="67">
        <v>0</v>
      </c>
      <c r="H144" s="67">
        <v>0</v>
      </c>
      <c r="I144" s="67"/>
      <c r="J144" s="67"/>
      <c r="K144" s="67"/>
      <c r="L144" s="67"/>
      <c r="M144" s="67" t="s">
        <v>17</v>
      </c>
      <c r="N144" s="67" t="s">
        <v>20</v>
      </c>
      <c r="O144" s="65">
        <v>45781</v>
      </c>
      <c r="P144" s="67" t="s">
        <v>94</v>
      </c>
    </row>
    <row r="145" spans="1:16">
      <c r="A145" s="75" t="s">
        <v>95</v>
      </c>
      <c r="B145" s="65">
        <v>45768</v>
      </c>
      <c r="C145" s="65"/>
      <c r="D145" s="66">
        <v>2</v>
      </c>
      <c r="E145" s="66">
        <v>52</v>
      </c>
      <c r="F145" s="66">
        <v>52</v>
      </c>
      <c r="G145" s="66">
        <v>0</v>
      </c>
      <c r="H145" s="66">
        <v>0</v>
      </c>
      <c r="I145" s="66"/>
      <c r="J145" s="66"/>
      <c r="K145" s="66"/>
      <c r="L145" s="66"/>
      <c r="M145" s="67" t="s">
        <v>17</v>
      </c>
      <c r="N145" s="68" t="s">
        <v>20</v>
      </c>
      <c r="O145" s="65">
        <v>45768</v>
      </c>
      <c r="P145" s="74">
        <v>91287</v>
      </c>
    </row>
    <row r="146" spans="1:16">
      <c r="A146" s="75" t="s">
        <v>96</v>
      </c>
      <c r="B146" s="65"/>
      <c r="C146" s="65"/>
      <c r="D146" s="66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5"/>
      <c r="P146" s="67"/>
    </row>
    <row r="147" spans="1:16">
      <c r="A147" s="75" t="s">
        <v>97</v>
      </c>
      <c r="B147" s="65">
        <v>45848</v>
      </c>
      <c r="C147" s="65"/>
      <c r="D147" s="66">
        <v>2</v>
      </c>
      <c r="E147" s="67">
        <v>216</v>
      </c>
      <c r="F147" s="67">
        <v>216</v>
      </c>
      <c r="G147" s="67">
        <v>0</v>
      </c>
      <c r="H147" s="67">
        <v>0</v>
      </c>
      <c r="I147" s="67"/>
      <c r="J147" s="67"/>
      <c r="K147" s="67"/>
      <c r="L147" s="67"/>
      <c r="M147" s="67" t="s">
        <v>19</v>
      </c>
      <c r="N147" s="67" t="s">
        <v>20</v>
      </c>
      <c r="O147" s="65">
        <v>45848</v>
      </c>
      <c r="P147" s="67"/>
    </row>
    <row r="148" spans="1:16">
      <c r="A148" s="75" t="s">
        <v>98</v>
      </c>
      <c r="B148" s="65">
        <v>45790</v>
      </c>
      <c r="C148" s="65"/>
      <c r="D148" s="66">
        <v>2</v>
      </c>
      <c r="E148" s="67">
        <v>110</v>
      </c>
      <c r="F148" s="67">
        <v>110</v>
      </c>
      <c r="G148" s="67">
        <v>0</v>
      </c>
      <c r="H148" s="67">
        <v>0</v>
      </c>
      <c r="I148" s="67"/>
      <c r="J148" s="67"/>
      <c r="K148" s="67"/>
      <c r="L148" s="67"/>
      <c r="M148" s="67" t="s">
        <v>19</v>
      </c>
      <c r="N148" s="67" t="s">
        <v>25</v>
      </c>
      <c r="O148" s="65">
        <v>45790</v>
      </c>
      <c r="P148" s="67"/>
    </row>
    <row r="149" spans="1:16">
      <c r="A149" s="75" t="s">
        <v>99</v>
      </c>
      <c r="B149" s="65">
        <v>45780</v>
      </c>
      <c r="C149" s="65"/>
      <c r="D149" s="66">
        <v>2</v>
      </c>
      <c r="E149" s="67">
        <v>130</v>
      </c>
      <c r="F149" s="67">
        <v>130</v>
      </c>
      <c r="G149" s="67">
        <v>0</v>
      </c>
      <c r="H149" s="67">
        <v>0</v>
      </c>
      <c r="I149" s="67"/>
      <c r="J149" s="67"/>
      <c r="K149" s="67"/>
      <c r="L149" s="67"/>
      <c r="M149" s="67" t="s">
        <v>19</v>
      </c>
      <c r="N149" s="67" t="s">
        <v>20</v>
      </c>
      <c r="O149" s="65">
        <v>45780</v>
      </c>
      <c r="P149" s="67"/>
    </row>
    <row r="150" spans="1:16">
      <c r="A150" s="75" t="s">
        <v>100</v>
      </c>
      <c r="B150" s="65"/>
      <c r="C150" s="65"/>
      <c r="D150" s="66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5"/>
      <c r="P150" s="67"/>
    </row>
    <row r="151" spans="1:16">
      <c r="A151" s="75" t="s">
        <v>101</v>
      </c>
      <c r="B151" s="65">
        <v>45820</v>
      </c>
      <c r="C151" s="65"/>
      <c r="D151" s="66">
        <v>2</v>
      </c>
      <c r="E151" s="67">
        <v>220</v>
      </c>
      <c r="F151" s="67">
        <v>220</v>
      </c>
      <c r="G151" s="67">
        <v>0</v>
      </c>
      <c r="H151" s="67">
        <v>0</v>
      </c>
      <c r="I151" s="67"/>
      <c r="J151" s="67"/>
      <c r="K151" s="67"/>
      <c r="L151" s="67"/>
      <c r="M151" s="67" t="s">
        <v>19</v>
      </c>
      <c r="N151" s="67" t="s">
        <v>25</v>
      </c>
      <c r="O151" s="65">
        <v>45820</v>
      </c>
      <c r="P151" s="67"/>
    </row>
    <row r="152" spans="1:16">
      <c r="A152" s="75">
        <v>91301</v>
      </c>
      <c r="B152" s="65"/>
      <c r="C152" s="65"/>
      <c r="D152" s="66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5"/>
      <c r="P152" s="67"/>
    </row>
    <row r="153" spans="1:16">
      <c r="A153" s="75">
        <v>91303</v>
      </c>
      <c r="B153" s="65" t="s">
        <v>102</v>
      </c>
      <c r="C153" s="65"/>
      <c r="D153" s="66">
        <v>2</v>
      </c>
      <c r="E153" s="66">
        <v>76</v>
      </c>
      <c r="F153" s="66">
        <v>76</v>
      </c>
      <c r="G153" s="66">
        <v>0</v>
      </c>
      <c r="H153" s="66">
        <v>0</v>
      </c>
      <c r="I153" s="66"/>
      <c r="J153" s="66"/>
      <c r="K153" s="66"/>
      <c r="L153" s="66"/>
      <c r="M153" s="67" t="s">
        <v>17</v>
      </c>
      <c r="N153" s="68" t="s">
        <v>20</v>
      </c>
      <c r="O153" s="65" t="s">
        <v>102</v>
      </c>
      <c r="P153" s="66"/>
    </row>
    <row r="154" spans="1:16">
      <c r="A154" s="75" t="s">
        <v>103</v>
      </c>
      <c r="B154" s="65">
        <v>45845</v>
      </c>
      <c r="C154" s="65"/>
      <c r="D154" s="66">
        <v>2</v>
      </c>
      <c r="E154" s="67">
        <v>112</v>
      </c>
      <c r="F154" s="67">
        <v>112</v>
      </c>
      <c r="G154" s="67">
        <v>0</v>
      </c>
      <c r="H154" s="67">
        <v>0</v>
      </c>
      <c r="I154" s="67"/>
      <c r="J154" s="67"/>
      <c r="K154" s="67"/>
      <c r="L154" s="67"/>
      <c r="M154" s="67" t="s">
        <v>19</v>
      </c>
      <c r="N154" s="67" t="s">
        <v>25</v>
      </c>
      <c r="O154" s="65">
        <v>45845</v>
      </c>
      <c r="P154" s="67"/>
    </row>
    <row r="155" spans="1:16">
      <c r="A155" s="75" t="s">
        <v>104</v>
      </c>
      <c r="B155" s="65" t="s">
        <v>91</v>
      </c>
      <c r="C155" s="65"/>
      <c r="D155" s="66">
        <v>1</v>
      </c>
      <c r="E155" s="67">
        <v>3</v>
      </c>
      <c r="F155" s="67">
        <v>3</v>
      </c>
      <c r="G155" s="67">
        <v>0</v>
      </c>
      <c r="H155" s="67">
        <v>0</v>
      </c>
      <c r="I155" s="67"/>
      <c r="J155" s="67"/>
      <c r="K155" s="67"/>
      <c r="L155" s="67"/>
      <c r="M155" s="67" t="s">
        <v>19</v>
      </c>
      <c r="N155" s="67" t="s">
        <v>20</v>
      </c>
      <c r="O155" s="65" t="s">
        <v>91</v>
      </c>
      <c r="P155" s="67"/>
    </row>
    <row r="156" spans="1:16">
      <c r="A156" s="75" t="s">
        <v>105</v>
      </c>
      <c r="B156" s="65">
        <v>45788</v>
      </c>
      <c r="C156" s="65"/>
      <c r="D156" s="66">
        <v>2</v>
      </c>
      <c r="E156" s="67">
        <v>82</v>
      </c>
      <c r="F156" s="67">
        <v>82</v>
      </c>
      <c r="G156" s="67">
        <v>0</v>
      </c>
      <c r="H156" s="67">
        <v>0</v>
      </c>
      <c r="I156" s="67"/>
      <c r="J156" s="67"/>
      <c r="K156" s="67"/>
      <c r="L156" s="67"/>
      <c r="M156" s="67" t="s">
        <v>19</v>
      </c>
      <c r="N156" s="67" t="s">
        <v>20</v>
      </c>
      <c r="O156" s="65">
        <v>45788</v>
      </c>
      <c r="P156" s="67" t="s">
        <v>106</v>
      </c>
    </row>
    <row r="157" spans="1:16">
      <c r="A157" s="75" t="s">
        <v>107</v>
      </c>
      <c r="B157" s="65">
        <v>45804</v>
      </c>
      <c r="C157" s="65"/>
      <c r="D157" s="66">
        <v>2</v>
      </c>
      <c r="E157" s="67">
        <v>202</v>
      </c>
      <c r="F157" s="67">
        <v>202</v>
      </c>
      <c r="G157" s="67">
        <v>0</v>
      </c>
      <c r="H157" s="67">
        <v>0</v>
      </c>
      <c r="I157" s="67"/>
      <c r="J157" s="67"/>
      <c r="K157" s="67"/>
      <c r="L157" s="67"/>
      <c r="M157" s="67" t="s">
        <v>19</v>
      </c>
      <c r="N157" s="67" t="s">
        <v>25</v>
      </c>
      <c r="O157" s="65">
        <v>45804</v>
      </c>
      <c r="P157" s="67"/>
    </row>
    <row r="158" spans="1:16">
      <c r="A158" s="75" t="s">
        <v>108</v>
      </c>
      <c r="B158" s="65"/>
      <c r="C158" s="65"/>
      <c r="D158" s="66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5"/>
      <c r="P158" s="67"/>
    </row>
    <row r="159" spans="1:16">
      <c r="A159" s="75" t="s">
        <v>109</v>
      </c>
      <c r="B159" s="65">
        <v>45816</v>
      </c>
      <c r="C159" s="65"/>
      <c r="D159" s="66">
        <v>2</v>
      </c>
      <c r="E159" s="67">
        <v>220</v>
      </c>
      <c r="F159" s="67">
        <v>220</v>
      </c>
      <c r="G159" s="67">
        <v>0</v>
      </c>
      <c r="H159" s="67">
        <v>0</v>
      </c>
      <c r="I159" s="67"/>
      <c r="J159" s="67"/>
      <c r="K159" s="67"/>
      <c r="L159" s="67"/>
      <c r="M159" s="67" t="s">
        <v>19</v>
      </c>
      <c r="N159" s="67" t="s">
        <v>20</v>
      </c>
      <c r="O159" s="65">
        <v>45816</v>
      </c>
      <c r="P159" s="67"/>
    </row>
    <row r="160" spans="1:16">
      <c r="A160" s="75" t="s">
        <v>110</v>
      </c>
      <c r="B160" s="65">
        <v>45784</v>
      </c>
      <c r="C160" s="65"/>
      <c r="D160" s="66">
        <v>2</v>
      </c>
      <c r="E160" s="67">
        <v>77</v>
      </c>
      <c r="F160" s="67">
        <v>77</v>
      </c>
      <c r="G160" s="67">
        <v>0</v>
      </c>
      <c r="H160" s="67">
        <v>0</v>
      </c>
      <c r="I160" s="67"/>
      <c r="J160" s="67"/>
      <c r="K160" s="67"/>
      <c r="L160" s="67"/>
      <c r="M160" s="67" t="s">
        <v>19</v>
      </c>
      <c r="N160" s="67" t="s">
        <v>20</v>
      </c>
      <c r="O160" s="65">
        <v>45784</v>
      </c>
      <c r="P160" s="67" t="s">
        <v>111</v>
      </c>
    </row>
    <row r="161" spans="1:16">
      <c r="A161" s="75" t="s">
        <v>112</v>
      </c>
      <c r="B161" s="65"/>
      <c r="C161" s="65"/>
      <c r="D161" s="66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5"/>
      <c r="P161" s="67"/>
    </row>
    <row r="162" spans="1:16">
      <c r="A162" s="75" t="s">
        <v>113</v>
      </c>
      <c r="B162" s="65">
        <v>45812</v>
      </c>
      <c r="C162" s="65"/>
      <c r="D162" s="66">
        <v>2</v>
      </c>
      <c r="E162" s="67">
        <v>230</v>
      </c>
      <c r="F162" s="67">
        <v>230</v>
      </c>
      <c r="G162" s="67">
        <v>0</v>
      </c>
      <c r="H162" s="67">
        <v>0</v>
      </c>
      <c r="I162" s="67"/>
      <c r="J162" s="67"/>
      <c r="K162" s="67"/>
      <c r="L162" s="67"/>
      <c r="M162" s="67" t="s">
        <v>19</v>
      </c>
      <c r="N162" s="67" t="s">
        <v>20</v>
      </c>
      <c r="O162" s="65">
        <v>45812</v>
      </c>
      <c r="P162" s="67"/>
    </row>
    <row r="163" spans="1:16">
      <c r="A163" s="75" t="s">
        <v>114</v>
      </c>
      <c r="B163" s="65"/>
      <c r="C163" s="65"/>
      <c r="D163" s="66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5"/>
      <c r="P163" s="67"/>
    </row>
    <row r="164" spans="1:16">
      <c r="A164" s="75" t="s">
        <v>115</v>
      </c>
      <c r="B164" s="65">
        <v>45799</v>
      </c>
      <c r="C164" s="65"/>
      <c r="D164" s="66">
        <v>2</v>
      </c>
      <c r="E164" s="67">
        <v>200</v>
      </c>
      <c r="F164" s="67">
        <v>200</v>
      </c>
      <c r="G164" s="67">
        <v>0</v>
      </c>
      <c r="H164" s="67">
        <v>0</v>
      </c>
      <c r="I164" s="67"/>
      <c r="J164" s="67"/>
      <c r="K164" s="67"/>
      <c r="L164" s="67"/>
      <c r="M164" s="67" t="s">
        <v>19</v>
      </c>
      <c r="N164" s="67" t="s">
        <v>20</v>
      </c>
      <c r="O164" s="65">
        <v>45799</v>
      </c>
      <c r="P164" s="67"/>
    </row>
    <row r="165" spans="1:16">
      <c r="A165" s="75" t="s">
        <v>116</v>
      </c>
      <c r="B165" s="65"/>
      <c r="C165" s="65"/>
      <c r="D165" s="66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5"/>
      <c r="P165" s="67"/>
    </row>
    <row r="166" spans="1:16">
      <c r="A166" s="75">
        <v>91329</v>
      </c>
      <c r="B166" s="65"/>
      <c r="C166" s="65"/>
      <c r="D166" s="66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5"/>
      <c r="P166" s="67"/>
    </row>
    <row r="167" spans="1:16">
      <c r="A167" s="75" t="s">
        <v>117</v>
      </c>
      <c r="B167" s="65"/>
      <c r="C167" s="65"/>
      <c r="D167" s="66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5"/>
      <c r="P167" s="67"/>
    </row>
    <row r="168" spans="1:16">
      <c r="A168" s="75" t="s">
        <v>118</v>
      </c>
      <c r="B168" s="65">
        <v>45785</v>
      </c>
      <c r="C168" s="65"/>
      <c r="D168" s="66">
        <v>2</v>
      </c>
      <c r="E168" s="67">
        <v>80</v>
      </c>
      <c r="F168" s="67">
        <v>80</v>
      </c>
      <c r="G168" s="67">
        <v>0</v>
      </c>
      <c r="H168" s="67">
        <v>0</v>
      </c>
      <c r="I168" s="67"/>
      <c r="J168" s="67"/>
      <c r="K168" s="67"/>
      <c r="L168" s="67"/>
      <c r="M168" s="67" t="s">
        <v>19</v>
      </c>
      <c r="N168" s="67" t="s">
        <v>20</v>
      </c>
      <c r="O168" s="65">
        <v>45785</v>
      </c>
      <c r="P168" s="67" t="s">
        <v>119</v>
      </c>
    </row>
    <row r="169" spans="1:16">
      <c r="A169" s="75" t="s">
        <v>120</v>
      </c>
      <c r="B169" s="65">
        <v>45796</v>
      </c>
      <c r="C169" s="65"/>
      <c r="D169" s="66">
        <v>2</v>
      </c>
      <c r="E169" s="67">
        <v>136</v>
      </c>
      <c r="F169" s="67">
        <v>136</v>
      </c>
      <c r="G169" s="67">
        <v>0</v>
      </c>
      <c r="H169" s="67">
        <v>0</v>
      </c>
      <c r="I169" s="67"/>
      <c r="J169" s="67"/>
      <c r="K169" s="67"/>
      <c r="L169" s="67"/>
      <c r="M169" s="67" t="s">
        <v>19</v>
      </c>
      <c r="N169" s="67" t="s">
        <v>20</v>
      </c>
      <c r="O169" s="65">
        <v>45796</v>
      </c>
      <c r="P169" s="67">
        <v>91335</v>
      </c>
    </row>
    <row r="170" spans="1:16">
      <c r="A170" s="77">
        <v>91337</v>
      </c>
      <c r="B170" s="65"/>
      <c r="C170" s="65"/>
      <c r="D170" s="66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5"/>
      <c r="P170" s="67"/>
    </row>
    <row r="171" spans="1:16">
      <c r="A171" s="75" t="s">
        <v>121</v>
      </c>
      <c r="B171" s="65"/>
      <c r="C171" s="65"/>
      <c r="D171" s="66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5"/>
      <c r="P171" s="67"/>
    </row>
    <row r="172" spans="1:16">
      <c r="A172" s="75">
        <v>91341</v>
      </c>
      <c r="B172" s="65"/>
      <c r="C172" s="65"/>
      <c r="D172" s="66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5"/>
      <c r="P172" s="67"/>
    </row>
    <row r="173" spans="1:16">
      <c r="A173" s="75">
        <v>91343</v>
      </c>
      <c r="B173" s="65"/>
      <c r="C173" s="65"/>
      <c r="D173" s="66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5"/>
      <c r="P173" s="67"/>
    </row>
    <row r="174" spans="1:16">
      <c r="A174" s="75">
        <v>91345</v>
      </c>
      <c r="B174" s="65">
        <v>45816</v>
      </c>
      <c r="C174" s="65"/>
      <c r="D174" s="66">
        <v>2</v>
      </c>
      <c r="E174" s="67">
        <v>64</v>
      </c>
      <c r="F174" s="67">
        <v>64</v>
      </c>
      <c r="G174" s="67">
        <v>0</v>
      </c>
      <c r="H174" s="67">
        <v>0</v>
      </c>
      <c r="I174" s="67"/>
      <c r="J174" s="67"/>
      <c r="K174" s="67"/>
      <c r="L174" s="67"/>
      <c r="M174" s="67" t="s">
        <v>19</v>
      </c>
      <c r="N174" s="67" t="s">
        <v>25</v>
      </c>
      <c r="O174" s="65">
        <v>45816</v>
      </c>
      <c r="P174" s="67"/>
    </row>
    <row r="175" spans="1:16">
      <c r="A175" s="75">
        <v>91347</v>
      </c>
      <c r="B175" s="65"/>
      <c r="C175" s="65"/>
      <c r="D175" s="66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5"/>
      <c r="P175" s="67"/>
    </row>
    <row r="176" spans="1:16">
      <c r="A176" s="75">
        <v>91349</v>
      </c>
      <c r="B176" s="65">
        <v>45803</v>
      </c>
      <c r="C176" s="65"/>
      <c r="D176" s="66">
        <v>2</v>
      </c>
      <c r="E176" s="67">
        <v>98</v>
      </c>
      <c r="F176" s="67">
        <v>98</v>
      </c>
      <c r="G176" s="67">
        <v>0</v>
      </c>
      <c r="H176" s="67">
        <v>0</v>
      </c>
      <c r="I176" s="67"/>
      <c r="J176" s="67"/>
      <c r="K176" s="67"/>
      <c r="L176" s="67"/>
      <c r="M176" s="67" t="s">
        <v>19</v>
      </c>
      <c r="N176" s="67" t="s">
        <v>25</v>
      </c>
      <c r="O176" s="65">
        <v>45803</v>
      </c>
      <c r="P176" s="67"/>
    </row>
    <row r="177" spans="1:16">
      <c r="A177" s="75">
        <v>93002</v>
      </c>
      <c r="B177" s="76">
        <v>45804</v>
      </c>
      <c r="C177" s="76"/>
      <c r="D177" s="66">
        <v>2</v>
      </c>
      <c r="E177" s="67">
        <v>196</v>
      </c>
      <c r="F177" s="67">
        <v>196</v>
      </c>
      <c r="G177" s="67">
        <v>0</v>
      </c>
      <c r="H177" s="67">
        <v>0</v>
      </c>
      <c r="I177" s="67"/>
      <c r="J177" s="67"/>
      <c r="K177" s="67"/>
      <c r="L177" s="67"/>
      <c r="M177" s="67" t="s">
        <v>19</v>
      </c>
      <c r="N177" s="67" t="s">
        <v>20</v>
      </c>
      <c r="O177" s="76">
        <v>45804</v>
      </c>
      <c r="P177" s="67"/>
    </row>
    <row r="178" spans="1:16">
      <c r="A178" s="75">
        <v>93004</v>
      </c>
      <c r="B178" s="65"/>
      <c r="C178" s="65"/>
      <c r="D178" s="66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5"/>
      <c r="P178" s="67"/>
    </row>
    <row r="179" spans="1:16">
      <c r="A179" s="75">
        <v>93006</v>
      </c>
      <c r="B179" s="65">
        <v>45790</v>
      </c>
      <c r="C179" s="65"/>
      <c r="D179" s="66">
        <v>2</v>
      </c>
      <c r="E179" s="67">
        <v>56</v>
      </c>
      <c r="F179" s="67">
        <v>56</v>
      </c>
      <c r="G179" s="67">
        <v>0</v>
      </c>
      <c r="H179" s="67">
        <v>0</v>
      </c>
      <c r="I179" s="67"/>
      <c r="J179" s="67"/>
      <c r="K179" s="67"/>
      <c r="L179" s="67"/>
      <c r="M179" s="67" t="s">
        <v>122</v>
      </c>
      <c r="N179" s="67" t="s">
        <v>20</v>
      </c>
      <c r="O179" s="65">
        <v>45790</v>
      </c>
      <c r="P179" s="67"/>
    </row>
    <row r="180" spans="1:16">
      <c r="A180" s="75">
        <v>93008</v>
      </c>
      <c r="B180" s="65">
        <v>45851</v>
      </c>
      <c r="C180" s="65"/>
      <c r="D180" s="66">
        <v>2</v>
      </c>
      <c r="E180" s="67">
        <v>270</v>
      </c>
      <c r="F180" s="67">
        <v>270</v>
      </c>
      <c r="G180" s="67">
        <v>0</v>
      </c>
      <c r="H180" s="67">
        <v>0</v>
      </c>
      <c r="I180" s="67"/>
      <c r="J180" s="67"/>
      <c r="K180" s="67"/>
      <c r="L180" s="67"/>
      <c r="M180" s="67" t="s">
        <v>19</v>
      </c>
      <c r="N180" s="67" t="s">
        <v>20</v>
      </c>
      <c r="O180" s="65">
        <v>45851</v>
      </c>
      <c r="P180" s="67"/>
    </row>
    <row r="181" spans="1:16">
      <c r="A181" s="75">
        <v>93010</v>
      </c>
      <c r="B181" s="65"/>
      <c r="C181" s="65"/>
      <c r="D181" s="66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5"/>
      <c r="P181" s="67"/>
    </row>
    <row r="182" spans="1:16">
      <c r="A182" s="75">
        <v>93012</v>
      </c>
      <c r="B182" s="65"/>
      <c r="C182" s="65"/>
      <c r="D182" s="66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5"/>
      <c r="P182" s="67"/>
    </row>
    <row r="183" spans="1:16">
      <c r="A183" s="75">
        <v>93014</v>
      </c>
      <c r="B183" s="65">
        <v>45816</v>
      </c>
      <c r="C183" s="65"/>
      <c r="D183" s="66">
        <v>2</v>
      </c>
      <c r="E183" s="67">
        <v>350</v>
      </c>
      <c r="F183" s="67">
        <v>350</v>
      </c>
      <c r="G183" s="67">
        <v>0</v>
      </c>
      <c r="H183" s="67">
        <v>0</v>
      </c>
      <c r="I183" s="67"/>
      <c r="J183" s="67"/>
      <c r="K183" s="67"/>
      <c r="L183" s="67"/>
      <c r="M183" s="67" t="s">
        <v>19</v>
      </c>
      <c r="N183" s="67" t="s">
        <v>25</v>
      </c>
      <c r="O183" s="65">
        <v>45816</v>
      </c>
      <c r="P183" s="67"/>
    </row>
    <row r="184" spans="1:16">
      <c r="A184" s="75">
        <v>93016</v>
      </c>
      <c r="B184" s="65" t="s">
        <v>91</v>
      </c>
      <c r="C184" s="65"/>
      <c r="D184" s="66">
        <v>1</v>
      </c>
      <c r="E184" s="67">
        <v>7</v>
      </c>
      <c r="F184" s="67">
        <v>7</v>
      </c>
      <c r="G184" s="67">
        <v>0</v>
      </c>
      <c r="H184" s="67">
        <v>0</v>
      </c>
      <c r="I184" s="67"/>
      <c r="J184" s="67"/>
      <c r="K184" s="67"/>
      <c r="L184" s="67"/>
      <c r="M184" s="67" t="s">
        <v>19</v>
      </c>
      <c r="N184" s="67" t="s">
        <v>20</v>
      </c>
      <c r="O184" s="65" t="s">
        <v>91</v>
      </c>
      <c r="P184" s="67"/>
    </row>
    <row r="185" spans="1:16">
      <c r="A185" s="75">
        <v>93018</v>
      </c>
      <c r="B185" s="65"/>
      <c r="C185" s="65"/>
      <c r="D185" s="66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5"/>
      <c r="P185" s="67"/>
    </row>
    <row r="186" spans="1:16">
      <c r="A186" s="75">
        <v>93020</v>
      </c>
      <c r="B186" s="65"/>
      <c r="C186" s="65"/>
      <c r="D186" s="66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5"/>
      <c r="P186" s="67"/>
    </row>
    <row r="187" spans="1:16">
      <c r="A187" s="75">
        <v>93022</v>
      </c>
      <c r="B187" s="65"/>
      <c r="C187" s="65"/>
      <c r="D187" s="66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5"/>
      <c r="P187" s="67"/>
    </row>
    <row r="188" spans="1:16">
      <c r="A188" s="75">
        <v>93024</v>
      </c>
      <c r="B188" s="65"/>
      <c r="C188" s="65"/>
      <c r="D188" s="66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5"/>
      <c r="P188" s="67"/>
    </row>
    <row r="189" spans="1:16">
      <c r="A189" s="75">
        <v>93026</v>
      </c>
      <c r="B189" s="65" t="s">
        <v>16</v>
      </c>
      <c r="C189" s="65"/>
      <c r="D189" s="67">
        <v>1</v>
      </c>
      <c r="E189" s="67">
        <v>1</v>
      </c>
      <c r="F189" s="67">
        <v>1</v>
      </c>
      <c r="G189" s="67">
        <v>0</v>
      </c>
      <c r="H189" s="67">
        <v>0</v>
      </c>
      <c r="I189" s="67"/>
      <c r="J189" s="67"/>
      <c r="K189" s="67"/>
      <c r="L189" s="67"/>
      <c r="M189" s="67" t="s">
        <v>17</v>
      </c>
      <c r="N189" s="67" t="s">
        <v>18</v>
      </c>
      <c r="O189" s="65" t="s">
        <v>16</v>
      </c>
      <c r="P189" s="67"/>
    </row>
    <row r="190" spans="1:16">
      <c r="A190" s="75">
        <v>93028</v>
      </c>
      <c r="B190" s="65"/>
      <c r="C190" s="65"/>
      <c r="D190" s="66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5"/>
      <c r="P190" s="67"/>
    </row>
    <row r="191" spans="1:16">
      <c r="A191" s="75">
        <v>93030</v>
      </c>
      <c r="B191" s="65"/>
      <c r="C191" s="65"/>
      <c r="D191" s="66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5"/>
      <c r="P191" s="67"/>
    </row>
    <row r="192" spans="1:16">
      <c r="A192" s="75">
        <v>93032</v>
      </c>
      <c r="B192" s="65"/>
      <c r="C192" s="65"/>
      <c r="D192" s="66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5"/>
      <c r="P192" s="67"/>
    </row>
    <row r="193" spans="1:16">
      <c r="A193" s="75">
        <v>93034</v>
      </c>
      <c r="B193" s="65"/>
      <c r="C193" s="65"/>
      <c r="D193" s="66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5"/>
      <c r="P193" s="67"/>
    </row>
    <row r="194" spans="1:16">
      <c r="A194" s="75">
        <v>93036</v>
      </c>
      <c r="B194" s="65" t="s">
        <v>123</v>
      </c>
      <c r="C194" s="65"/>
      <c r="D194" s="66">
        <v>2</v>
      </c>
      <c r="E194" s="66">
        <v>44</v>
      </c>
      <c r="F194" s="66">
        <v>44</v>
      </c>
      <c r="G194" s="66">
        <v>0</v>
      </c>
      <c r="H194" s="66">
        <v>0</v>
      </c>
      <c r="I194" s="66"/>
      <c r="J194" s="66"/>
      <c r="K194" s="66"/>
      <c r="L194" s="66"/>
      <c r="M194" s="67" t="s">
        <v>17</v>
      </c>
      <c r="N194" s="68" t="s">
        <v>20</v>
      </c>
      <c r="O194" s="65" t="s">
        <v>123</v>
      </c>
      <c r="P194" s="67"/>
    </row>
    <row r="195" spans="1:16">
      <c r="A195" s="75">
        <v>93038</v>
      </c>
      <c r="B195" s="65">
        <v>45832</v>
      </c>
      <c r="C195" s="65"/>
      <c r="D195" s="66">
        <v>2</v>
      </c>
      <c r="E195" s="67">
        <v>100</v>
      </c>
      <c r="F195" s="67">
        <v>100</v>
      </c>
      <c r="G195" s="67">
        <v>0</v>
      </c>
      <c r="H195" s="67">
        <v>0</v>
      </c>
      <c r="I195" s="67"/>
      <c r="J195" s="67"/>
      <c r="K195" s="67"/>
      <c r="L195" s="67"/>
      <c r="M195" s="67" t="s">
        <v>19</v>
      </c>
      <c r="N195" s="67" t="s">
        <v>20</v>
      </c>
      <c r="O195" s="65">
        <v>45832</v>
      </c>
      <c r="P195" s="67"/>
    </row>
    <row r="196" spans="1:16">
      <c r="A196" s="75">
        <v>93040</v>
      </c>
      <c r="B196" s="65">
        <v>45845</v>
      </c>
      <c r="C196" s="65"/>
      <c r="D196" s="66">
        <v>2</v>
      </c>
      <c r="E196" s="67">
        <v>146</v>
      </c>
      <c r="F196" s="67">
        <v>146</v>
      </c>
      <c r="G196" s="67">
        <v>0</v>
      </c>
      <c r="H196" s="67">
        <v>0</v>
      </c>
      <c r="I196" s="67"/>
      <c r="J196" s="67"/>
      <c r="K196" s="67"/>
      <c r="L196" s="67"/>
      <c r="M196" s="67" t="s">
        <v>19</v>
      </c>
      <c r="N196" s="67" t="s">
        <v>20</v>
      </c>
      <c r="O196" s="65">
        <v>45845</v>
      </c>
      <c r="P196" s="67"/>
    </row>
    <row r="197" spans="1:16">
      <c r="A197" s="75">
        <v>93042</v>
      </c>
      <c r="B197" s="65">
        <v>45837</v>
      </c>
      <c r="C197" s="65"/>
      <c r="D197" s="66">
        <v>1</v>
      </c>
      <c r="E197" s="67">
        <v>140</v>
      </c>
      <c r="F197" s="67">
        <v>140</v>
      </c>
      <c r="G197" s="67">
        <v>0</v>
      </c>
      <c r="H197" s="67">
        <v>0</v>
      </c>
      <c r="I197" s="67"/>
      <c r="J197" s="67"/>
      <c r="K197" s="67"/>
      <c r="L197" s="67"/>
      <c r="M197" s="67" t="s">
        <v>19</v>
      </c>
      <c r="N197" s="67" t="s">
        <v>20</v>
      </c>
      <c r="O197" s="65">
        <v>45837</v>
      </c>
      <c r="P197" s="67"/>
    </row>
    <row r="198" spans="1:16">
      <c r="A198" s="75">
        <v>93044</v>
      </c>
      <c r="B198" s="65"/>
      <c r="C198" s="65"/>
      <c r="D198" s="66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5"/>
      <c r="P198" s="67"/>
    </row>
    <row r="199" spans="1:16">
      <c r="A199" s="75">
        <v>93046</v>
      </c>
      <c r="B199" s="65">
        <v>45838</v>
      </c>
      <c r="C199" s="65"/>
      <c r="D199" s="66">
        <v>2</v>
      </c>
      <c r="E199" s="67">
        <v>212</v>
      </c>
      <c r="F199" s="67">
        <v>212</v>
      </c>
      <c r="G199" s="67">
        <v>0</v>
      </c>
      <c r="H199" s="67">
        <v>0</v>
      </c>
      <c r="I199" s="67"/>
      <c r="J199" s="67"/>
      <c r="K199" s="67"/>
      <c r="L199" s="67"/>
      <c r="M199" s="67" t="s">
        <v>19</v>
      </c>
      <c r="N199" s="67" t="s">
        <v>20</v>
      </c>
      <c r="O199" s="65">
        <v>45838</v>
      </c>
      <c r="P199" s="67"/>
    </row>
    <row r="200" spans="1:16">
      <c r="A200" s="75">
        <v>93048</v>
      </c>
      <c r="B200" s="65" t="s">
        <v>124</v>
      </c>
      <c r="C200" s="65"/>
      <c r="D200" s="66">
        <v>2</v>
      </c>
      <c r="E200" s="66">
        <v>40</v>
      </c>
      <c r="F200" s="66">
        <v>40</v>
      </c>
      <c r="G200" s="66">
        <v>0</v>
      </c>
      <c r="H200" s="66">
        <v>0</v>
      </c>
      <c r="I200" s="66"/>
      <c r="J200" s="66"/>
      <c r="K200" s="66"/>
      <c r="L200" s="66"/>
      <c r="M200" s="67" t="s">
        <v>17</v>
      </c>
      <c r="N200" s="68" t="s">
        <v>20</v>
      </c>
      <c r="O200" s="65" t="s">
        <v>124</v>
      </c>
      <c r="P200" s="66"/>
    </row>
    <row r="201" spans="1:16">
      <c r="A201" s="75">
        <v>93050</v>
      </c>
      <c r="B201" s="65">
        <v>45792</v>
      </c>
      <c r="C201" s="65"/>
      <c r="D201" s="40">
        <v>2</v>
      </c>
      <c r="E201" s="67">
        <v>124</v>
      </c>
      <c r="F201" s="67">
        <v>124</v>
      </c>
      <c r="G201" s="67">
        <v>0</v>
      </c>
      <c r="H201" s="67">
        <v>0</v>
      </c>
      <c r="I201" s="67"/>
      <c r="J201" s="67"/>
      <c r="K201" s="67"/>
      <c r="L201" s="67"/>
      <c r="M201" s="67" t="s">
        <v>19</v>
      </c>
      <c r="N201" s="67" t="s">
        <v>20</v>
      </c>
      <c r="O201" s="65">
        <v>45792</v>
      </c>
      <c r="P201" s="67"/>
    </row>
    <row r="202" spans="1:16">
      <c r="A202" s="75">
        <v>93052</v>
      </c>
      <c r="B202" s="65"/>
      <c r="C202" s="65"/>
      <c r="D202" s="66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5"/>
      <c r="P202" s="67"/>
    </row>
    <row r="203" spans="1:16">
      <c r="A203" s="75">
        <v>93054</v>
      </c>
      <c r="B203" s="65">
        <v>45775</v>
      </c>
      <c r="C203" s="65"/>
      <c r="D203" s="67">
        <v>1</v>
      </c>
      <c r="E203" s="67">
        <v>1</v>
      </c>
      <c r="F203" s="67">
        <v>1</v>
      </c>
      <c r="G203" s="67">
        <v>0</v>
      </c>
      <c r="H203" s="67">
        <v>0</v>
      </c>
      <c r="I203" s="67"/>
      <c r="J203" s="67"/>
      <c r="K203" s="67"/>
      <c r="L203" s="67"/>
      <c r="M203" s="67" t="s">
        <v>17</v>
      </c>
      <c r="N203" s="67" t="s">
        <v>18</v>
      </c>
      <c r="O203" s="65">
        <v>45775</v>
      </c>
      <c r="P203" s="67"/>
    </row>
    <row r="204" spans="1:16">
      <c r="A204" s="75">
        <v>93056</v>
      </c>
      <c r="B204" s="65"/>
      <c r="C204" s="65"/>
      <c r="D204" s="66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5"/>
      <c r="P204" s="67"/>
    </row>
    <row r="205" spans="1:16">
      <c r="A205" s="75">
        <v>93058</v>
      </c>
      <c r="B205" s="65">
        <v>45788</v>
      </c>
      <c r="C205" s="65"/>
      <c r="D205" s="66">
        <v>2</v>
      </c>
      <c r="E205" s="67">
        <v>76</v>
      </c>
      <c r="F205" s="67">
        <v>76</v>
      </c>
      <c r="G205" s="67">
        <v>0</v>
      </c>
      <c r="H205" s="67">
        <v>0</v>
      </c>
      <c r="I205" s="67"/>
      <c r="J205" s="67"/>
      <c r="K205" s="67"/>
      <c r="L205" s="67"/>
      <c r="M205" s="67" t="s">
        <v>17</v>
      </c>
      <c r="N205" s="67" t="s">
        <v>20</v>
      </c>
      <c r="O205" s="65">
        <v>45788</v>
      </c>
      <c r="P205" s="67">
        <v>91058</v>
      </c>
    </row>
    <row r="206" spans="1:16">
      <c r="A206" s="75">
        <v>93060</v>
      </c>
      <c r="B206" s="65">
        <v>45851</v>
      </c>
      <c r="C206" s="65"/>
      <c r="D206" s="66">
        <v>2</v>
      </c>
      <c r="E206" s="67">
        <v>270</v>
      </c>
      <c r="F206" s="67">
        <v>270</v>
      </c>
      <c r="G206" s="67">
        <v>0</v>
      </c>
      <c r="H206" s="67">
        <v>0</v>
      </c>
      <c r="I206" s="67"/>
      <c r="J206" s="67"/>
      <c r="K206" s="67"/>
      <c r="L206" s="67"/>
      <c r="M206" s="67" t="s">
        <v>19</v>
      </c>
      <c r="N206" s="67" t="s">
        <v>20</v>
      </c>
      <c r="O206" s="65">
        <v>45851</v>
      </c>
      <c r="P206" s="67"/>
    </row>
    <row r="207" spans="1:16">
      <c r="A207" s="75">
        <v>93062</v>
      </c>
      <c r="B207" s="65">
        <v>45781</v>
      </c>
      <c r="C207" s="65"/>
      <c r="D207" s="66">
        <v>2</v>
      </c>
      <c r="E207" s="67">
        <v>28</v>
      </c>
      <c r="F207" s="67">
        <v>28</v>
      </c>
      <c r="G207" s="67">
        <v>0</v>
      </c>
      <c r="H207" s="67">
        <v>0</v>
      </c>
      <c r="I207" s="67"/>
      <c r="J207" s="67"/>
      <c r="K207" s="67"/>
      <c r="L207" s="67"/>
      <c r="M207" s="67" t="s">
        <v>17</v>
      </c>
      <c r="N207" s="67" t="s">
        <v>20</v>
      </c>
      <c r="O207" s="65">
        <v>45781</v>
      </c>
      <c r="P207" s="67"/>
    </row>
    <row r="208" spans="1:16">
      <c r="A208" s="75">
        <v>93064</v>
      </c>
      <c r="B208" s="65">
        <v>45817</v>
      </c>
      <c r="C208" s="65"/>
      <c r="D208" s="66">
        <v>2</v>
      </c>
      <c r="E208" s="67">
        <v>232</v>
      </c>
      <c r="F208" s="67">
        <v>232</v>
      </c>
      <c r="G208" s="67">
        <v>0</v>
      </c>
      <c r="H208" s="67">
        <v>0</v>
      </c>
      <c r="I208" s="67"/>
      <c r="J208" s="67"/>
      <c r="K208" s="67"/>
      <c r="L208" s="67"/>
      <c r="M208" s="67" t="s">
        <v>19</v>
      </c>
      <c r="N208" s="67" t="s">
        <v>25</v>
      </c>
      <c r="O208" s="65">
        <v>45817</v>
      </c>
      <c r="P208" s="67"/>
    </row>
    <row r="209" spans="1:16">
      <c r="A209" s="75">
        <v>93066</v>
      </c>
      <c r="B209" s="65"/>
      <c r="C209" s="65"/>
      <c r="D209" s="66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5"/>
      <c r="P209" s="67"/>
    </row>
    <row r="210" spans="1:16">
      <c r="A210" s="75">
        <v>93068</v>
      </c>
      <c r="B210" s="65"/>
      <c r="C210" s="65"/>
      <c r="D210" s="66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5"/>
      <c r="P210" s="67"/>
    </row>
    <row r="211" spans="1:16">
      <c r="A211" s="75">
        <v>93070</v>
      </c>
      <c r="B211" s="65"/>
      <c r="C211" s="65"/>
      <c r="D211" s="66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5"/>
      <c r="P211" s="67"/>
    </row>
    <row r="212" spans="1:16">
      <c r="A212" s="75">
        <v>93072</v>
      </c>
      <c r="B212" s="65"/>
      <c r="C212" s="65"/>
      <c r="D212" s="66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5"/>
      <c r="P212" s="67"/>
    </row>
    <row r="213" spans="1:16">
      <c r="A213" s="75">
        <v>93074</v>
      </c>
      <c r="B213" s="65">
        <v>45762</v>
      </c>
      <c r="C213" s="65"/>
      <c r="D213" s="66">
        <v>2</v>
      </c>
      <c r="E213" s="66">
        <v>38</v>
      </c>
      <c r="F213" s="66">
        <v>38</v>
      </c>
      <c r="G213" s="66">
        <v>0</v>
      </c>
      <c r="H213" s="66">
        <v>0</v>
      </c>
      <c r="I213" s="66"/>
      <c r="J213" s="66"/>
      <c r="K213" s="66"/>
      <c r="L213" s="66"/>
      <c r="M213" s="67" t="s">
        <v>17</v>
      </c>
      <c r="N213" s="68" t="s">
        <v>20</v>
      </c>
      <c r="O213" s="65">
        <v>45762</v>
      </c>
      <c r="P213" s="40">
        <v>93074</v>
      </c>
    </row>
    <row r="214" spans="1:16">
      <c r="A214" s="75">
        <v>93076</v>
      </c>
      <c r="B214" s="65">
        <v>45774</v>
      </c>
      <c r="C214" s="65"/>
      <c r="D214" s="66">
        <v>2</v>
      </c>
      <c r="E214" s="67">
        <v>30</v>
      </c>
      <c r="F214" s="67">
        <v>30</v>
      </c>
      <c r="G214" s="67">
        <v>0</v>
      </c>
      <c r="H214" s="67">
        <v>0</v>
      </c>
      <c r="I214" s="67"/>
      <c r="J214" s="67"/>
      <c r="K214" s="67"/>
      <c r="L214" s="67"/>
      <c r="M214" s="67" t="s">
        <v>17</v>
      </c>
      <c r="N214" s="67" t="s">
        <v>20</v>
      </c>
      <c r="O214" s="65">
        <v>45774</v>
      </c>
      <c r="P214" s="67"/>
    </row>
    <row r="215" spans="1:16">
      <c r="A215" s="75">
        <v>93078</v>
      </c>
      <c r="B215" s="65">
        <v>45805</v>
      </c>
      <c r="C215" s="65"/>
      <c r="D215" s="66">
        <v>2</v>
      </c>
      <c r="E215" s="67">
        <v>210</v>
      </c>
      <c r="F215" s="67">
        <v>210</v>
      </c>
      <c r="G215" s="67">
        <v>0</v>
      </c>
      <c r="H215" s="67">
        <v>0</v>
      </c>
      <c r="I215" s="67"/>
      <c r="J215" s="67"/>
      <c r="K215" s="67"/>
      <c r="L215" s="67"/>
      <c r="M215" s="67" t="s">
        <v>19</v>
      </c>
      <c r="N215" s="67" t="s">
        <v>20</v>
      </c>
      <c r="O215" s="65">
        <v>45805</v>
      </c>
      <c r="P215" s="67"/>
    </row>
    <row r="216" spans="1:16">
      <c r="A216" s="75">
        <v>93080</v>
      </c>
      <c r="B216" s="65">
        <v>45805</v>
      </c>
      <c r="C216" s="65"/>
      <c r="D216" s="66">
        <v>2</v>
      </c>
      <c r="E216" s="67">
        <v>150</v>
      </c>
      <c r="F216" s="67">
        <v>150</v>
      </c>
      <c r="G216" s="67">
        <v>0</v>
      </c>
      <c r="H216" s="67">
        <v>0</v>
      </c>
      <c r="I216" s="67"/>
      <c r="J216" s="67"/>
      <c r="K216" s="67"/>
      <c r="L216" s="67"/>
      <c r="M216" s="67" t="s">
        <v>19</v>
      </c>
      <c r="N216" s="67" t="s">
        <v>25</v>
      </c>
      <c r="O216" s="65">
        <v>45805</v>
      </c>
      <c r="P216" s="67"/>
    </row>
    <row r="217" spans="1:16">
      <c r="A217" s="75">
        <v>93082</v>
      </c>
      <c r="B217" s="65"/>
      <c r="C217" s="65"/>
      <c r="D217" s="66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5"/>
      <c r="P217" s="67"/>
    </row>
    <row r="218" spans="1:16">
      <c r="A218" s="75">
        <v>93084</v>
      </c>
      <c r="B218" s="65">
        <v>45776</v>
      </c>
      <c r="C218" s="65"/>
      <c r="D218" s="67">
        <v>2</v>
      </c>
      <c r="E218" s="67">
        <v>22</v>
      </c>
      <c r="F218" s="67">
        <v>22</v>
      </c>
      <c r="G218" s="67">
        <v>0</v>
      </c>
      <c r="H218" s="67">
        <v>0</v>
      </c>
      <c r="I218" s="67"/>
      <c r="J218" s="67"/>
      <c r="K218" s="67"/>
      <c r="L218" s="67"/>
      <c r="M218" s="67" t="s">
        <v>19</v>
      </c>
      <c r="N218" s="67" t="s">
        <v>20</v>
      </c>
      <c r="O218" s="65">
        <v>45776</v>
      </c>
      <c r="P218" s="67"/>
    </row>
    <row r="219" spans="1:16">
      <c r="A219" s="75">
        <v>93086</v>
      </c>
      <c r="B219" s="65">
        <v>45788</v>
      </c>
      <c r="C219" s="65"/>
      <c r="D219" s="66">
        <v>2</v>
      </c>
      <c r="E219" s="67">
        <v>69</v>
      </c>
      <c r="F219" s="67">
        <v>69</v>
      </c>
      <c r="G219" s="67">
        <v>0</v>
      </c>
      <c r="H219" s="67">
        <v>0</v>
      </c>
      <c r="I219" s="67"/>
      <c r="J219" s="67"/>
      <c r="K219" s="67"/>
      <c r="L219" s="67"/>
      <c r="M219" s="67" t="s">
        <v>19</v>
      </c>
      <c r="N219" s="67" t="s">
        <v>20</v>
      </c>
      <c r="O219" s="65">
        <v>45788</v>
      </c>
      <c r="P219" s="67"/>
    </row>
    <row r="220" spans="1:16">
      <c r="A220" s="75">
        <v>93088</v>
      </c>
      <c r="B220" s="65">
        <v>45776</v>
      </c>
      <c r="C220" s="65"/>
      <c r="D220" s="67">
        <v>2</v>
      </c>
      <c r="E220" s="67">
        <v>66</v>
      </c>
      <c r="F220" s="67">
        <v>66</v>
      </c>
      <c r="G220" s="67">
        <v>0</v>
      </c>
      <c r="H220" s="67">
        <v>0</v>
      </c>
      <c r="I220" s="67"/>
      <c r="J220" s="67"/>
      <c r="K220" s="67"/>
      <c r="L220" s="67"/>
      <c r="M220" s="67" t="s">
        <v>19</v>
      </c>
      <c r="N220" s="67" t="s">
        <v>20</v>
      </c>
      <c r="O220" s="65">
        <v>45776</v>
      </c>
      <c r="P220" s="67"/>
    </row>
    <row r="221" spans="1:16">
      <c r="A221" s="75">
        <v>93090</v>
      </c>
      <c r="B221" s="65">
        <v>45825</v>
      </c>
      <c r="C221" s="65"/>
      <c r="D221" s="66">
        <v>2</v>
      </c>
      <c r="E221" s="67">
        <v>106</v>
      </c>
      <c r="F221" s="67">
        <v>106</v>
      </c>
      <c r="G221" s="67">
        <v>0</v>
      </c>
      <c r="H221" s="67">
        <v>0</v>
      </c>
      <c r="I221" s="67"/>
      <c r="J221" s="67"/>
      <c r="K221" s="67"/>
      <c r="L221" s="67"/>
      <c r="M221" s="67" t="s">
        <v>19</v>
      </c>
      <c r="N221" s="67" t="s">
        <v>34</v>
      </c>
      <c r="O221" s="65">
        <v>45825</v>
      </c>
      <c r="P221" s="67"/>
    </row>
    <row r="222" spans="1:16">
      <c r="A222" s="75">
        <v>93092</v>
      </c>
      <c r="B222" s="65">
        <v>45813</v>
      </c>
      <c r="C222" s="65"/>
      <c r="D222" s="66">
        <v>2</v>
      </c>
      <c r="E222" s="67">
        <v>256</v>
      </c>
      <c r="F222" s="67">
        <v>256</v>
      </c>
      <c r="G222" s="67">
        <v>0</v>
      </c>
      <c r="H222" s="67">
        <v>0</v>
      </c>
      <c r="I222" s="67"/>
      <c r="J222" s="67"/>
      <c r="K222" s="67"/>
      <c r="L222" s="67"/>
      <c r="M222" s="67" t="s">
        <v>19</v>
      </c>
      <c r="N222" s="67" t="s">
        <v>20</v>
      </c>
      <c r="O222" s="65">
        <v>45813</v>
      </c>
      <c r="P222" s="67"/>
    </row>
    <row r="223" spans="1:16">
      <c r="A223" s="75">
        <v>93094</v>
      </c>
      <c r="B223" s="65"/>
      <c r="C223" s="65"/>
      <c r="D223" s="66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5"/>
      <c r="P223" s="67"/>
    </row>
    <row r="224" spans="1:16">
      <c r="A224" s="75">
        <v>93096</v>
      </c>
      <c r="B224" s="65">
        <v>45806</v>
      </c>
      <c r="C224" s="65"/>
      <c r="D224" s="67">
        <v>2</v>
      </c>
      <c r="E224" s="67">
        <v>4</v>
      </c>
      <c r="F224" s="67">
        <v>4</v>
      </c>
      <c r="G224" s="67">
        <v>0</v>
      </c>
      <c r="H224" s="67">
        <v>0</v>
      </c>
      <c r="I224" s="67"/>
      <c r="J224" s="67"/>
      <c r="K224" s="67"/>
      <c r="L224" s="67"/>
      <c r="M224" s="67" t="s">
        <v>19</v>
      </c>
      <c r="N224" s="67" t="s">
        <v>20</v>
      </c>
      <c r="O224" s="65">
        <v>45806</v>
      </c>
      <c r="P224" s="67"/>
    </row>
    <row r="225" spans="1:16">
      <c r="A225" s="75">
        <v>93098</v>
      </c>
      <c r="B225" s="65">
        <v>45853</v>
      </c>
      <c r="C225" s="65"/>
      <c r="D225" s="66">
        <v>2</v>
      </c>
      <c r="E225" s="67">
        <v>130</v>
      </c>
      <c r="F225" s="67">
        <v>130</v>
      </c>
      <c r="G225" s="67">
        <v>0</v>
      </c>
      <c r="H225" s="67">
        <v>0</v>
      </c>
      <c r="I225" s="67"/>
      <c r="J225" s="67"/>
      <c r="K225" s="67"/>
      <c r="L225" s="67"/>
      <c r="M225" s="67" t="s">
        <v>19</v>
      </c>
      <c r="N225" s="67" t="s">
        <v>25</v>
      </c>
      <c r="O225" s="65">
        <v>45853</v>
      </c>
      <c r="P225" s="67"/>
    </row>
    <row r="226" spans="1:16">
      <c r="A226" s="77">
        <v>93100</v>
      </c>
      <c r="B226" s="65"/>
      <c r="C226" s="65"/>
      <c r="D226" s="66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5"/>
      <c r="P226" s="67"/>
    </row>
    <row r="227" spans="1:16">
      <c r="A227" s="75">
        <v>93102</v>
      </c>
      <c r="B227" s="65">
        <v>45817</v>
      </c>
      <c r="C227" s="65"/>
      <c r="D227" s="66">
        <v>2</v>
      </c>
      <c r="E227" s="67">
        <v>200</v>
      </c>
      <c r="F227" s="67">
        <v>200</v>
      </c>
      <c r="G227" s="67">
        <v>0</v>
      </c>
      <c r="H227" s="67">
        <v>0</v>
      </c>
      <c r="I227" s="67"/>
      <c r="J227" s="67"/>
      <c r="K227" s="67"/>
      <c r="L227" s="67"/>
      <c r="M227" s="67" t="s">
        <v>19</v>
      </c>
      <c r="N227" s="67" t="s">
        <v>25</v>
      </c>
      <c r="O227" s="65">
        <v>45817</v>
      </c>
      <c r="P227" s="67"/>
    </row>
    <row r="228" spans="1:16">
      <c r="A228" s="75">
        <v>93104</v>
      </c>
      <c r="B228" s="65">
        <v>45831</v>
      </c>
      <c r="C228" s="65"/>
      <c r="D228" s="66">
        <v>1</v>
      </c>
      <c r="E228" s="67">
        <v>70</v>
      </c>
      <c r="F228" s="67">
        <v>70</v>
      </c>
      <c r="G228" s="67">
        <v>0</v>
      </c>
      <c r="H228" s="67">
        <v>0</v>
      </c>
      <c r="I228" s="67" t="s">
        <v>125</v>
      </c>
      <c r="J228" s="67">
        <v>60</v>
      </c>
      <c r="K228" s="67"/>
      <c r="L228" s="67"/>
      <c r="M228" s="67" t="s">
        <v>19</v>
      </c>
      <c r="N228" s="67" t="s">
        <v>34</v>
      </c>
      <c r="O228" s="65">
        <v>45831</v>
      </c>
      <c r="P228" s="67"/>
    </row>
    <row r="229" spans="1:16">
      <c r="A229" s="75">
        <v>93106</v>
      </c>
      <c r="B229" s="65"/>
      <c r="C229" s="65"/>
      <c r="D229" s="66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5"/>
      <c r="P229" s="67"/>
    </row>
    <row r="230" spans="1:16">
      <c r="A230" s="75">
        <v>93108</v>
      </c>
      <c r="B230" s="65">
        <v>45761</v>
      </c>
      <c r="C230" s="65"/>
      <c r="D230" s="66" t="s">
        <v>26</v>
      </c>
      <c r="E230" s="66" t="s">
        <v>126</v>
      </c>
      <c r="F230" s="66" t="s">
        <v>126</v>
      </c>
      <c r="G230" s="66" t="s">
        <v>27</v>
      </c>
      <c r="H230" s="66" t="s">
        <v>27</v>
      </c>
      <c r="I230" s="66"/>
      <c r="J230" s="66"/>
      <c r="K230" s="66"/>
      <c r="L230" s="66"/>
      <c r="M230" s="67" t="s">
        <v>17</v>
      </c>
      <c r="N230" s="68" t="s">
        <v>20</v>
      </c>
      <c r="O230" s="65">
        <v>45761</v>
      </c>
      <c r="P230" s="66"/>
    </row>
    <row r="231" spans="1:16">
      <c r="A231" s="75">
        <v>93110</v>
      </c>
      <c r="B231" s="65"/>
      <c r="C231" s="65"/>
      <c r="D231" s="66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5"/>
      <c r="P231" s="67"/>
    </row>
    <row r="232" spans="1:16">
      <c r="A232" s="75">
        <v>93112</v>
      </c>
      <c r="B232" s="65">
        <v>45775</v>
      </c>
      <c r="C232" s="65"/>
      <c r="D232" s="66">
        <v>2</v>
      </c>
      <c r="E232" s="67">
        <v>32</v>
      </c>
      <c r="F232" s="67">
        <v>32</v>
      </c>
      <c r="G232" s="67">
        <v>0</v>
      </c>
      <c r="H232" s="67">
        <v>0</v>
      </c>
      <c r="I232" s="67"/>
      <c r="J232" s="67"/>
      <c r="K232" s="67"/>
      <c r="L232" s="67"/>
      <c r="M232" s="67" t="s">
        <v>19</v>
      </c>
      <c r="N232" s="67" t="s">
        <v>20</v>
      </c>
      <c r="O232" s="65">
        <v>45775</v>
      </c>
      <c r="P232" s="67"/>
    </row>
    <row r="233" spans="1:16">
      <c r="A233" s="75">
        <v>93114</v>
      </c>
      <c r="B233" s="65" t="s">
        <v>49</v>
      </c>
      <c r="C233" s="65"/>
      <c r="D233" s="66">
        <v>2</v>
      </c>
      <c r="E233" s="67">
        <v>202</v>
      </c>
      <c r="F233" s="67">
        <v>205</v>
      </c>
      <c r="G233" s="67">
        <v>0</v>
      </c>
      <c r="H233" s="67">
        <v>0</v>
      </c>
      <c r="I233" s="67"/>
      <c r="J233" s="67"/>
      <c r="K233" s="67"/>
      <c r="L233" s="67"/>
      <c r="M233" s="67" t="s">
        <v>19</v>
      </c>
      <c r="N233" s="67" t="s">
        <v>53</v>
      </c>
      <c r="O233" s="65" t="s">
        <v>49</v>
      </c>
      <c r="P233" s="67"/>
    </row>
    <row r="234" spans="1:16">
      <c r="A234" s="75">
        <v>93116</v>
      </c>
      <c r="B234" s="65" t="s">
        <v>49</v>
      </c>
      <c r="C234" s="65"/>
      <c r="D234" s="66">
        <v>2</v>
      </c>
      <c r="E234" s="67">
        <v>212</v>
      </c>
      <c r="F234" s="67">
        <v>212</v>
      </c>
      <c r="G234" s="67">
        <v>0</v>
      </c>
      <c r="H234" s="67">
        <v>0</v>
      </c>
      <c r="I234" s="67"/>
      <c r="J234" s="67"/>
      <c r="K234" s="67"/>
      <c r="L234" s="67"/>
      <c r="M234" s="67" t="s">
        <v>19</v>
      </c>
      <c r="N234" s="67" t="s">
        <v>20</v>
      </c>
      <c r="O234" s="65" t="s">
        <v>49</v>
      </c>
      <c r="P234" s="67"/>
    </row>
    <row r="235" spans="1:16">
      <c r="A235" s="75">
        <v>93118</v>
      </c>
      <c r="B235" s="65">
        <v>45809</v>
      </c>
      <c r="C235" s="65"/>
      <c r="D235" s="66">
        <v>2</v>
      </c>
      <c r="E235" s="67">
        <v>108</v>
      </c>
      <c r="F235" s="67">
        <v>108</v>
      </c>
      <c r="G235" s="67">
        <v>0</v>
      </c>
      <c r="H235" s="67">
        <v>0</v>
      </c>
      <c r="I235" s="67"/>
      <c r="J235" s="67"/>
      <c r="K235" s="67"/>
      <c r="L235" s="67"/>
      <c r="M235" s="67" t="s">
        <v>19</v>
      </c>
      <c r="N235" s="67" t="s">
        <v>20</v>
      </c>
      <c r="O235" s="65">
        <v>45809</v>
      </c>
      <c r="P235" s="67"/>
    </row>
    <row r="236" spans="1:16">
      <c r="A236" s="75">
        <v>93120</v>
      </c>
      <c r="B236" s="65">
        <v>45834</v>
      </c>
      <c r="C236" s="65"/>
      <c r="D236" s="66">
        <v>2</v>
      </c>
      <c r="E236" s="67">
        <v>200</v>
      </c>
      <c r="F236" s="67">
        <v>200</v>
      </c>
      <c r="G236" s="67">
        <v>0</v>
      </c>
      <c r="H236" s="67">
        <v>0</v>
      </c>
      <c r="I236" s="67"/>
      <c r="J236" s="67"/>
      <c r="K236" s="67"/>
      <c r="L236" s="67"/>
      <c r="M236" s="67" t="s">
        <v>19</v>
      </c>
      <c r="N236" s="67" t="s">
        <v>25</v>
      </c>
      <c r="O236" s="65">
        <v>45834</v>
      </c>
      <c r="P236" s="67"/>
    </row>
    <row r="237" spans="1:16">
      <c r="A237" s="75">
        <v>93122</v>
      </c>
      <c r="B237" s="65"/>
      <c r="C237" s="65"/>
      <c r="D237" s="66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5"/>
      <c r="P237" s="67"/>
    </row>
    <row r="238" spans="1:16">
      <c r="A238" s="75">
        <v>93124</v>
      </c>
      <c r="B238" s="65"/>
      <c r="C238" s="65"/>
      <c r="D238" s="66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5"/>
      <c r="P238" s="67"/>
    </row>
    <row r="239" spans="1:16">
      <c r="A239" s="75">
        <v>93126</v>
      </c>
      <c r="B239" s="65"/>
      <c r="C239" s="65"/>
      <c r="D239" s="66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5"/>
      <c r="P239" s="67"/>
    </row>
    <row r="240" spans="1:16">
      <c r="A240" s="75">
        <v>93128</v>
      </c>
      <c r="B240" s="65">
        <v>45771</v>
      </c>
      <c r="C240" s="65"/>
      <c r="D240" s="66">
        <v>2</v>
      </c>
      <c r="E240" s="66">
        <v>48</v>
      </c>
      <c r="F240" s="66">
        <v>48</v>
      </c>
      <c r="G240" s="66">
        <v>0</v>
      </c>
      <c r="H240" s="66">
        <v>0</v>
      </c>
      <c r="I240" s="66"/>
      <c r="J240" s="66"/>
      <c r="K240" s="66"/>
      <c r="L240" s="66"/>
      <c r="M240" s="67" t="s">
        <v>17</v>
      </c>
      <c r="N240" s="68" t="s">
        <v>20</v>
      </c>
      <c r="O240" s="65">
        <v>45771</v>
      </c>
      <c r="P240" s="67">
        <v>92128</v>
      </c>
    </row>
    <row r="241" spans="1:16">
      <c r="A241" s="75">
        <v>93130</v>
      </c>
      <c r="B241" s="65">
        <v>45826</v>
      </c>
      <c r="C241" s="65"/>
      <c r="D241" s="66">
        <v>2</v>
      </c>
      <c r="E241" s="67">
        <v>270</v>
      </c>
      <c r="F241" s="67">
        <v>270</v>
      </c>
      <c r="G241" s="67">
        <v>0</v>
      </c>
      <c r="H241" s="67">
        <v>0</v>
      </c>
      <c r="I241" s="67"/>
      <c r="J241" s="67"/>
      <c r="K241" s="67"/>
      <c r="L241" s="67"/>
      <c r="M241" s="67" t="s">
        <v>19</v>
      </c>
      <c r="N241" s="67" t="s">
        <v>34</v>
      </c>
      <c r="O241" s="65">
        <v>45826</v>
      </c>
      <c r="P241" s="67"/>
    </row>
    <row r="242" spans="1:16">
      <c r="A242" s="75">
        <v>93132</v>
      </c>
      <c r="B242" s="65">
        <v>45774</v>
      </c>
      <c r="C242" s="65"/>
      <c r="D242" s="66">
        <v>2</v>
      </c>
      <c r="E242" s="67">
        <v>36</v>
      </c>
      <c r="F242" s="67">
        <v>36</v>
      </c>
      <c r="G242" s="67">
        <v>0</v>
      </c>
      <c r="H242" s="67">
        <v>0</v>
      </c>
      <c r="I242" s="67"/>
      <c r="J242" s="67"/>
      <c r="K242" s="67"/>
      <c r="L242" s="67"/>
      <c r="M242" s="67" t="s">
        <v>17</v>
      </c>
      <c r="N242" s="67" t="s">
        <v>20</v>
      </c>
      <c r="O242" s="65">
        <v>45774</v>
      </c>
      <c r="P242" s="67"/>
    </row>
    <row r="243" spans="1:16">
      <c r="A243" s="75">
        <v>93134</v>
      </c>
      <c r="B243" s="65">
        <v>45831</v>
      </c>
      <c r="C243" s="65"/>
      <c r="D243" s="66">
        <v>2</v>
      </c>
      <c r="E243" s="67">
        <v>100</v>
      </c>
      <c r="F243" s="67">
        <v>100</v>
      </c>
      <c r="G243" s="67">
        <v>0</v>
      </c>
      <c r="H243" s="67">
        <v>0</v>
      </c>
      <c r="I243" s="67"/>
      <c r="J243" s="67"/>
      <c r="K243" s="67"/>
      <c r="L243" s="67"/>
      <c r="M243" s="67" t="s">
        <v>19</v>
      </c>
      <c r="N243" s="67" t="s">
        <v>34</v>
      </c>
      <c r="O243" s="65">
        <v>45831</v>
      </c>
      <c r="P243" s="67"/>
    </row>
    <row r="244" spans="1:16">
      <c r="A244" s="75">
        <v>93136</v>
      </c>
      <c r="B244" s="65"/>
      <c r="C244" s="65"/>
      <c r="D244" s="66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5"/>
      <c r="P244" s="67"/>
    </row>
    <row r="245" spans="1:16">
      <c r="A245" s="75">
        <v>93138</v>
      </c>
      <c r="B245" s="65">
        <v>45833</v>
      </c>
      <c r="C245" s="65"/>
      <c r="D245" s="66">
        <v>2</v>
      </c>
      <c r="E245" s="67">
        <v>110</v>
      </c>
      <c r="F245" s="67">
        <v>110</v>
      </c>
      <c r="G245" s="67">
        <v>0</v>
      </c>
      <c r="H245" s="67">
        <v>0</v>
      </c>
      <c r="I245" s="67"/>
      <c r="J245" s="67"/>
      <c r="K245" s="67"/>
      <c r="L245" s="67"/>
      <c r="M245" s="67" t="s">
        <v>19</v>
      </c>
      <c r="N245" s="67" t="s">
        <v>20</v>
      </c>
      <c r="O245" s="65">
        <v>45833</v>
      </c>
      <c r="P245" s="67"/>
    </row>
    <row r="246" spans="1:16">
      <c r="A246" s="75">
        <v>93140</v>
      </c>
      <c r="B246" s="65" t="s">
        <v>33</v>
      </c>
      <c r="C246" s="65"/>
      <c r="D246" s="66">
        <v>2</v>
      </c>
      <c r="E246" s="67">
        <v>103</v>
      </c>
      <c r="F246" s="67">
        <v>103</v>
      </c>
      <c r="G246" s="67">
        <v>0</v>
      </c>
      <c r="H246" s="67">
        <v>0</v>
      </c>
      <c r="I246" s="67"/>
      <c r="J246" s="67"/>
      <c r="K246" s="67"/>
      <c r="L246" s="67"/>
      <c r="M246" s="67" t="s">
        <v>19</v>
      </c>
      <c r="N246" s="67" t="s">
        <v>25</v>
      </c>
      <c r="O246" s="65" t="s">
        <v>33</v>
      </c>
      <c r="P246" s="67"/>
    </row>
    <row r="247" spans="1:16">
      <c r="A247" s="75">
        <v>93142</v>
      </c>
      <c r="B247" s="65"/>
      <c r="C247" s="65"/>
      <c r="D247" s="66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5"/>
      <c r="P247" s="67"/>
    </row>
    <row r="248" spans="1:16">
      <c r="A248" s="75">
        <v>93144</v>
      </c>
      <c r="B248" s="65">
        <v>45846</v>
      </c>
      <c r="C248" s="65"/>
      <c r="D248" s="66">
        <v>2</v>
      </c>
      <c r="E248" s="67">
        <v>248</v>
      </c>
      <c r="F248" s="67">
        <v>248</v>
      </c>
      <c r="G248" s="67">
        <v>0</v>
      </c>
      <c r="H248" s="67">
        <v>0</v>
      </c>
      <c r="I248" s="67"/>
      <c r="J248" s="67"/>
      <c r="K248" s="67"/>
      <c r="L248" s="67"/>
      <c r="M248" s="67" t="s">
        <v>19</v>
      </c>
      <c r="N248" s="67" t="s">
        <v>20</v>
      </c>
      <c r="O248" s="65">
        <v>45846</v>
      </c>
      <c r="P248" s="67"/>
    </row>
    <row r="249" spans="1:16">
      <c r="A249" s="75">
        <v>93146</v>
      </c>
      <c r="B249" s="65">
        <v>45789</v>
      </c>
      <c r="C249" s="65"/>
      <c r="D249" s="67">
        <v>2</v>
      </c>
      <c r="E249" s="67">
        <v>68</v>
      </c>
      <c r="F249" s="67">
        <v>68</v>
      </c>
      <c r="G249" s="67">
        <v>0</v>
      </c>
      <c r="H249" s="67">
        <v>0</v>
      </c>
      <c r="I249" s="67"/>
      <c r="J249" s="67"/>
      <c r="K249" s="67"/>
      <c r="L249" s="67"/>
      <c r="M249" s="67" t="s">
        <v>19</v>
      </c>
      <c r="N249" s="67" t="s">
        <v>20</v>
      </c>
      <c r="O249" s="65">
        <v>45789</v>
      </c>
      <c r="P249" s="67"/>
    </row>
    <row r="250" spans="1:16">
      <c r="A250" s="75">
        <v>93148</v>
      </c>
      <c r="B250" s="65"/>
      <c r="C250" s="65"/>
      <c r="D250" s="66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5"/>
      <c r="P250" s="67"/>
    </row>
    <row r="251" spans="1:16">
      <c r="A251" s="75">
        <v>93150</v>
      </c>
      <c r="B251" s="65">
        <v>45825</v>
      </c>
      <c r="C251" s="65"/>
      <c r="D251" s="66">
        <v>2</v>
      </c>
      <c r="E251" s="67">
        <v>130</v>
      </c>
      <c r="F251" s="67">
        <v>130</v>
      </c>
      <c r="G251" s="67">
        <v>0</v>
      </c>
      <c r="H251" s="67">
        <v>0</v>
      </c>
      <c r="I251" s="67"/>
      <c r="J251" s="67"/>
      <c r="K251" s="67"/>
      <c r="L251" s="67"/>
      <c r="M251" s="67" t="s">
        <v>19</v>
      </c>
      <c r="N251" s="67" t="s">
        <v>34</v>
      </c>
      <c r="O251" s="65">
        <v>45825</v>
      </c>
      <c r="P251" s="67"/>
    </row>
    <row r="252" spans="1:16">
      <c r="A252" s="75">
        <v>93152</v>
      </c>
      <c r="B252" s="65">
        <v>45812</v>
      </c>
      <c r="C252" s="65"/>
      <c r="D252" s="66">
        <v>2</v>
      </c>
      <c r="E252" s="67">
        <v>250</v>
      </c>
      <c r="F252" s="67">
        <v>250</v>
      </c>
      <c r="G252" s="67">
        <v>0</v>
      </c>
      <c r="H252" s="67">
        <v>0</v>
      </c>
      <c r="I252" s="67"/>
      <c r="J252" s="67"/>
      <c r="K252" s="67"/>
      <c r="L252" s="67"/>
      <c r="M252" s="67" t="s">
        <v>19</v>
      </c>
      <c r="N252" s="67" t="s">
        <v>34</v>
      </c>
      <c r="O252" s="65">
        <v>45812</v>
      </c>
      <c r="P252" s="67"/>
    </row>
    <row r="253" spans="1:16">
      <c r="A253" s="75">
        <v>93154</v>
      </c>
      <c r="B253" s="65"/>
      <c r="C253" s="65"/>
      <c r="D253" s="66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5"/>
      <c r="P253" s="67"/>
    </row>
    <row r="254" spans="1:16">
      <c r="A254" s="75">
        <v>93156</v>
      </c>
      <c r="B254" s="65">
        <v>45806</v>
      </c>
      <c r="C254" s="65"/>
      <c r="D254" s="67">
        <v>2</v>
      </c>
      <c r="E254" s="67">
        <v>12</v>
      </c>
      <c r="F254" s="67">
        <v>12</v>
      </c>
      <c r="G254" s="67">
        <v>0</v>
      </c>
      <c r="H254" s="67">
        <v>0</v>
      </c>
      <c r="I254" s="67"/>
      <c r="J254" s="67"/>
      <c r="K254" s="67"/>
      <c r="L254" s="67"/>
      <c r="M254" s="67" t="s">
        <v>19</v>
      </c>
      <c r="N254" s="67" t="s">
        <v>25</v>
      </c>
      <c r="O254" s="65">
        <v>45806</v>
      </c>
      <c r="P254" s="67"/>
    </row>
    <row r="255" spans="1:16">
      <c r="A255" s="75">
        <v>93158</v>
      </c>
      <c r="B255" s="65"/>
      <c r="C255" s="65"/>
      <c r="D255" s="66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5"/>
      <c r="P255" s="67"/>
    </row>
    <row r="256" spans="1:16">
      <c r="A256" s="75">
        <v>93160</v>
      </c>
      <c r="B256" s="65">
        <v>45796</v>
      </c>
      <c r="C256" s="65"/>
      <c r="D256" s="66">
        <v>2</v>
      </c>
      <c r="E256" s="67">
        <v>102</v>
      </c>
      <c r="F256" s="67">
        <v>102</v>
      </c>
      <c r="G256" s="67">
        <v>0</v>
      </c>
      <c r="H256" s="67">
        <v>0</v>
      </c>
      <c r="I256" s="67"/>
      <c r="J256" s="67"/>
      <c r="K256" s="67"/>
      <c r="L256" s="67"/>
      <c r="M256" s="67" t="s">
        <v>19</v>
      </c>
      <c r="N256" s="67" t="s">
        <v>20</v>
      </c>
      <c r="O256" s="65">
        <v>45796</v>
      </c>
      <c r="P256" s="67">
        <v>92160</v>
      </c>
    </row>
    <row r="257" spans="1:16">
      <c r="A257" s="75">
        <v>93162</v>
      </c>
      <c r="B257" s="65"/>
      <c r="C257" s="65"/>
      <c r="D257" s="66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5"/>
      <c r="P257" s="67"/>
    </row>
    <row r="258" spans="1:16">
      <c r="A258" s="75">
        <v>93164</v>
      </c>
      <c r="B258" s="65">
        <v>45775</v>
      </c>
      <c r="C258" s="65"/>
      <c r="D258" s="66">
        <v>2</v>
      </c>
      <c r="E258" s="67">
        <v>30</v>
      </c>
      <c r="F258" s="67">
        <v>30</v>
      </c>
      <c r="G258" s="67">
        <v>0</v>
      </c>
      <c r="H258" s="67">
        <v>0</v>
      </c>
      <c r="I258" s="67"/>
      <c r="J258" s="67"/>
      <c r="K258" s="67"/>
      <c r="L258" s="67"/>
      <c r="M258" s="67" t="s">
        <v>19</v>
      </c>
      <c r="N258" s="67" t="s">
        <v>20</v>
      </c>
      <c r="O258" s="65">
        <v>45775</v>
      </c>
      <c r="P258" s="67" t="s">
        <v>127</v>
      </c>
    </row>
    <row r="259" spans="1:16">
      <c r="A259" s="75">
        <v>93166</v>
      </c>
      <c r="B259" s="65"/>
      <c r="C259" s="65"/>
      <c r="D259" s="66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5"/>
      <c r="P259" s="67"/>
    </row>
    <row r="260" spans="1:16">
      <c r="A260" s="75">
        <v>93168</v>
      </c>
      <c r="B260" s="65"/>
      <c r="C260" s="65"/>
      <c r="D260" s="66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5"/>
      <c r="P260" s="67"/>
    </row>
    <row r="261" spans="1:16">
      <c r="A261" s="75">
        <v>93170</v>
      </c>
      <c r="B261" s="65"/>
      <c r="C261" s="65"/>
      <c r="D261" s="66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5"/>
      <c r="P261" s="67"/>
    </row>
    <row r="262" spans="1:16">
      <c r="A262" s="75">
        <v>93172</v>
      </c>
      <c r="B262" s="65"/>
      <c r="C262" s="65"/>
      <c r="D262" s="66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5"/>
      <c r="P262" s="67"/>
    </row>
    <row r="263" spans="1:16">
      <c r="A263" s="75">
        <v>93174</v>
      </c>
      <c r="B263" s="65">
        <v>45796</v>
      </c>
      <c r="C263" s="65"/>
      <c r="D263" s="66">
        <v>2</v>
      </c>
      <c r="E263" s="67">
        <v>121</v>
      </c>
      <c r="F263" s="67">
        <v>121</v>
      </c>
      <c r="G263" s="67">
        <v>0</v>
      </c>
      <c r="H263" s="67">
        <v>0</v>
      </c>
      <c r="I263" s="67"/>
      <c r="J263" s="67"/>
      <c r="K263" s="67"/>
      <c r="L263" s="67"/>
      <c r="M263" s="67" t="s">
        <v>19</v>
      </c>
      <c r="N263" s="67" t="s">
        <v>20</v>
      </c>
      <c r="O263" s="65">
        <v>45796</v>
      </c>
      <c r="P263" s="67"/>
    </row>
    <row r="264" spans="1:16">
      <c r="A264" s="75">
        <v>93176</v>
      </c>
      <c r="B264" s="65">
        <v>45775</v>
      </c>
      <c r="C264" s="65"/>
      <c r="D264" s="67">
        <v>1</v>
      </c>
      <c r="E264" s="67">
        <v>1</v>
      </c>
      <c r="F264" s="67">
        <v>1</v>
      </c>
      <c r="G264" s="67">
        <v>0</v>
      </c>
      <c r="H264" s="67">
        <v>0</v>
      </c>
      <c r="I264" s="67"/>
      <c r="J264" s="67"/>
      <c r="K264" s="67"/>
      <c r="L264" s="67"/>
      <c r="M264" s="67" t="s">
        <v>17</v>
      </c>
      <c r="N264" s="67" t="s">
        <v>18</v>
      </c>
      <c r="O264" s="65">
        <v>45775</v>
      </c>
      <c r="P264" s="67"/>
    </row>
    <row r="265" spans="1:16">
      <c r="A265" s="75">
        <v>93178</v>
      </c>
      <c r="B265" s="65">
        <v>45806</v>
      </c>
      <c r="C265" s="65"/>
      <c r="D265" s="67">
        <v>2</v>
      </c>
      <c r="E265" s="67">
        <v>12</v>
      </c>
      <c r="F265" s="67">
        <v>12</v>
      </c>
      <c r="G265" s="67">
        <v>0</v>
      </c>
      <c r="H265" s="67">
        <v>0</v>
      </c>
      <c r="I265" s="67"/>
      <c r="J265" s="67"/>
      <c r="K265" s="67"/>
      <c r="L265" s="67"/>
      <c r="M265" s="67" t="s">
        <v>19</v>
      </c>
      <c r="N265" s="67" t="s">
        <v>25</v>
      </c>
      <c r="O265" s="65">
        <v>45806</v>
      </c>
      <c r="P265" s="67"/>
    </row>
    <row r="266" spans="1:16">
      <c r="A266" s="75">
        <v>93180</v>
      </c>
      <c r="B266" s="65">
        <v>45806</v>
      </c>
      <c r="C266" s="65"/>
      <c r="D266" s="66">
        <v>2</v>
      </c>
      <c r="E266" s="67">
        <v>146</v>
      </c>
      <c r="F266" s="67">
        <v>146</v>
      </c>
      <c r="G266" s="67">
        <v>0</v>
      </c>
      <c r="H266" s="67">
        <v>0</v>
      </c>
      <c r="I266" s="67"/>
      <c r="J266" s="67"/>
      <c r="K266" s="67"/>
      <c r="L266" s="67"/>
      <c r="M266" s="67" t="s">
        <v>19</v>
      </c>
      <c r="N266" s="67" t="s">
        <v>25</v>
      </c>
      <c r="O266" s="65">
        <v>45806</v>
      </c>
      <c r="P266" s="67"/>
    </row>
    <row r="267" spans="1:16">
      <c r="A267" s="75">
        <v>93182</v>
      </c>
      <c r="B267" s="65"/>
      <c r="C267" s="65"/>
      <c r="D267" s="66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5"/>
      <c r="P267" s="67"/>
    </row>
    <row r="268" spans="1:16">
      <c r="A268" s="75">
        <v>93184</v>
      </c>
      <c r="B268" s="65">
        <v>45810</v>
      </c>
      <c r="C268" s="65"/>
      <c r="D268" s="66">
        <v>2</v>
      </c>
      <c r="E268" s="67">
        <v>150</v>
      </c>
      <c r="F268" s="67">
        <v>150</v>
      </c>
      <c r="G268" s="67">
        <v>0</v>
      </c>
      <c r="H268" s="67">
        <v>0</v>
      </c>
      <c r="I268" s="67"/>
      <c r="J268" s="67"/>
      <c r="K268" s="67"/>
      <c r="L268" s="67"/>
      <c r="M268" s="67" t="s">
        <v>19</v>
      </c>
      <c r="N268" s="67" t="s">
        <v>20</v>
      </c>
      <c r="O268" s="65">
        <v>45810</v>
      </c>
      <c r="P268" s="67"/>
    </row>
    <row r="269" spans="1:16">
      <c r="A269" s="75">
        <v>93186</v>
      </c>
      <c r="B269" s="65">
        <v>45813</v>
      </c>
      <c r="C269" s="65"/>
      <c r="D269" s="66">
        <v>2</v>
      </c>
      <c r="E269" s="67">
        <v>252</v>
      </c>
      <c r="F269" s="67">
        <v>252</v>
      </c>
      <c r="G269" s="67">
        <v>0</v>
      </c>
      <c r="H269" s="67">
        <v>0</v>
      </c>
      <c r="I269" s="67"/>
      <c r="J269" s="67"/>
      <c r="K269" s="67"/>
      <c r="L269" s="67"/>
      <c r="M269" s="67" t="s">
        <v>19</v>
      </c>
      <c r="N269" s="67" t="s">
        <v>25</v>
      </c>
      <c r="O269" s="65">
        <v>45813</v>
      </c>
      <c r="P269" s="67"/>
    </row>
    <row r="270" spans="1:16">
      <c r="A270" s="75">
        <v>93188</v>
      </c>
      <c r="B270" s="65"/>
      <c r="C270" s="65"/>
      <c r="D270" s="66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5"/>
      <c r="P270" s="67"/>
    </row>
    <row r="271" spans="1:16">
      <c r="A271" s="75">
        <v>93190</v>
      </c>
      <c r="B271" s="65" t="s">
        <v>123</v>
      </c>
      <c r="C271" s="65"/>
      <c r="D271" s="66">
        <v>2</v>
      </c>
      <c r="E271" s="66">
        <v>33</v>
      </c>
      <c r="F271" s="66">
        <v>33</v>
      </c>
      <c r="G271" s="66">
        <v>0</v>
      </c>
      <c r="H271" s="66">
        <v>0</v>
      </c>
      <c r="I271" s="66"/>
      <c r="J271" s="66"/>
      <c r="K271" s="66"/>
      <c r="L271" s="66"/>
      <c r="M271" s="67" t="s">
        <v>17</v>
      </c>
      <c r="N271" s="68" t="s">
        <v>20</v>
      </c>
      <c r="O271" s="65" t="s">
        <v>123</v>
      </c>
      <c r="P271" s="67"/>
    </row>
    <row r="272" spans="1:16">
      <c r="A272" s="75">
        <v>93192</v>
      </c>
      <c r="B272" s="65"/>
      <c r="C272" s="65"/>
      <c r="D272" s="66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5"/>
      <c r="P272" s="67"/>
    </row>
    <row r="273" spans="1:16">
      <c r="A273" s="75">
        <v>93194</v>
      </c>
      <c r="B273" s="65">
        <v>45788</v>
      </c>
      <c r="C273" s="65"/>
      <c r="D273" s="66">
        <v>2</v>
      </c>
      <c r="E273" s="67">
        <v>88</v>
      </c>
      <c r="F273" s="67">
        <v>88</v>
      </c>
      <c r="G273" s="67">
        <v>0</v>
      </c>
      <c r="H273" s="67">
        <v>0</v>
      </c>
      <c r="I273" s="67"/>
      <c r="J273" s="67"/>
      <c r="K273" s="67"/>
      <c r="L273" s="67"/>
      <c r="M273" s="67" t="s">
        <v>19</v>
      </c>
      <c r="N273" s="67" t="s">
        <v>20</v>
      </c>
      <c r="O273" s="65">
        <v>45788</v>
      </c>
      <c r="P273" s="67"/>
    </row>
    <row r="274" spans="1:16">
      <c r="A274" s="75">
        <v>93196</v>
      </c>
      <c r="B274" s="65">
        <v>45785</v>
      </c>
      <c r="C274" s="65"/>
      <c r="D274" s="66">
        <v>2</v>
      </c>
      <c r="E274" s="67">
        <v>76</v>
      </c>
      <c r="F274" s="67">
        <v>76</v>
      </c>
      <c r="G274" s="67">
        <v>0</v>
      </c>
      <c r="H274" s="67">
        <v>0</v>
      </c>
      <c r="I274" s="67"/>
      <c r="J274" s="67"/>
      <c r="K274" s="67"/>
      <c r="L274" s="67"/>
      <c r="M274" s="67" t="s">
        <v>19</v>
      </c>
      <c r="N274" s="67" t="s">
        <v>20</v>
      </c>
      <c r="O274" s="65">
        <v>45785</v>
      </c>
      <c r="P274" s="67"/>
    </row>
    <row r="275" spans="1:16">
      <c r="A275" s="75">
        <v>93198</v>
      </c>
      <c r="B275" s="65">
        <v>45778</v>
      </c>
      <c r="C275" s="65"/>
      <c r="D275" s="66">
        <v>2</v>
      </c>
      <c r="E275" s="67">
        <v>48</v>
      </c>
      <c r="F275" s="67">
        <v>48</v>
      </c>
      <c r="G275" s="67">
        <v>0</v>
      </c>
      <c r="H275" s="67">
        <v>0</v>
      </c>
      <c r="I275" s="67"/>
      <c r="J275" s="67"/>
      <c r="K275" s="67"/>
      <c r="L275" s="67"/>
      <c r="M275" s="67" t="s">
        <v>19</v>
      </c>
      <c r="N275" s="67" t="s">
        <v>20</v>
      </c>
      <c r="O275" s="65">
        <v>45778</v>
      </c>
      <c r="P275" s="67"/>
    </row>
    <row r="276" spans="1:16">
      <c r="A276" s="75">
        <v>93200</v>
      </c>
      <c r="B276" s="65">
        <v>45841</v>
      </c>
      <c r="C276" s="65"/>
      <c r="D276" s="66">
        <v>2</v>
      </c>
      <c r="E276" s="67">
        <v>99</v>
      </c>
      <c r="F276" s="67">
        <v>99</v>
      </c>
      <c r="G276" s="67">
        <v>0</v>
      </c>
      <c r="H276" s="67">
        <v>0</v>
      </c>
      <c r="I276" s="67"/>
      <c r="J276" s="67"/>
      <c r="K276" s="67"/>
      <c r="L276" s="67"/>
      <c r="M276" s="67" t="s">
        <v>19</v>
      </c>
      <c r="N276" s="67" t="s">
        <v>20</v>
      </c>
      <c r="O276" s="65">
        <v>45841</v>
      </c>
      <c r="P276" s="67"/>
    </row>
    <row r="277" spans="1:16">
      <c r="A277" s="75">
        <v>93202</v>
      </c>
      <c r="B277" s="65"/>
      <c r="C277" s="65"/>
      <c r="D277" s="66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5"/>
      <c r="P277" s="67"/>
    </row>
    <row r="278" spans="1:16">
      <c r="A278" s="75">
        <v>93204</v>
      </c>
      <c r="B278" s="65">
        <v>45813</v>
      </c>
      <c r="C278" s="65"/>
      <c r="D278" s="66">
        <v>2</v>
      </c>
      <c r="E278" s="67">
        <v>252</v>
      </c>
      <c r="F278" s="67">
        <v>252</v>
      </c>
      <c r="G278" s="67">
        <v>0</v>
      </c>
      <c r="H278" s="67">
        <v>0</v>
      </c>
      <c r="I278" s="67"/>
      <c r="J278" s="67"/>
      <c r="K278" s="67"/>
      <c r="L278" s="67"/>
      <c r="M278" s="67" t="s">
        <v>19</v>
      </c>
      <c r="N278" s="67" t="s">
        <v>20</v>
      </c>
      <c r="O278" s="65">
        <v>45813</v>
      </c>
      <c r="P278" s="67"/>
    </row>
    <row r="279" spans="1:16">
      <c r="A279" s="75">
        <v>93206</v>
      </c>
      <c r="B279" s="65" t="s">
        <v>16</v>
      </c>
      <c r="C279" s="65"/>
      <c r="D279" s="67">
        <v>1</v>
      </c>
      <c r="E279" s="67">
        <v>1</v>
      </c>
      <c r="F279" s="67">
        <v>1</v>
      </c>
      <c r="G279" s="67">
        <v>0</v>
      </c>
      <c r="H279" s="67">
        <v>0</v>
      </c>
      <c r="I279" s="67"/>
      <c r="J279" s="67"/>
      <c r="K279" s="67"/>
      <c r="L279" s="67"/>
      <c r="M279" s="67" t="s">
        <v>17</v>
      </c>
      <c r="N279" s="67" t="s">
        <v>18</v>
      </c>
      <c r="O279" s="65" t="s">
        <v>16</v>
      </c>
      <c r="P279" s="67"/>
    </row>
    <row r="280" spans="1:16">
      <c r="A280" s="75">
        <v>93208</v>
      </c>
      <c r="B280" s="65"/>
      <c r="C280" s="65"/>
      <c r="D280" s="66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5"/>
      <c r="P280" s="67"/>
    </row>
    <row r="281" spans="1:16">
      <c r="A281" s="75">
        <v>93210</v>
      </c>
      <c r="B281" s="65"/>
      <c r="C281" s="65"/>
      <c r="D281" s="66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5"/>
      <c r="P281" s="67"/>
    </row>
    <row r="282" spans="1:16">
      <c r="A282" s="75">
        <v>93212</v>
      </c>
      <c r="B282" s="65"/>
      <c r="C282" s="65"/>
      <c r="D282" s="66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5"/>
      <c r="P282" s="67"/>
    </row>
    <row r="283" spans="1:16">
      <c r="A283" s="75">
        <v>93214</v>
      </c>
      <c r="B283" s="65">
        <v>45770</v>
      </c>
      <c r="C283" s="65"/>
      <c r="D283" s="66">
        <v>2</v>
      </c>
      <c r="E283" s="66">
        <v>34</v>
      </c>
      <c r="F283" s="66">
        <v>34</v>
      </c>
      <c r="G283" s="66">
        <v>0</v>
      </c>
      <c r="H283" s="66">
        <v>0</v>
      </c>
      <c r="I283" s="66"/>
      <c r="J283" s="66"/>
      <c r="K283" s="66"/>
      <c r="L283" s="66"/>
      <c r="M283" s="67" t="s">
        <v>17</v>
      </c>
      <c r="N283" s="68" t="s">
        <v>20</v>
      </c>
      <c r="O283" s="65">
        <v>45770</v>
      </c>
      <c r="P283" s="67" t="s">
        <v>128</v>
      </c>
    </row>
    <row r="284" spans="1:16">
      <c r="A284" s="75">
        <v>93216</v>
      </c>
      <c r="B284" s="65">
        <v>45853</v>
      </c>
      <c r="C284" s="65"/>
      <c r="D284" s="66">
        <v>2</v>
      </c>
      <c r="E284" s="67">
        <v>150</v>
      </c>
      <c r="F284" s="67">
        <v>150</v>
      </c>
      <c r="G284" s="67">
        <v>0</v>
      </c>
      <c r="H284" s="67">
        <v>0</v>
      </c>
      <c r="I284" s="67"/>
      <c r="J284" s="67"/>
      <c r="K284" s="67"/>
      <c r="L284" s="67"/>
      <c r="M284" s="67" t="s">
        <v>19</v>
      </c>
      <c r="N284" s="67" t="s">
        <v>20</v>
      </c>
      <c r="O284" s="65">
        <v>45853</v>
      </c>
      <c r="P284" s="67"/>
    </row>
    <row r="285" spans="1:16">
      <c r="A285" s="75">
        <v>93218</v>
      </c>
      <c r="B285" s="65">
        <v>45811</v>
      </c>
      <c r="C285" s="65"/>
      <c r="D285" s="66">
        <v>2</v>
      </c>
      <c r="E285" s="67">
        <v>130</v>
      </c>
      <c r="F285" s="67">
        <v>130</v>
      </c>
      <c r="G285" s="67">
        <v>0</v>
      </c>
      <c r="H285" s="67">
        <v>0</v>
      </c>
      <c r="I285" s="67"/>
      <c r="J285" s="67"/>
      <c r="K285" s="67"/>
      <c r="L285" s="67"/>
      <c r="M285" s="67" t="s">
        <v>19</v>
      </c>
      <c r="N285" s="67" t="s">
        <v>20</v>
      </c>
      <c r="O285" s="65">
        <v>45811</v>
      </c>
      <c r="P285" s="67"/>
    </row>
    <row r="286" spans="1:16">
      <c r="A286" s="75">
        <v>93220</v>
      </c>
      <c r="B286" s="65"/>
      <c r="C286" s="65"/>
      <c r="D286" s="66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5"/>
      <c r="P286" s="67"/>
    </row>
    <row r="287" spans="1:16">
      <c r="A287" s="75">
        <v>93222</v>
      </c>
      <c r="B287" s="65"/>
      <c r="C287" s="65"/>
      <c r="D287" s="66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5"/>
      <c r="P287" s="67"/>
    </row>
    <row r="288" spans="1:16">
      <c r="A288" s="75">
        <v>93224</v>
      </c>
      <c r="B288" s="65"/>
      <c r="C288" s="65"/>
      <c r="D288" s="66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5"/>
      <c r="P288" s="67"/>
    </row>
    <row r="289" spans="1:16">
      <c r="A289" s="75">
        <v>93226</v>
      </c>
      <c r="B289" s="65"/>
      <c r="C289" s="65"/>
      <c r="D289" s="66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5"/>
      <c r="P289" s="67"/>
    </row>
    <row r="290" spans="1:16">
      <c r="A290" s="75">
        <v>93228</v>
      </c>
      <c r="B290" s="65">
        <v>45820</v>
      </c>
      <c r="C290" s="65"/>
      <c r="D290" s="66">
        <v>2</v>
      </c>
      <c r="E290" s="67">
        <v>204</v>
      </c>
      <c r="F290" s="67">
        <v>204</v>
      </c>
      <c r="G290" s="67">
        <v>0</v>
      </c>
      <c r="H290" s="67">
        <v>0</v>
      </c>
      <c r="I290" s="67"/>
      <c r="J290" s="67"/>
      <c r="K290" s="67"/>
      <c r="L290" s="67"/>
      <c r="M290" s="67" t="s">
        <v>19</v>
      </c>
      <c r="N290" s="67" t="s">
        <v>20</v>
      </c>
      <c r="O290" s="65">
        <v>45820</v>
      </c>
      <c r="P290" s="67"/>
    </row>
    <row r="291" spans="1:16">
      <c r="A291" s="75">
        <v>93230</v>
      </c>
      <c r="B291" s="65">
        <v>45777</v>
      </c>
      <c r="C291" s="65"/>
      <c r="D291" s="66">
        <v>2</v>
      </c>
      <c r="E291" s="67">
        <v>40</v>
      </c>
      <c r="F291" s="67">
        <v>40</v>
      </c>
      <c r="G291" s="67">
        <v>0</v>
      </c>
      <c r="H291" s="67">
        <v>0</v>
      </c>
      <c r="I291" s="67"/>
      <c r="J291" s="67"/>
      <c r="K291" s="67"/>
      <c r="L291" s="67"/>
      <c r="M291" s="67" t="s">
        <v>19</v>
      </c>
      <c r="N291" s="67" t="s">
        <v>20</v>
      </c>
      <c r="O291" s="65">
        <v>45777</v>
      </c>
      <c r="P291" s="67" t="s">
        <v>129</v>
      </c>
    </row>
    <row r="292" spans="1:16">
      <c r="A292" s="75">
        <v>93232</v>
      </c>
      <c r="B292" s="65"/>
      <c r="C292" s="65"/>
      <c r="D292" s="66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5"/>
      <c r="P292" s="67"/>
    </row>
    <row r="293" spans="1:16">
      <c r="A293" s="75">
        <v>93234</v>
      </c>
      <c r="B293" s="65"/>
      <c r="C293" s="65"/>
      <c r="D293" s="66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5"/>
      <c r="P293" s="67"/>
    </row>
    <row r="294" spans="1:16">
      <c r="A294" s="75">
        <v>93236</v>
      </c>
      <c r="B294" s="65"/>
      <c r="C294" s="65"/>
      <c r="D294" s="66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5"/>
      <c r="P294" s="67"/>
    </row>
    <row r="295" spans="1:16">
      <c r="A295" s="75">
        <v>93238</v>
      </c>
      <c r="B295" s="65">
        <v>45803</v>
      </c>
      <c r="C295" s="65"/>
      <c r="D295" s="66">
        <v>2</v>
      </c>
      <c r="E295" s="67">
        <v>188</v>
      </c>
      <c r="F295" s="67">
        <v>188</v>
      </c>
      <c r="G295" s="67">
        <v>0</v>
      </c>
      <c r="H295" s="67">
        <v>0</v>
      </c>
      <c r="I295" s="67"/>
      <c r="J295" s="67"/>
      <c r="K295" s="67"/>
      <c r="L295" s="67"/>
      <c r="M295" s="67" t="s">
        <v>19</v>
      </c>
      <c r="N295" s="67" t="s">
        <v>25</v>
      </c>
      <c r="O295" s="65">
        <v>45803</v>
      </c>
      <c r="P295" s="67"/>
    </row>
    <row r="296" spans="1:16">
      <c r="A296" s="75">
        <v>93240</v>
      </c>
      <c r="B296" s="65"/>
      <c r="C296" s="65"/>
      <c r="D296" s="66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5"/>
      <c r="P296" s="67"/>
    </row>
    <row r="297" spans="1:16">
      <c r="A297" s="75">
        <v>93242</v>
      </c>
      <c r="B297" s="65"/>
      <c r="C297" s="65"/>
      <c r="D297" s="66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5"/>
      <c r="P297" s="67"/>
    </row>
    <row r="298" spans="1:16">
      <c r="A298" s="75">
        <v>93244</v>
      </c>
      <c r="B298" s="65"/>
      <c r="C298" s="65"/>
      <c r="D298" s="66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5"/>
      <c r="P298" s="67"/>
    </row>
    <row r="299" spans="1:16">
      <c r="A299" s="75">
        <v>93246</v>
      </c>
      <c r="B299" s="65">
        <v>45783</v>
      </c>
      <c r="C299" s="65"/>
      <c r="D299" s="66">
        <v>2</v>
      </c>
      <c r="E299" s="67">
        <v>40</v>
      </c>
      <c r="F299" s="67">
        <v>40</v>
      </c>
      <c r="G299" s="67">
        <v>0</v>
      </c>
      <c r="H299" s="67">
        <v>0</v>
      </c>
      <c r="I299" s="67"/>
      <c r="J299" s="67"/>
      <c r="K299" s="67"/>
      <c r="L299" s="67"/>
      <c r="M299" s="67" t="s">
        <v>19</v>
      </c>
      <c r="N299" s="67" t="s">
        <v>20</v>
      </c>
      <c r="O299" s="65">
        <v>45783</v>
      </c>
      <c r="P299" s="67"/>
    </row>
    <row r="300" spans="1:16">
      <c r="A300" s="75">
        <v>93248</v>
      </c>
      <c r="B300" s="65"/>
      <c r="C300" s="65"/>
      <c r="D300" s="66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5"/>
      <c r="P300" s="67"/>
    </row>
    <row r="301" spans="1:16">
      <c r="A301" s="75">
        <v>93250</v>
      </c>
      <c r="B301" s="65">
        <v>45823</v>
      </c>
      <c r="C301" s="65"/>
      <c r="D301" s="66">
        <v>2</v>
      </c>
      <c r="E301" s="67">
        <v>112</v>
      </c>
      <c r="F301" s="67">
        <v>112</v>
      </c>
      <c r="G301" s="67">
        <v>0</v>
      </c>
      <c r="H301" s="67">
        <v>0</v>
      </c>
      <c r="I301" s="67"/>
      <c r="J301" s="67"/>
      <c r="K301" s="67"/>
      <c r="L301" s="67"/>
      <c r="M301" s="67" t="s">
        <v>19</v>
      </c>
      <c r="N301" s="67" t="s">
        <v>20</v>
      </c>
      <c r="O301" s="65">
        <v>45823</v>
      </c>
      <c r="P301" s="67"/>
    </row>
    <row r="302" spans="1:16">
      <c r="A302" s="75">
        <v>93252</v>
      </c>
      <c r="B302" s="65">
        <v>45840</v>
      </c>
      <c r="C302" s="65"/>
      <c r="D302" s="66">
        <v>2</v>
      </c>
      <c r="E302" s="67">
        <v>88</v>
      </c>
      <c r="F302" s="67">
        <v>88</v>
      </c>
      <c r="G302" s="67">
        <v>0</v>
      </c>
      <c r="H302" s="67">
        <v>0</v>
      </c>
      <c r="I302" s="67"/>
      <c r="J302" s="67"/>
      <c r="K302" s="67"/>
      <c r="L302" s="67"/>
      <c r="M302" s="67" t="s">
        <v>19</v>
      </c>
      <c r="N302" s="67" t="s">
        <v>20</v>
      </c>
      <c r="O302" s="65">
        <v>45840</v>
      </c>
      <c r="P302" s="67"/>
    </row>
    <row r="303" spans="1:16">
      <c r="A303" s="75">
        <v>93254</v>
      </c>
      <c r="B303" s="65"/>
      <c r="C303" s="65"/>
      <c r="D303" s="66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5"/>
      <c r="P303" s="67"/>
    </row>
    <row r="304" spans="1:16">
      <c r="A304" s="75">
        <v>93256</v>
      </c>
      <c r="B304" s="65">
        <v>45784</v>
      </c>
      <c r="C304" s="65"/>
      <c r="D304" s="66">
        <v>2</v>
      </c>
      <c r="E304" s="67">
        <v>82</v>
      </c>
      <c r="F304" s="67">
        <v>82</v>
      </c>
      <c r="G304" s="67">
        <v>0</v>
      </c>
      <c r="H304" s="67">
        <v>0</v>
      </c>
      <c r="I304" s="67"/>
      <c r="J304" s="67"/>
      <c r="K304" s="67"/>
      <c r="L304" s="67"/>
      <c r="M304" s="67" t="s">
        <v>19</v>
      </c>
      <c r="N304" s="67" t="s">
        <v>20</v>
      </c>
      <c r="O304" s="65">
        <v>45784</v>
      </c>
      <c r="P304" s="67" t="s">
        <v>130</v>
      </c>
    </row>
    <row r="305" spans="1:16">
      <c r="A305" s="75">
        <v>93258</v>
      </c>
      <c r="B305" s="65"/>
      <c r="C305" s="65"/>
      <c r="D305" s="66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5"/>
      <c r="P305" s="67"/>
    </row>
    <row r="306" spans="1:16">
      <c r="A306" s="75">
        <v>93260</v>
      </c>
      <c r="B306" s="65">
        <v>45824</v>
      </c>
      <c r="C306" s="65"/>
      <c r="D306" s="66">
        <v>2</v>
      </c>
      <c r="E306" s="67">
        <v>220</v>
      </c>
      <c r="F306" s="67">
        <v>220</v>
      </c>
      <c r="G306" s="67">
        <v>0</v>
      </c>
      <c r="H306" s="67">
        <v>0</v>
      </c>
      <c r="I306" s="67"/>
      <c r="J306" s="67"/>
      <c r="K306" s="67"/>
      <c r="L306" s="67"/>
      <c r="M306" s="67" t="s">
        <v>19</v>
      </c>
      <c r="N306" s="67" t="s">
        <v>20</v>
      </c>
      <c r="O306" s="65">
        <v>45824</v>
      </c>
      <c r="P306" s="67"/>
    </row>
    <row r="307" spans="1:16">
      <c r="A307" s="75">
        <v>93262</v>
      </c>
      <c r="B307" s="65"/>
      <c r="C307" s="65"/>
      <c r="D307" s="66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5"/>
      <c r="P307" s="67"/>
    </row>
    <row r="308" spans="1:16">
      <c r="A308" s="75">
        <v>93264</v>
      </c>
      <c r="B308" s="65"/>
      <c r="C308" s="65"/>
      <c r="D308" s="66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5"/>
      <c r="P308" s="67"/>
    </row>
    <row r="309" spans="1:16">
      <c r="A309" s="75">
        <v>93266</v>
      </c>
      <c r="B309" s="65"/>
      <c r="C309" s="65"/>
      <c r="D309" s="66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5"/>
      <c r="P309" s="67"/>
    </row>
    <row r="310" spans="1:16">
      <c r="A310" s="75">
        <v>93402</v>
      </c>
      <c r="B310" s="65">
        <v>45810</v>
      </c>
      <c r="C310" s="65"/>
      <c r="D310" s="66">
        <v>2</v>
      </c>
      <c r="E310" s="67">
        <v>150</v>
      </c>
      <c r="F310" s="67">
        <v>150</v>
      </c>
      <c r="G310" s="67">
        <v>0</v>
      </c>
      <c r="H310" s="67">
        <v>0</v>
      </c>
      <c r="I310" s="67"/>
      <c r="J310" s="67"/>
      <c r="K310" s="67"/>
      <c r="L310" s="67"/>
      <c r="M310" s="67" t="s">
        <v>19</v>
      </c>
      <c r="N310" s="67" t="s">
        <v>20</v>
      </c>
      <c r="O310" s="65">
        <v>45810</v>
      </c>
      <c r="P310" s="67"/>
    </row>
    <row r="311" spans="1:16">
      <c r="A311" s="75">
        <v>93404</v>
      </c>
      <c r="B311" s="65"/>
      <c r="C311" s="65"/>
      <c r="D311" s="66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5"/>
      <c r="P311" s="67"/>
    </row>
    <row r="312" spans="1:16">
      <c r="A312" s="75">
        <v>93406</v>
      </c>
      <c r="B312" s="65">
        <v>45799</v>
      </c>
      <c r="C312" s="65"/>
      <c r="D312" s="66">
        <v>2</v>
      </c>
      <c r="E312" s="67">
        <v>150</v>
      </c>
      <c r="F312" s="67">
        <v>150</v>
      </c>
      <c r="G312" s="67">
        <v>0</v>
      </c>
      <c r="H312" s="67">
        <v>0</v>
      </c>
      <c r="I312" s="67"/>
      <c r="J312" s="67"/>
      <c r="K312" s="67"/>
      <c r="L312" s="67"/>
      <c r="M312" s="67" t="s">
        <v>19</v>
      </c>
      <c r="N312" s="67" t="s">
        <v>20</v>
      </c>
      <c r="O312" s="65">
        <v>45799</v>
      </c>
      <c r="P312" s="67"/>
    </row>
    <row r="313" spans="1:16">
      <c r="A313" s="75">
        <v>93408</v>
      </c>
      <c r="B313" s="65">
        <v>45761</v>
      </c>
      <c r="C313" s="65"/>
      <c r="D313" s="66" t="s">
        <v>26</v>
      </c>
      <c r="E313" s="66" t="s">
        <v>131</v>
      </c>
      <c r="F313" s="66" t="s">
        <v>131</v>
      </c>
      <c r="G313" s="66" t="s">
        <v>27</v>
      </c>
      <c r="H313" s="66" t="s">
        <v>27</v>
      </c>
      <c r="I313" s="66"/>
      <c r="J313" s="66"/>
      <c r="K313" s="66"/>
      <c r="L313" s="66"/>
      <c r="M313" s="67" t="s">
        <v>17</v>
      </c>
      <c r="N313" s="68" t="s">
        <v>20</v>
      </c>
      <c r="O313" s="65">
        <v>45761</v>
      </c>
      <c r="P313" s="66"/>
    </row>
    <row r="314" spans="1:16">
      <c r="A314" s="75">
        <v>93410</v>
      </c>
      <c r="B314" s="65">
        <v>45788</v>
      </c>
      <c r="C314" s="65"/>
      <c r="D314" s="66">
        <v>2</v>
      </c>
      <c r="E314" s="67">
        <v>98</v>
      </c>
      <c r="F314" s="67">
        <v>98</v>
      </c>
      <c r="G314" s="67">
        <v>0</v>
      </c>
      <c r="H314" s="67">
        <v>0</v>
      </c>
      <c r="I314" s="67"/>
      <c r="J314" s="67"/>
      <c r="K314" s="67"/>
      <c r="L314" s="67"/>
      <c r="M314" s="67" t="s">
        <v>19</v>
      </c>
      <c r="N314" s="67" t="s">
        <v>20</v>
      </c>
      <c r="O314" s="65">
        <v>45788</v>
      </c>
      <c r="P314" s="67">
        <v>93410</v>
      </c>
    </row>
    <row r="315" spans="1:16">
      <c r="A315" s="75">
        <v>93412</v>
      </c>
      <c r="B315" s="78">
        <v>45855</v>
      </c>
      <c r="C315" s="78"/>
      <c r="D315" s="74">
        <v>2</v>
      </c>
      <c r="E315" s="74">
        <v>180</v>
      </c>
      <c r="F315" s="74">
        <v>180</v>
      </c>
      <c r="G315" s="74">
        <v>0</v>
      </c>
      <c r="H315" s="74">
        <v>0</v>
      </c>
      <c r="I315" s="74"/>
      <c r="J315" s="74"/>
      <c r="K315" s="74"/>
      <c r="L315" s="74"/>
      <c r="M315" s="74" t="s">
        <v>19</v>
      </c>
      <c r="N315" s="74" t="s">
        <v>20</v>
      </c>
      <c r="O315" s="79">
        <v>45855</v>
      </c>
      <c r="P315" s="67"/>
    </row>
    <row r="316" spans="1:16">
      <c r="A316" s="75">
        <v>93414</v>
      </c>
      <c r="B316" s="65" t="s">
        <v>33</v>
      </c>
      <c r="C316" s="65"/>
      <c r="D316" s="66">
        <v>2</v>
      </c>
      <c r="E316" s="67">
        <v>94</v>
      </c>
      <c r="F316" s="67">
        <v>94</v>
      </c>
      <c r="G316" s="67">
        <v>0</v>
      </c>
      <c r="H316" s="67">
        <v>0</v>
      </c>
      <c r="I316" s="67"/>
      <c r="J316" s="67"/>
      <c r="K316" s="67"/>
      <c r="L316" s="67"/>
      <c r="M316" s="67" t="s">
        <v>19</v>
      </c>
      <c r="N316" s="67" t="s">
        <v>20</v>
      </c>
      <c r="O316" s="65" t="s">
        <v>33</v>
      </c>
      <c r="P316" s="67"/>
    </row>
    <row r="317" spans="1:16">
      <c r="A317" s="75">
        <v>93416</v>
      </c>
      <c r="B317" s="65">
        <v>45837</v>
      </c>
      <c r="C317" s="65"/>
      <c r="D317" s="66">
        <v>1</v>
      </c>
      <c r="E317" s="67">
        <v>120</v>
      </c>
      <c r="F317" s="67">
        <v>120</v>
      </c>
      <c r="G317" s="67">
        <v>0</v>
      </c>
      <c r="H317" s="67">
        <v>0</v>
      </c>
      <c r="I317" s="67"/>
      <c r="J317" s="67"/>
      <c r="K317" s="67"/>
      <c r="L317" s="67"/>
      <c r="M317" s="67" t="s">
        <v>19</v>
      </c>
      <c r="N317" s="67" t="s">
        <v>20</v>
      </c>
      <c r="O317" s="65">
        <v>45837</v>
      </c>
      <c r="P317" s="67"/>
    </row>
    <row r="318" spans="1:16">
      <c r="A318" s="75">
        <v>93418</v>
      </c>
      <c r="B318" s="65"/>
      <c r="C318" s="65"/>
      <c r="D318" s="66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5"/>
      <c r="P318" s="67"/>
    </row>
    <row r="319" spans="1:16">
      <c r="A319" s="75">
        <v>93420</v>
      </c>
      <c r="B319" s="65" t="s">
        <v>91</v>
      </c>
      <c r="C319" s="65"/>
      <c r="D319" s="66">
        <v>2</v>
      </c>
      <c r="E319" s="67">
        <v>24</v>
      </c>
      <c r="F319" s="67">
        <v>24</v>
      </c>
      <c r="G319" s="67">
        <v>0</v>
      </c>
      <c r="H319" s="67">
        <v>0</v>
      </c>
      <c r="I319" s="67"/>
      <c r="J319" s="67"/>
      <c r="K319" s="67"/>
      <c r="L319" s="67"/>
      <c r="M319" s="67" t="s">
        <v>19</v>
      </c>
      <c r="N319" s="67" t="s">
        <v>20</v>
      </c>
      <c r="O319" s="65" t="s">
        <v>91</v>
      </c>
      <c r="P319" s="67"/>
    </row>
    <row r="320" spans="1:16">
      <c r="A320" s="75">
        <v>93422</v>
      </c>
      <c r="B320" s="65">
        <v>45769</v>
      </c>
      <c r="C320" s="65"/>
      <c r="D320" s="66">
        <v>2</v>
      </c>
      <c r="E320" s="66">
        <v>38</v>
      </c>
      <c r="F320" s="66">
        <v>38</v>
      </c>
      <c r="G320" s="66">
        <v>0</v>
      </c>
      <c r="H320" s="66">
        <v>0</v>
      </c>
      <c r="I320" s="66"/>
      <c r="J320" s="66"/>
      <c r="K320" s="66"/>
      <c r="L320" s="66"/>
      <c r="M320" s="67" t="s">
        <v>17</v>
      </c>
      <c r="N320" s="68" t="s">
        <v>20</v>
      </c>
      <c r="O320" s="65">
        <v>45769</v>
      </c>
      <c r="P320" s="67" t="s">
        <v>132</v>
      </c>
    </row>
    <row r="321" spans="1:16">
      <c r="A321" s="75">
        <v>93424</v>
      </c>
      <c r="B321" s="65">
        <v>45809</v>
      </c>
      <c r="C321" s="65"/>
      <c r="D321" s="66">
        <v>2</v>
      </c>
      <c r="E321" s="67">
        <v>90</v>
      </c>
      <c r="F321" s="67">
        <v>90</v>
      </c>
      <c r="G321" s="67">
        <v>0</v>
      </c>
      <c r="H321" s="67">
        <v>0</v>
      </c>
      <c r="I321" s="67"/>
      <c r="J321" s="67"/>
      <c r="K321" s="67"/>
      <c r="L321" s="67"/>
      <c r="M321" s="67" t="s">
        <v>17</v>
      </c>
      <c r="N321" s="67" t="s">
        <v>25</v>
      </c>
      <c r="O321" s="65">
        <v>45809</v>
      </c>
      <c r="P321" s="67"/>
    </row>
    <row r="322" spans="1:16">
      <c r="A322" s="75">
        <v>93426</v>
      </c>
      <c r="B322" s="65"/>
      <c r="C322" s="65"/>
      <c r="D322" s="66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5"/>
      <c r="P322" s="67"/>
    </row>
    <row r="323" spans="1:16">
      <c r="A323" s="75">
        <v>93428</v>
      </c>
      <c r="B323" s="65">
        <v>45782</v>
      </c>
      <c r="C323" s="65"/>
      <c r="D323" s="66">
        <v>2</v>
      </c>
      <c r="E323" s="67">
        <v>33</v>
      </c>
      <c r="F323" s="67">
        <v>33</v>
      </c>
      <c r="G323" s="67">
        <v>0</v>
      </c>
      <c r="H323" s="67">
        <v>0</v>
      </c>
      <c r="I323" s="67"/>
      <c r="J323" s="67"/>
      <c r="K323" s="67"/>
      <c r="L323" s="67"/>
      <c r="M323" s="67" t="s">
        <v>19</v>
      </c>
      <c r="N323" s="67" t="s">
        <v>25</v>
      </c>
      <c r="O323" s="65">
        <v>45782</v>
      </c>
      <c r="P323" s="67"/>
    </row>
    <row r="324" spans="1:16">
      <c r="A324" s="75">
        <v>93430</v>
      </c>
      <c r="B324" s="65">
        <v>45799</v>
      </c>
      <c r="C324" s="65"/>
      <c r="D324" s="66">
        <v>2</v>
      </c>
      <c r="E324" s="67">
        <v>206</v>
      </c>
      <c r="F324" s="67">
        <v>206</v>
      </c>
      <c r="G324" s="67">
        <v>0</v>
      </c>
      <c r="H324" s="67">
        <v>0</v>
      </c>
      <c r="I324" s="67"/>
      <c r="J324" s="67"/>
      <c r="K324" s="67"/>
      <c r="L324" s="67"/>
      <c r="M324" s="67" t="s">
        <v>19</v>
      </c>
      <c r="N324" s="67" t="s">
        <v>53</v>
      </c>
      <c r="O324" s="65">
        <v>45799</v>
      </c>
      <c r="P324" s="67"/>
    </row>
    <row r="325" spans="1:16">
      <c r="A325" s="75">
        <v>93432</v>
      </c>
      <c r="B325" s="65">
        <v>45779</v>
      </c>
      <c r="C325" s="65"/>
      <c r="D325" s="66">
        <v>2</v>
      </c>
      <c r="E325" s="67">
        <v>84</v>
      </c>
      <c r="F325" s="67">
        <v>84</v>
      </c>
      <c r="G325" s="67">
        <v>0</v>
      </c>
      <c r="H325" s="67">
        <v>0</v>
      </c>
      <c r="I325" s="67"/>
      <c r="J325" s="67"/>
      <c r="K325" s="67"/>
      <c r="L325" s="67"/>
      <c r="M325" s="67" t="s">
        <v>19</v>
      </c>
      <c r="N325" s="67" t="s">
        <v>20</v>
      </c>
      <c r="O325" s="65">
        <v>45779</v>
      </c>
      <c r="P325" s="67"/>
    </row>
    <row r="326" spans="1:16">
      <c r="A326" s="75">
        <v>93434</v>
      </c>
      <c r="B326" s="65">
        <v>45775</v>
      </c>
      <c r="C326" s="65"/>
      <c r="D326" s="66">
        <v>2</v>
      </c>
      <c r="E326" s="67">
        <v>2</v>
      </c>
      <c r="F326" s="67">
        <v>2</v>
      </c>
      <c r="G326" s="67">
        <v>0</v>
      </c>
      <c r="H326" s="67">
        <v>0</v>
      </c>
      <c r="I326" s="67"/>
      <c r="J326" s="67"/>
      <c r="K326" s="67"/>
      <c r="L326" s="67"/>
      <c r="M326" s="67" t="s">
        <v>19</v>
      </c>
      <c r="N326" s="67" t="s">
        <v>20</v>
      </c>
      <c r="O326" s="65">
        <v>45775</v>
      </c>
      <c r="P326" s="67"/>
    </row>
    <row r="327" spans="1:16">
      <c r="A327" s="75">
        <v>93436</v>
      </c>
      <c r="B327" s="65">
        <v>45802</v>
      </c>
      <c r="C327" s="65"/>
      <c r="D327" s="66">
        <v>2</v>
      </c>
      <c r="E327" s="67">
        <v>15</v>
      </c>
      <c r="F327" s="67">
        <v>15</v>
      </c>
      <c r="G327" s="67">
        <v>0</v>
      </c>
      <c r="H327" s="67">
        <v>0</v>
      </c>
      <c r="I327" s="67"/>
      <c r="J327" s="67"/>
      <c r="K327" s="67"/>
      <c r="L327" s="67"/>
      <c r="M327" s="67" t="s">
        <v>19</v>
      </c>
      <c r="N327" s="67" t="s">
        <v>20</v>
      </c>
      <c r="O327" s="65">
        <v>45802</v>
      </c>
      <c r="P327" s="67"/>
    </row>
    <row r="328" spans="1:16">
      <c r="A328" s="75">
        <v>93438</v>
      </c>
      <c r="B328" s="65">
        <v>45768</v>
      </c>
      <c r="C328" s="65"/>
      <c r="D328" s="66" t="s">
        <v>26</v>
      </c>
      <c r="E328" s="66">
        <v>25</v>
      </c>
      <c r="F328" s="66">
        <v>25</v>
      </c>
      <c r="G328" s="66" t="s">
        <v>27</v>
      </c>
      <c r="H328" s="66" t="s">
        <v>27</v>
      </c>
      <c r="I328" s="66"/>
      <c r="J328" s="66"/>
      <c r="K328" s="66"/>
      <c r="L328" s="66"/>
      <c r="M328" s="67" t="s">
        <v>17</v>
      </c>
      <c r="N328" s="68" t="s">
        <v>20</v>
      </c>
      <c r="O328" s="65">
        <v>45768</v>
      </c>
      <c r="P328" s="67" t="s">
        <v>133</v>
      </c>
    </row>
    <row r="329" spans="1:16">
      <c r="A329" s="75">
        <v>93440</v>
      </c>
      <c r="B329" s="65">
        <v>45809</v>
      </c>
      <c r="C329" s="65"/>
      <c r="D329" s="66">
        <v>2</v>
      </c>
      <c r="E329" s="67">
        <v>110</v>
      </c>
      <c r="F329" s="67">
        <v>110</v>
      </c>
      <c r="G329" s="67">
        <v>0</v>
      </c>
      <c r="H329" s="67">
        <v>0</v>
      </c>
      <c r="I329" s="67"/>
      <c r="J329" s="67"/>
      <c r="K329" s="67"/>
      <c r="L329" s="67"/>
      <c r="M329" s="67" t="s">
        <v>19</v>
      </c>
      <c r="N329" s="67" t="s">
        <v>20</v>
      </c>
      <c r="O329" s="65">
        <v>45809</v>
      </c>
      <c r="P329" s="67"/>
    </row>
    <row r="330" spans="1:16">
      <c r="A330" s="75">
        <v>93442</v>
      </c>
      <c r="B330" s="65">
        <v>45818</v>
      </c>
      <c r="C330" s="65"/>
      <c r="D330" s="66">
        <v>2</v>
      </c>
      <c r="E330" s="67">
        <v>430</v>
      </c>
      <c r="F330" s="67">
        <v>430</v>
      </c>
      <c r="G330" s="67">
        <v>0</v>
      </c>
      <c r="H330" s="67">
        <v>0</v>
      </c>
      <c r="I330" s="67"/>
      <c r="J330" s="67"/>
      <c r="K330" s="67"/>
      <c r="L330" s="67"/>
      <c r="M330" s="67" t="s">
        <v>19</v>
      </c>
      <c r="N330" s="67" t="s">
        <v>20</v>
      </c>
      <c r="O330" s="65">
        <v>45818</v>
      </c>
      <c r="P330" s="67"/>
    </row>
    <row r="331" spans="1:16">
      <c r="A331" s="75">
        <v>93444</v>
      </c>
      <c r="B331" s="65">
        <v>45810</v>
      </c>
      <c r="C331" s="65"/>
      <c r="D331" s="66">
        <v>2</v>
      </c>
      <c r="E331" s="67">
        <v>156</v>
      </c>
      <c r="F331" s="67">
        <v>156</v>
      </c>
      <c r="G331" s="67">
        <v>0</v>
      </c>
      <c r="H331" s="67">
        <v>0</v>
      </c>
      <c r="I331" s="67"/>
      <c r="J331" s="67"/>
      <c r="K331" s="67"/>
      <c r="L331" s="67"/>
      <c r="M331" s="67" t="s">
        <v>19</v>
      </c>
      <c r="N331" s="67" t="s">
        <v>25</v>
      </c>
      <c r="O331" s="65">
        <v>45810</v>
      </c>
      <c r="P331" s="67"/>
    </row>
    <row r="332" spans="1:16">
      <c r="A332" s="75">
        <v>93446</v>
      </c>
      <c r="B332" s="65"/>
      <c r="C332" s="65"/>
      <c r="D332" s="66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5"/>
      <c r="P332" s="67"/>
    </row>
    <row r="333" spans="1:16">
      <c r="A333" s="75">
        <v>93448</v>
      </c>
      <c r="B333" s="65">
        <v>45844</v>
      </c>
      <c r="C333" s="65"/>
      <c r="D333" s="66">
        <v>2</v>
      </c>
      <c r="E333" s="67">
        <v>228</v>
      </c>
      <c r="F333" s="67">
        <v>228</v>
      </c>
      <c r="G333" s="67">
        <v>0</v>
      </c>
      <c r="H333" s="67">
        <v>0</v>
      </c>
      <c r="I333" s="67"/>
      <c r="J333" s="67"/>
      <c r="K333" s="67"/>
      <c r="L333" s="67"/>
      <c r="M333" s="67" t="s">
        <v>19</v>
      </c>
      <c r="N333" s="67" t="s">
        <v>25</v>
      </c>
      <c r="O333" s="65">
        <v>45844</v>
      </c>
      <c r="P333" s="67"/>
    </row>
    <row r="334" spans="1:16">
      <c r="A334" s="75">
        <v>93450</v>
      </c>
      <c r="B334" s="65">
        <v>45810</v>
      </c>
      <c r="C334" s="65"/>
      <c r="D334" s="66">
        <v>2</v>
      </c>
      <c r="E334" s="67">
        <v>160</v>
      </c>
      <c r="F334" s="67">
        <v>160</v>
      </c>
      <c r="G334" s="67">
        <v>0</v>
      </c>
      <c r="H334" s="67">
        <v>0</v>
      </c>
      <c r="I334" s="67"/>
      <c r="J334" s="67"/>
      <c r="K334" s="67"/>
      <c r="L334" s="67"/>
      <c r="M334" s="67" t="s">
        <v>19</v>
      </c>
      <c r="N334" s="67" t="s">
        <v>25</v>
      </c>
      <c r="O334" s="65">
        <v>45810</v>
      </c>
      <c r="P334" s="67"/>
    </row>
    <row r="335" spans="1:16">
      <c r="A335" s="75">
        <v>93452</v>
      </c>
      <c r="B335" s="65">
        <v>45775</v>
      </c>
      <c r="C335" s="65"/>
      <c r="D335" s="66">
        <v>2</v>
      </c>
      <c r="E335" s="67">
        <v>33</v>
      </c>
      <c r="F335" s="67">
        <v>33</v>
      </c>
      <c r="G335" s="67">
        <v>0</v>
      </c>
      <c r="H335" s="67">
        <v>0</v>
      </c>
      <c r="I335" s="67"/>
      <c r="J335" s="67"/>
      <c r="K335" s="67"/>
      <c r="L335" s="67"/>
      <c r="M335" s="67" t="s">
        <v>19</v>
      </c>
      <c r="N335" s="67" t="s">
        <v>20</v>
      </c>
      <c r="O335" s="65">
        <v>45775</v>
      </c>
      <c r="P335" s="67"/>
    </row>
    <row r="336" spans="1:16">
      <c r="A336" s="75">
        <v>93454</v>
      </c>
      <c r="B336" s="65"/>
      <c r="C336" s="65"/>
      <c r="D336" s="66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5"/>
      <c r="P336" s="67"/>
    </row>
    <row r="337" spans="1:16">
      <c r="A337" s="75">
        <v>93456</v>
      </c>
      <c r="B337" s="65"/>
      <c r="C337" s="65"/>
      <c r="D337" s="66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5"/>
      <c r="P337" s="67"/>
    </row>
    <row r="338" spans="1:16">
      <c r="A338" s="75">
        <v>93458</v>
      </c>
      <c r="B338" s="65"/>
      <c r="C338" s="65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5"/>
      <c r="P338" s="67"/>
    </row>
    <row r="339" spans="1:16">
      <c r="A339" s="75">
        <v>93460</v>
      </c>
      <c r="B339" s="65">
        <v>45777</v>
      </c>
      <c r="C339" s="65"/>
      <c r="D339" s="66">
        <v>2</v>
      </c>
      <c r="E339" s="67">
        <v>30</v>
      </c>
      <c r="F339" s="67">
        <v>30</v>
      </c>
      <c r="G339" s="67">
        <v>0</v>
      </c>
      <c r="H339" s="67">
        <v>0</v>
      </c>
      <c r="I339" s="67"/>
      <c r="J339" s="67"/>
      <c r="K339" s="67"/>
      <c r="L339" s="67"/>
      <c r="M339" s="67" t="s">
        <v>19</v>
      </c>
      <c r="N339" s="67" t="s">
        <v>20</v>
      </c>
      <c r="O339" s="65">
        <v>45777</v>
      </c>
      <c r="P339" s="67"/>
    </row>
    <row r="340" spans="1:16">
      <c r="A340" s="75">
        <v>93462</v>
      </c>
      <c r="B340" s="65"/>
      <c r="C340" s="65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5"/>
      <c r="P340" s="67"/>
    </row>
    <row r="341" spans="1:16">
      <c r="A341" s="75">
        <v>93464</v>
      </c>
      <c r="B341" s="65">
        <v>45848</v>
      </c>
      <c r="C341" s="65"/>
      <c r="D341" s="67">
        <v>2</v>
      </c>
      <c r="E341" s="67">
        <v>140</v>
      </c>
      <c r="F341" s="67">
        <v>140</v>
      </c>
      <c r="G341" s="67">
        <v>0</v>
      </c>
      <c r="H341" s="67">
        <v>0</v>
      </c>
      <c r="I341" s="67"/>
      <c r="J341" s="67"/>
      <c r="K341" s="67"/>
      <c r="L341" s="67"/>
      <c r="M341" s="67" t="s">
        <v>19</v>
      </c>
      <c r="N341" s="67" t="s">
        <v>20</v>
      </c>
      <c r="O341" s="65">
        <v>45848</v>
      </c>
      <c r="P341" s="67"/>
    </row>
  </sheetData>
  <mergeCells count="1">
    <mergeCell ref="R2:U2"/>
  </mergeCells>
  <conditionalFormatting sqref="A2:A71">
    <cfRule type="expression" dxfId="212" priority="32" stopIfTrue="1">
      <formula>#REF!=1</formula>
    </cfRule>
    <cfRule type="expression" dxfId="211" priority="33" stopIfTrue="1">
      <formula>#REF!=2</formula>
    </cfRule>
  </conditionalFormatting>
  <conditionalFormatting sqref="A2:A169">
    <cfRule type="expression" dxfId="210" priority="16" stopIfTrue="1">
      <formula>#REF!="w"</formula>
    </cfRule>
  </conditionalFormatting>
  <conditionalFormatting sqref="A72:A169">
    <cfRule type="expression" dxfId="209" priority="17" stopIfTrue="1">
      <formula>#REF!=1</formula>
    </cfRule>
    <cfRule type="expression" dxfId="208" priority="18" stopIfTrue="1">
      <formula>#REF!=2</formula>
    </cfRule>
  </conditionalFormatting>
  <conditionalFormatting sqref="A171:A225">
    <cfRule type="expression" dxfId="207" priority="10" stopIfTrue="1">
      <formula>#REF!="w"</formula>
    </cfRule>
    <cfRule type="expression" dxfId="206" priority="11" stopIfTrue="1">
      <formula>#REF!=1</formula>
    </cfRule>
    <cfRule type="expression" dxfId="205" priority="12" stopIfTrue="1">
      <formula>#REF!=2</formula>
    </cfRule>
  </conditionalFormatting>
  <conditionalFormatting sqref="A227:A341">
    <cfRule type="expression" dxfId="204" priority="1" stopIfTrue="1">
      <formula>#REF!="w"</formula>
    </cfRule>
    <cfRule type="expression" dxfId="203" priority="2" stopIfTrue="1">
      <formula>#REF!=1</formula>
    </cfRule>
    <cfRule type="expression" dxfId="202" priority="3" stopIfTrue="1">
      <formula>#REF!=2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504AB-5A1D-48F3-B820-C539F85EC88C}">
  <dimension ref="A1:U341"/>
  <sheetViews>
    <sheetView workbookViewId="0">
      <selection activeCell="N345" sqref="N345"/>
    </sheetView>
  </sheetViews>
  <sheetFormatPr defaultColWidth="9.42578125" defaultRowHeight="15" customHeight="1"/>
  <cols>
    <col min="1" max="1" width="9.7109375" style="2" bestFit="1" customWidth="1"/>
    <col min="2" max="3" width="11.5703125" style="2" customWidth="1"/>
    <col min="4" max="4" width="16.85546875" style="2" bestFit="1" customWidth="1"/>
    <col min="5" max="5" width="12.85546875" style="2" bestFit="1" customWidth="1"/>
    <col min="6" max="6" width="12.7109375" style="2" bestFit="1" customWidth="1"/>
    <col min="7" max="12" width="15.7109375" style="2" bestFit="1" customWidth="1"/>
    <col min="13" max="13" width="12.85546875" style="2" bestFit="1" customWidth="1"/>
    <col min="14" max="14" width="16.140625" style="2" bestFit="1" customWidth="1"/>
    <col min="15" max="15" width="15.7109375" style="2" bestFit="1" customWidth="1"/>
    <col min="16" max="16" width="16.85546875" style="2" bestFit="1" customWidth="1"/>
    <col min="17" max="17" width="2" style="2" customWidth="1"/>
    <col min="18" max="18" width="12.42578125" style="2" customWidth="1"/>
    <col min="19" max="19" width="11.42578125" style="2" customWidth="1"/>
    <col min="20" max="20" width="16.42578125" style="2" customWidth="1"/>
    <col min="21" max="21" width="13" style="2" customWidth="1"/>
    <col min="22" max="16384" width="9.42578125" style="2"/>
  </cols>
  <sheetData>
    <row r="1" spans="1:21" ht="99.6" customHeight="1">
      <c r="A1" s="1" t="s">
        <v>0</v>
      </c>
      <c r="B1" s="73" t="s">
        <v>1</v>
      </c>
      <c r="C1" s="73" t="s">
        <v>2</v>
      </c>
      <c r="D1" s="45" t="s">
        <v>3</v>
      </c>
      <c r="E1" s="45" t="s">
        <v>4</v>
      </c>
      <c r="F1" s="45" t="s">
        <v>5</v>
      </c>
      <c r="G1" s="45" t="s">
        <v>6</v>
      </c>
      <c r="H1" s="45" t="s">
        <v>7</v>
      </c>
      <c r="I1" s="46" t="s">
        <v>8</v>
      </c>
      <c r="J1" s="46" t="s">
        <v>9</v>
      </c>
      <c r="K1" s="47" t="s">
        <v>10</v>
      </c>
      <c r="L1" s="47" t="s">
        <v>11</v>
      </c>
      <c r="M1" s="48" t="s">
        <v>12</v>
      </c>
      <c r="N1" s="49" t="s">
        <v>13</v>
      </c>
      <c r="O1" s="50" t="s">
        <v>14</v>
      </c>
      <c r="P1" s="51" t="s">
        <v>15</v>
      </c>
    </row>
    <row r="2" spans="1:21" ht="15" customHeight="1">
      <c r="A2" s="52">
        <v>91001</v>
      </c>
      <c r="B2" s="65"/>
      <c r="C2" s="65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5"/>
      <c r="P2" s="38"/>
      <c r="R2" s="11"/>
      <c r="S2" s="12"/>
      <c r="T2" s="12"/>
      <c r="U2" s="13"/>
    </row>
    <row r="3" spans="1:21" ht="15" customHeight="1">
      <c r="A3" s="52">
        <v>91003</v>
      </c>
      <c r="B3" s="65"/>
      <c r="C3" s="65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5"/>
      <c r="P3" s="38"/>
      <c r="R3" s="10" t="s">
        <v>21</v>
      </c>
      <c r="S3" s="3" t="s">
        <v>22</v>
      </c>
      <c r="T3" s="4" t="s">
        <v>23</v>
      </c>
      <c r="U3" s="5" t="s">
        <v>24</v>
      </c>
    </row>
    <row r="4" spans="1:21" ht="15" customHeight="1">
      <c r="A4" s="52">
        <v>91005</v>
      </c>
      <c r="B4" s="65"/>
      <c r="C4" s="65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5"/>
      <c r="P4" s="38"/>
      <c r="R4" s="7">
        <v>85</v>
      </c>
      <c r="S4" s="8">
        <f>COUNTA(A:A)-1</f>
        <v>340</v>
      </c>
      <c r="T4" s="8">
        <v>55</v>
      </c>
      <c r="U4" s="9">
        <f>T4/S4</f>
        <v>0.16176470588235295</v>
      </c>
    </row>
    <row r="5" spans="1:21" ht="15" customHeight="1">
      <c r="A5" s="52">
        <v>91007</v>
      </c>
      <c r="B5" s="65"/>
      <c r="C5" s="65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5"/>
      <c r="P5" s="38"/>
    </row>
    <row r="6" spans="1:21" ht="15" customHeight="1">
      <c r="A6" s="52">
        <v>91009</v>
      </c>
      <c r="B6" s="65"/>
      <c r="C6" s="65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5"/>
      <c r="P6" s="38"/>
    </row>
    <row r="7" spans="1:21" ht="15" customHeight="1">
      <c r="A7" s="52">
        <v>91011</v>
      </c>
      <c r="B7" s="65"/>
      <c r="C7" s="65"/>
      <c r="D7" s="67"/>
      <c r="E7" s="40"/>
      <c r="F7" s="40"/>
      <c r="G7" s="40"/>
      <c r="H7" s="40"/>
      <c r="I7" s="40"/>
      <c r="J7" s="40"/>
      <c r="K7" s="40"/>
      <c r="L7" s="40"/>
      <c r="M7" s="40"/>
      <c r="N7" s="40"/>
      <c r="O7" s="65"/>
      <c r="P7" s="43"/>
    </row>
    <row r="8" spans="1:21" ht="15" customHeight="1">
      <c r="A8" s="52">
        <v>91013</v>
      </c>
      <c r="B8" s="65"/>
      <c r="C8" s="65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5"/>
      <c r="P8" s="38"/>
    </row>
    <row r="9" spans="1:21" ht="15" customHeight="1">
      <c r="A9" s="52">
        <v>91015</v>
      </c>
      <c r="B9" s="65">
        <v>45809</v>
      </c>
      <c r="C9" s="65"/>
      <c r="D9" s="67">
        <v>2</v>
      </c>
      <c r="E9" s="67">
        <v>62</v>
      </c>
      <c r="F9" s="67">
        <v>62</v>
      </c>
      <c r="G9" s="67">
        <v>0</v>
      </c>
      <c r="H9" s="67">
        <v>0</v>
      </c>
      <c r="I9" s="67"/>
      <c r="J9" s="67"/>
      <c r="K9" s="67"/>
      <c r="L9" s="67"/>
      <c r="M9" s="67" t="s">
        <v>19</v>
      </c>
      <c r="N9" s="67" t="s">
        <v>25</v>
      </c>
      <c r="O9" s="65">
        <v>45809</v>
      </c>
      <c r="P9" s="38"/>
    </row>
    <row r="10" spans="1:21" ht="15" customHeight="1">
      <c r="A10" s="52">
        <v>91017</v>
      </c>
      <c r="B10" s="65"/>
      <c r="C10" s="65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5"/>
      <c r="P10" s="38"/>
    </row>
    <row r="11" spans="1:21" ht="15" customHeight="1">
      <c r="A11" s="52">
        <v>91019</v>
      </c>
      <c r="B11" s="65"/>
      <c r="C11" s="65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5"/>
      <c r="P11" s="38"/>
    </row>
    <row r="12" spans="1:21" ht="15" customHeight="1">
      <c r="A12" s="52">
        <v>91021</v>
      </c>
      <c r="B12" s="65"/>
      <c r="C12" s="65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5"/>
      <c r="P12" s="38"/>
    </row>
    <row r="13" spans="1:21" ht="15" customHeight="1">
      <c r="A13" s="52">
        <v>91023</v>
      </c>
      <c r="B13" s="65">
        <v>45784</v>
      </c>
      <c r="C13" s="65"/>
      <c r="D13" s="66">
        <v>2</v>
      </c>
      <c r="E13" s="67">
        <v>24</v>
      </c>
      <c r="F13" s="67">
        <v>24</v>
      </c>
      <c r="G13" s="67">
        <v>0</v>
      </c>
      <c r="H13" s="67">
        <v>0</v>
      </c>
      <c r="I13" s="67"/>
      <c r="J13" s="67"/>
      <c r="K13" s="67"/>
      <c r="L13" s="67"/>
      <c r="M13" s="67" t="s">
        <v>19</v>
      </c>
      <c r="N13" s="67" t="s">
        <v>20</v>
      </c>
      <c r="O13" s="65">
        <v>45784</v>
      </c>
      <c r="P13" s="38" t="s">
        <v>134</v>
      </c>
    </row>
    <row r="14" spans="1:21" ht="15" customHeight="1">
      <c r="A14" s="52">
        <v>91025</v>
      </c>
      <c r="B14" s="65"/>
      <c r="C14" s="65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5"/>
      <c r="P14" s="38"/>
    </row>
    <row r="15" spans="1:21" ht="15" customHeight="1">
      <c r="A15" s="52">
        <v>91027</v>
      </c>
      <c r="B15" s="65"/>
      <c r="C15" s="65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5"/>
      <c r="P15" s="38"/>
    </row>
    <row r="16" spans="1:21" ht="15" customHeight="1">
      <c r="A16" s="52">
        <v>91029</v>
      </c>
      <c r="B16" s="65"/>
      <c r="C16" s="65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5"/>
      <c r="P16" s="38"/>
    </row>
    <row r="17" spans="1:16" ht="15" customHeight="1">
      <c r="A17" s="52">
        <v>91031</v>
      </c>
      <c r="B17" s="65"/>
      <c r="C17" s="65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5"/>
      <c r="P17" s="38"/>
    </row>
    <row r="18" spans="1:16" ht="15" customHeight="1">
      <c r="A18" s="52">
        <v>91033</v>
      </c>
      <c r="B18" s="65"/>
      <c r="C18" s="65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5"/>
      <c r="P18" s="38"/>
    </row>
    <row r="19" spans="1:16" ht="15" customHeight="1">
      <c r="A19" s="52">
        <v>91035</v>
      </c>
      <c r="B19" s="65"/>
      <c r="C19" s="65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5"/>
      <c r="P19" s="38"/>
    </row>
    <row r="20" spans="1:16" ht="15" customHeight="1">
      <c r="A20" s="52">
        <v>91037</v>
      </c>
      <c r="B20" s="65">
        <v>45802</v>
      </c>
      <c r="C20" s="65"/>
      <c r="D20" s="66">
        <v>2</v>
      </c>
      <c r="E20" s="66">
        <v>220</v>
      </c>
      <c r="F20" s="66">
        <v>220</v>
      </c>
      <c r="G20" s="66">
        <v>0</v>
      </c>
      <c r="H20" s="66">
        <v>0</v>
      </c>
      <c r="I20" s="66"/>
      <c r="J20" s="66"/>
      <c r="K20" s="66"/>
      <c r="L20" s="66"/>
      <c r="M20" s="67" t="s">
        <v>19</v>
      </c>
      <c r="N20" s="67" t="s">
        <v>20</v>
      </c>
      <c r="O20" s="65">
        <v>45802</v>
      </c>
      <c r="P20" s="38"/>
    </row>
    <row r="21" spans="1:16" ht="15" customHeight="1">
      <c r="A21" s="52">
        <v>91039</v>
      </c>
      <c r="B21" s="65">
        <v>45783</v>
      </c>
      <c r="C21" s="65"/>
      <c r="D21" s="66">
        <v>2</v>
      </c>
      <c r="E21" s="67">
        <v>22</v>
      </c>
      <c r="F21" s="67">
        <v>22</v>
      </c>
      <c r="G21" s="67">
        <v>0</v>
      </c>
      <c r="H21" s="67">
        <v>0</v>
      </c>
      <c r="I21" s="67"/>
      <c r="J21" s="67"/>
      <c r="K21" s="67"/>
      <c r="L21" s="67"/>
      <c r="M21" s="67" t="s">
        <v>19</v>
      </c>
      <c r="N21" s="67" t="s">
        <v>20</v>
      </c>
      <c r="O21" s="65">
        <v>45783</v>
      </c>
      <c r="P21" s="38"/>
    </row>
    <row r="22" spans="1:16" ht="15" customHeight="1">
      <c r="A22" s="52">
        <v>91041</v>
      </c>
      <c r="B22" s="65"/>
      <c r="C22" s="65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5"/>
      <c r="P22" s="38"/>
    </row>
    <row r="23" spans="1:16" ht="15" customHeight="1">
      <c r="A23" s="52">
        <v>91043</v>
      </c>
      <c r="B23" s="70"/>
      <c r="C23" s="70"/>
      <c r="D23" s="40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70"/>
      <c r="P23" s="38"/>
    </row>
    <row r="24" spans="1:16" ht="15" customHeight="1">
      <c r="A24" s="52">
        <v>91045</v>
      </c>
      <c r="B24" s="65"/>
      <c r="C24" s="65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5"/>
      <c r="P24" s="38"/>
    </row>
    <row r="25" spans="1:16" ht="15" customHeight="1">
      <c r="A25" s="52">
        <v>91047</v>
      </c>
      <c r="B25" s="65"/>
      <c r="C25" s="65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5"/>
      <c r="P25" s="38"/>
    </row>
    <row r="26" spans="1:16" ht="15" customHeight="1">
      <c r="A26" s="52">
        <v>91049</v>
      </c>
      <c r="B26" s="65"/>
      <c r="C26" s="65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5"/>
      <c r="P26" s="38"/>
    </row>
    <row r="27" spans="1:16" ht="15" customHeight="1">
      <c r="A27" s="52">
        <v>91051</v>
      </c>
      <c r="B27" s="65">
        <v>45805</v>
      </c>
      <c r="C27" s="65"/>
      <c r="D27" s="67">
        <v>2</v>
      </c>
      <c r="E27" s="67">
        <v>40</v>
      </c>
      <c r="F27" s="67">
        <v>40</v>
      </c>
      <c r="G27" s="67">
        <v>0</v>
      </c>
      <c r="H27" s="67">
        <v>0</v>
      </c>
      <c r="I27" s="67"/>
      <c r="J27" s="67"/>
      <c r="K27" s="67"/>
      <c r="L27" s="67"/>
      <c r="M27" s="67" t="s">
        <v>19</v>
      </c>
      <c r="N27" s="67" t="s">
        <v>20</v>
      </c>
      <c r="O27" s="65">
        <v>45805</v>
      </c>
      <c r="P27" s="38"/>
    </row>
    <row r="28" spans="1:16" ht="15" customHeight="1">
      <c r="A28" s="52">
        <v>91053</v>
      </c>
      <c r="B28" s="65"/>
      <c r="C28" s="65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5"/>
      <c r="P28" s="38"/>
    </row>
    <row r="29" spans="1:16" ht="15" customHeight="1">
      <c r="A29" s="52">
        <v>91055</v>
      </c>
      <c r="B29" s="65"/>
      <c r="C29" s="65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5"/>
      <c r="P29" s="38"/>
    </row>
    <row r="30" spans="1:16" ht="15" customHeight="1">
      <c r="A30" s="52">
        <v>91057</v>
      </c>
      <c r="B30" s="65"/>
      <c r="C30" s="65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5"/>
      <c r="P30" s="38"/>
    </row>
    <row r="31" spans="1:16" ht="15" customHeight="1">
      <c r="A31" s="52">
        <v>91059</v>
      </c>
      <c r="B31" s="65"/>
      <c r="C31" s="65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5"/>
      <c r="P31" s="38"/>
    </row>
    <row r="32" spans="1:16" ht="15" customHeight="1">
      <c r="A32" s="52">
        <v>91061</v>
      </c>
      <c r="B32" s="65"/>
      <c r="C32" s="65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5"/>
      <c r="P32" s="38"/>
    </row>
    <row r="33" spans="1:16" ht="15" customHeight="1">
      <c r="A33" s="52">
        <v>91063</v>
      </c>
      <c r="B33" s="65">
        <v>45832</v>
      </c>
      <c r="C33" s="65"/>
      <c r="D33" s="67">
        <v>2</v>
      </c>
      <c r="E33" s="67">
        <v>20</v>
      </c>
      <c r="F33" s="67">
        <v>20</v>
      </c>
      <c r="G33" s="67">
        <v>0</v>
      </c>
      <c r="H33" s="67">
        <v>0</v>
      </c>
      <c r="I33" s="67"/>
      <c r="J33" s="67"/>
      <c r="K33" s="67"/>
      <c r="L33" s="67"/>
      <c r="M33" s="67" t="s">
        <v>19</v>
      </c>
      <c r="N33" s="67" t="s">
        <v>20</v>
      </c>
      <c r="O33" s="65">
        <v>45832</v>
      </c>
      <c r="P33" s="38"/>
    </row>
    <row r="34" spans="1:16" ht="15" customHeight="1">
      <c r="A34" s="52">
        <v>91065</v>
      </c>
      <c r="B34" s="65">
        <v>45845</v>
      </c>
      <c r="C34" s="65"/>
      <c r="D34" s="67">
        <v>2</v>
      </c>
      <c r="E34" s="67">
        <v>104</v>
      </c>
      <c r="F34" s="67">
        <v>104</v>
      </c>
      <c r="G34" s="67">
        <v>0</v>
      </c>
      <c r="H34" s="67">
        <v>0</v>
      </c>
      <c r="I34" s="67"/>
      <c r="J34" s="67"/>
      <c r="K34" s="67"/>
      <c r="L34" s="67"/>
      <c r="M34" s="67" t="s">
        <v>19</v>
      </c>
      <c r="N34" s="67" t="s">
        <v>25</v>
      </c>
      <c r="O34" s="65">
        <v>45845</v>
      </c>
      <c r="P34" s="38"/>
    </row>
    <row r="35" spans="1:16" ht="15" customHeight="1">
      <c r="A35" s="52">
        <v>91067</v>
      </c>
      <c r="B35" s="65"/>
      <c r="C35" s="65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5"/>
      <c r="P35" s="38"/>
    </row>
    <row r="36" spans="1:16" ht="15" customHeight="1">
      <c r="A36" s="52">
        <v>91069</v>
      </c>
      <c r="B36" s="65"/>
      <c r="C36" s="65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5"/>
      <c r="P36" s="38"/>
    </row>
    <row r="37" spans="1:16" ht="15" customHeight="1">
      <c r="A37" s="52">
        <v>91071</v>
      </c>
      <c r="B37" s="65"/>
      <c r="C37" s="65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5"/>
      <c r="P37" s="38"/>
    </row>
    <row r="38" spans="1:16" ht="15" customHeight="1">
      <c r="A38" s="52">
        <v>91073</v>
      </c>
      <c r="B38" s="65"/>
      <c r="C38" s="65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5"/>
      <c r="P38" s="38"/>
    </row>
    <row r="39" spans="1:16" ht="15" customHeight="1">
      <c r="A39" s="52">
        <v>91075</v>
      </c>
      <c r="B39" s="65"/>
      <c r="C39" s="65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5"/>
      <c r="P39" s="38"/>
    </row>
    <row r="40" spans="1:16" ht="15" customHeight="1">
      <c r="A40" s="52">
        <v>91077</v>
      </c>
      <c r="B40" s="65"/>
      <c r="C40" s="65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5"/>
      <c r="P40" s="38"/>
    </row>
    <row r="41" spans="1:16" ht="15" customHeight="1">
      <c r="A41" s="52">
        <v>91079</v>
      </c>
      <c r="B41" s="70"/>
      <c r="C41" s="70"/>
      <c r="D41" s="40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70"/>
      <c r="P41" s="38"/>
    </row>
    <row r="42" spans="1:16" ht="15" customHeight="1">
      <c r="A42" s="52">
        <v>91081</v>
      </c>
      <c r="B42" s="65"/>
      <c r="C42" s="65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5"/>
      <c r="P42" s="38"/>
    </row>
    <row r="43" spans="1:16" ht="15" customHeight="1">
      <c r="A43" s="52">
        <v>91083</v>
      </c>
      <c r="B43" s="65">
        <v>45846</v>
      </c>
      <c r="C43" s="65"/>
      <c r="D43" s="67">
        <v>2</v>
      </c>
      <c r="E43" s="67">
        <v>202</v>
      </c>
      <c r="F43" s="67">
        <v>202</v>
      </c>
      <c r="G43" s="67">
        <v>0</v>
      </c>
      <c r="H43" s="67">
        <v>0</v>
      </c>
      <c r="I43" s="67"/>
      <c r="J43" s="67"/>
      <c r="K43" s="67"/>
      <c r="L43" s="67"/>
      <c r="M43" s="67" t="s">
        <v>19</v>
      </c>
      <c r="N43" s="67" t="s">
        <v>25</v>
      </c>
      <c r="O43" s="65">
        <v>45846</v>
      </c>
      <c r="P43" s="38"/>
    </row>
    <row r="44" spans="1:16" ht="15" customHeight="1">
      <c r="A44" s="52">
        <v>91085</v>
      </c>
      <c r="B44" s="65"/>
      <c r="C44" s="65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5"/>
      <c r="P44" s="38"/>
    </row>
    <row r="45" spans="1:16" ht="15" customHeight="1">
      <c r="A45" s="52">
        <v>91087</v>
      </c>
      <c r="B45" s="65"/>
      <c r="C45" s="65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5"/>
      <c r="P45" s="38"/>
    </row>
    <row r="46" spans="1:16" ht="15" customHeight="1">
      <c r="A46" s="52">
        <v>91089</v>
      </c>
      <c r="B46" s="65"/>
      <c r="C46" s="65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5"/>
      <c r="P46" s="38"/>
    </row>
    <row r="47" spans="1:16" ht="15" customHeight="1">
      <c r="A47" s="52">
        <v>91091</v>
      </c>
      <c r="B47" s="65"/>
      <c r="C47" s="65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5"/>
      <c r="P47" s="38"/>
    </row>
    <row r="48" spans="1:16" ht="15" customHeight="1">
      <c r="A48" s="52">
        <v>91093</v>
      </c>
      <c r="B48" s="65"/>
      <c r="C48" s="65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5"/>
      <c r="P48" s="38"/>
    </row>
    <row r="49" spans="1:16" ht="15" customHeight="1">
      <c r="A49" s="52">
        <v>91095</v>
      </c>
      <c r="B49" s="65">
        <v>45854</v>
      </c>
      <c r="C49" s="65"/>
      <c r="D49" s="67">
        <v>2</v>
      </c>
      <c r="E49" s="67">
        <v>175</v>
      </c>
      <c r="F49" s="67">
        <v>175</v>
      </c>
      <c r="G49" s="67">
        <v>0</v>
      </c>
      <c r="H49" s="67">
        <v>0</v>
      </c>
      <c r="I49" s="67"/>
      <c r="J49" s="67"/>
      <c r="K49" s="67"/>
      <c r="L49" s="67"/>
      <c r="M49" s="67" t="s">
        <v>19</v>
      </c>
      <c r="N49" s="67" t="s">
        <v>20</v>
      </c>
      <c r="O49" s="65">
        <v>45854</v>
      </c>
      <c r="P49" s="38"/>
    </row>
    <row r="50" spans="1:16" ht="15" customHeight="1">
      <c r="A50" s="52">
        <v>91097</v>
      </c>
      <c r="B50" s="65">
        <v>45831</v>
      </c>
      <c r="C50" s="65"/>
      <c r="D50" s="67">
        <v>2</v>
      </c>
      <c r="E50" s="67">
        <v>50</v>
      </c>
      <c r="F50" s="67">
        <v>50</v>
      </c>
      <c r="G50" s="67">
        <v>0</v>
      </c>
      <c r="H50" s="67">
        <v>0</v>
      </c>
      <c r="I50" s="67"/>
      <c r="J50" s="67"/>
      <c r="K50" s="67"/>
      <c r="L50" s="67"/>
      <c r="M50" s="67" t="s">
        <v>19</v>
      </c>
      <c r="N50" s="67" t="s">
        <v>34</v>
      </c>
      <c r="O50" s="65">
        <v>45831</v>
      </c>
      <c r="P50" s="38"/>
    </row>
    <row r="51" spans="1:16" ht="15" customHeight="1">
      <c r="A51" s="52">
        <v>91099</v>
      </c>
      <c r="B51" s="65"/>
      <c r="C51" s="65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5"/>
      <c r="P51" s="38"/>
    </row>
    <row r="52" spans="1:16" ht="15" customHeight="1">
      <c r="A52" s="52">
        <v>91101</v>
      </c>
      <c r="B52" s="65"/>
      <c r="C52" s="65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5"/>
      <c r="P52" s="38"/>
    </row>
    <row r="53" spans="1:16" ht="15" customHeight="1">
      <c r="A53" s="52">
        <v>91103</v>
      </c>
      <c r="B53" s="65"/>
      <c r="C53" s="65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5"/>
      <c r="P53" s="38"/>
    </row>
    <row r="54" spans="1:16" ht="15" customHeight="1">
      <c r="A54" s="52">
        <v>91105</v>
      </c>
      <c r="B54" s="65"/>
      <c r="C54" s="65"/>
      <c r="D54" s="66"/>
      <c r="E54" s="66"/>
      <c r="F54" s="66"/>
      <c r="G54" s="66"/>
      <c r="H54" s="66"/>
      <c r="I54" s="66"/>
      <c r="J54" s="66"/>
      <c r="K54" s="66"/>
      <c r="L54" s="66"/>
      <c r="M54" s="67"/>
      <c r="N54" s="68"/>
      <c r="O54" s="65"/>
      <c r="P54" s="37"/>
    </row>
    <row r="55" spans="1:16" ht="15" customHeight="1">
      <c r="A55" s="52">
        <v>91107</v>
      </c>
      <c r="B55" s="65"/>
      <c r="C55" s="65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5"/>
      <c r="P55" s="38"/>
    </row>
    <row r="56" spans="1:16" ht="15" customHeight="1">
      <c r="A56" s="52">
        <v>91109</v>
      </c>
      <c r="B56" s="65"/>
      <c r="C56" s="65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5"/>
      <c r="P56" s="38"/>
    </row>
    <row r="57" spans="1:16" ht="15" customHeight="1">
      <c r="A57" s="52">
        <v>91111</v>
      </c>
      <c r="B57" s="65"/>
      <c r="C57" s="65"/>
      <c r="D57" s="66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5"/>
      <c r="P57" s="38"/>
    </row>
    <row r="58" spans="1:16" ht="15" customHeight="1">
      <c r="A58" s="52">
        <v>91113</v>
      </c>
      <c r="B58" s="65">
        <v>45811</v>
      </c>
      <c r="C58" s="65"/>
      <c r="D58" s="66">
        <v>2</v>
      </c>
      <c r="E58" s="67">
        <v>25</v>
      </c>
      <c r="F58" s="67">
        <v>25</v>
      </c>
      <c r="G58" s="67">
        <v>0</v>
      </c>
      <c r="H58" s="67">
        <v>0</v>
      </c>
      <c r="I58" s="67"/>
      <c r="J58" s="67"/>
      <c r="K58" s="67"/>
      <c r="L58" s="67"/>
      <c r="M58" s="67" t="s">
        <v>19</v>
      </c>
      <c r="N58" s="67" t="s">
        <v>34</v>
      </c>
      <c r="O58" s="65">
        <v>45811</v>
      </c>
      <c r="P58" s="38"/>
    </row>
    <row r="59" spans="1:16" ht="15" customHeight="1">
      <c r="A59" s="52">
        <v>91115</v>
      </c>
      <c r="B59" s="65"/>
      <c r="C59" s="65"/>
      <c r="D59" s="66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5"/>
      <c r="P59" s="38"/>
    </row>
    <row r="60" spans="1:16" ht="15" customHeight="1">
      <c r="A60" s="52">
        <v>91117</v>
      </c>
      <c r="B60" s="65"/>
      <c r="C60" s="65"/>
      <c r="D60" s="66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5"/>
      <c r="P60" s="38"/>
    </row>
    <row r="61" spans="1:16" ht="15" customHeight="1">
      <c r="A61" s="52">
        <v>91119</v>
      </c>
      <c r="B61" s="65"/>
      <c r="C61" s="65"/>
      <c r="D61" s="66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5"/>
      <c r="P61" s="38"/>
    </row>
    <row r="62" spans="1:16" ht="15" customHeight="1">
      <c r="A62" s="52">
        <v>91121</v>
      </c>
      <c r="B62" s="65">
        <v>45852</v>
      </c>
      <c r="C62" s="65"/>
      <c r="D62" s="66">
        <v>2</v>
      </c>
      <c r="E62" s="67">
        <v>170</v>
      </c>
      <c r="F62" s="67">
        <v>170</v>
      </c>
      <c r="G62" s="67">
        <v>0</v>
      </c>
      <c r="H62" s="67">
        <v>0</v>
      </c>
      <c r="I62" s="67"/>
      <c r="J62" s="67"/>
      <c r="K62" s="67"/>
      <c r="L62" s="67"/>
      <c r="M62" s="67" t="s">
        <v>19</v>
      </c>
      <c r="N62" s="67" t="s">
        <v>25</v>
      </c>
      <c r="O62" s="65">
        <v>45852</v>
      </c>
      <c r="P62" s="38"/>
    </row>
    <row r="63" spans="1:16" ht="15" customHeight="1">
      <c r="A63" s="52">
        <v>91123</v>
      </c>
      <c r="B63" s="65"/>
      <c r="C63" s="65"/>
      <c r="D63" s="66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5"/>
      <c r="P63" s="38"/>
    </row>
    <row r="64" spans="1:16" ht="15" customHeight="1">
      <c r="A64" s="52">
        <v>91125</v>
      </c>
      <c r="B64" s="65">
        <v>45830</v>
      </c>
      <c r="C64" s="65"/>
      <c r="D64" s="66">
        <v>2</v>
      </c>
      <c r="E64" s="67">
        <v>130</v>
      </c>
      <c r="F64" s="67">
        <v>130</v>
      </c>
      <c r="G64" s="67">
        <v>0</v>
      </c>
      <c r="H64" s="67">
        <v>0</v>
      </c>
      <c r="I64" s="67"/>
      <c r="J64" s="67"/>
      <c r="K64" s="67"/>
      <c r="L64" s="67"/>
      <c r="M64" s="67" t="s">
        <v>19</v>
      </c>
      <c r="N64" s="67" t="s">
        <v>20</v>
      </c>
      <c r="O64" s="65">
        <v>45830</v>
      </c>
      <c r="P64" s="38"/>
    </row>
    <row r="65" spans="1:16" ht="15" customHeight="1">
      <c r="A65" s="52">
        <v>91127</v>
      </c>
      <c r="B65" s="65"/>
      <c r="C65" s="65"/>
      <c r="D65" s="66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5"/>
      <c r="P65" s="38"/>
    </row>
    <row r="66" spans="1:16" ht="15" customHeight="1">
      <c r="A66" s="52">
        <v>91129</v>
      </c>
      <c r="B66" s="65">
        <v>45830</v>
      </c>
      <c r="C66" s="65"/>
      <c r="D66" s="66">
        <v>2</v>
      </c>
      <c r="E66" s="67">
        <v>130</v>
      </c>
      <c r="F66" s="67">
        <v>130</v>
      </c>
      <c r="G66" s="67">
        <v>0</v>
      </c>
      <c r="H66" s="67">
        <v>0</v>
      </c>
      <c r="I66" s="67"/>
      <c r="J66" s="67"/>
      <c r="K66" s="67"/>
      <c r="L66" s="67"/>
      <c r="M66" s="67" t="s">
        <v>19</v>
      </c>
      <c r="N66" s="67" t="s">
        <v>20</v>
      </c>
      <c r="O66" s="65">
        <v>45830</v>
      </c>
      <c r="P66" s="38"/>
    </row>
    <row r="67" spans="1:16" ht="15" customHeight="1">
      <c r="A67" s="52">
        <v>91131</v>
      </c>
      <c r="B67" s="65">
        <v>45811</v>
      </c>
      <c r="C67" s="65"/>
      <c r="D67" s="66">
        <v>2</v>
      </c>
      <c r="E67" s="67">
        <v>100</v>
      </c>
      <c r="F67" s="67">
        <v>100</v>
      </c>
      <c r="G67" s="67">
        <v>0</v>
      </c>
      <c r="H67" s="67">
        <v>0</v>
      </c>
      <c r="I67" s="67"/>
      <c r="J67" s="67"/>
      <c r="K67" s="67"/>
      <c r="L67" s="67"/>
      <c r="M67" s="67" t="s">
        <v>19</v>
      </c>
      <c r="N67" s="67" t="s">
        <v>34</v>
      </c>
      <c r="O67" s="65">
        <v>45811</v>
      </c>
      <c r="P67" s="38"/>
    </row>
    <row r="68" spans="1:16">
      <c r="A68" s="52">
        <v>91133</v>
      </c>
      <c r="B68" s="65"/>
      <c r="C68" s="65"/>
      <c r="D68" s="66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5"/>
      <c r="P68" s="38"/>
    </row>
    <row r="69" spans="1:16">
      <c r="A69" s="52">
        <v>91135</v>
      </c>
      <c r="B69" s="65"/>
      <c r="C69" s="65"/>
      <c r="D69" s="66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5"/>
      <c r="P69" s="38"/>
    </row>
    <row r="70" spans="1:16">
      <c r="A70" s="52">
        <v>91137</v>
      </c>
      <c r="B70" s="65"/>
      <c r="C70" s="65"/>
      <c r="D70" s="66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5"/>
      <c r="P70" s="38"/>
    </row>
    <row r="71" spans="1:16">
      <c r="A71" s="52">
        <v>91139</v>
      </c>
      <c r="B71" s="65">
        <v>45844</v>
      </c>
      <c r="C71" s="65"/>
      <c r="D71" s="66">
        <v>2</v>
      </c>
      <c r="E71" s="67">
        <v>180</v>
      </c>
      <c r="F71" s="67">
        <v>180</v>
      </c>
      <c r="G71" s="67">
        <v>0</v>
      </c>
      <c r="H71" s="67">
        <v>0</v>
      </c>
      <c r="I71" s="67"/>
      <c r="J71" s="67"/>
      <c r="K71" s="67"/>
      <c r="L71" s="67"/>
      <c r="M71" s="67" t="s">
        <v>19</v>
      </c>
      <c r="N71" s="67" t="s">
        <v>25</v>
      </c>
      <c r="O71" s="65">
        <v>45844</v>
      </c>
      <c r="P71" s="38"/>
    </row>
    <row r="72" spans="1:16">
      <c r="A72" s="52">
        <v>91141</v>
      </c>
      <c r="B72" s="65"/>
      <c r="C72" s="65"/>
      <c r="D72" s="66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5"/>
      <c r="P72" s="38"/>
    </row>
    <row r="73" spans="1:16">
      <c r="A73" s="52">
        <v>91143</v>
      </c>
      <c r="B73" s="65"/>
      <c r="C73" s="65"/>
      <c r="D73" s="66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5"/>
      <c r="P73" s="38"/>
    </row>
    <row r="74" spans="1:16">
      <c r="A74" s="52">
        <v>91145</v>
      </c>
      <c r="B74" s="65"/>
      <c r="C74" s="65"/>
      <c r="D74" s="66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5"/>
      <c r="P74" s="38"/>
    </row>
    <row r="75" spans="1:16">
      <c r="A75" s="52">
        <v>91147</v>
      </c>
      <c r="B75" s="65"/>
      <c r="C75" s="65"/>
      <c r="D75" s="66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5"/>
      <c r="P75" s="38"/>
    </row>
    <row r="76" spans="1:16">
      <c r="A76" s="52">
        <v>91149</v>
      </c>
      <c r="B76" s="65"/>
      <c r="C76" s="65"/>
      <c r="D76" s="66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5"/>
      <c r="P76" s="38"/>
    </row>
    <row r="77" spans="1:16">
      <c r="A77" s="52">
        <v>91151</v>
      </c>
      <c r="B77" s="65"/>
      <c r="C77" s="65"/>
      <c r="D77" s="66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5"/>
      <c r="P77" s="38"/>
    </row>
    <row r="78" spans="1:16">
      <c r="A78" s="52">
        <v>91153</v>
      </c>
      <c r="B78" s="65"/>
      <c r="C78" s="65"/>
      <c r="D78" s="66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5"/>
      <c r="P78" s="38"/>
    </row>
    <row r="79" spans="1:16">
      <c r="A79" s="52">
        <v>91155</v>
      </c>
      <c r="B79" s="65"/>
      <c r="C79" s="65"/>
      <c r="D79" s="66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5"/>
      <c r="P79" s="38"/>
    </row>
    <row r="80" spans="1:16">
      <c r="A80" s="52">
        <v>91157</v>
      </c>
      <c r="B80" s="65"/>
      <c r="C80" s="65"/>
      <c r="D80" s="66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5"/>
      <c r="P80" s="38"/>
    </row>
    <row r="81" spans="1:16">
      <c r="A81" s="52">
        <v>91159</v>
      </c>
      <c r="B81" s="65"/>
      <c r="C81" s="65"/>
      <c r="D81" s="66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5"/>
      <c r="P81" s="38"/>
    </row>
    <row r="82" spans="1:16">
      <c r="A82" s="52">
        <v>91161</v>
      </c>
      <c r="B82" s="65"/>
      <c r="C82" s="65"/>
      <c r="D82" s="66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5"/>
      <c r="P82" s="38"/>
    </row>
    <row r="83" spans="1:16">
      <c r="A83" s="52">
        <v>91163</v>
      </c>
      <c r="B83" s="65"/>
      <c r="C83" s="65"/>
      <c r="D83" s="66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5"/>
      <c r="P83" s="38"/>
    </row>
    <row r="84" spans="1:16">
      <c r="A84" s="52">
        <v>91165</v>
      </c>
      <c r="B84" s="65"/>
      <c r="C84" s="65"/>
      <c r="D84" s="66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5"/>
      <c r="P84" s="38"/>
    </row>
    <row r="85" spans="1:16">
      <c r="A85" s="52">
        <v>91167</v>
      </c>
      <c r="B85" s="65"/>
      <c r="C85" s="65"/>
      <c r="D85" s="66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5"/>
      <c r="P85" s="38"/>
    </row>
    <row r="86" spans="1:16">
      <c r="A86" s="52">
        <v>91169</v>
      </c>
      <c r="B86" s="65"/>
      <c r="C86" s="65"/>
      <c r="D86" s="66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5"/>
      <c r="P86" s="38"/>
    </row>
    <row r="87" spans="1:16">
      <c r="A87" s="52">
        <v>91171</v>
      </c>
      <c r="B87" s="65"/>
      <c r="C87" s="65"/>
      <c r="D87" s="66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5"/>
      <c r="P87" s="38"/>
    </row>
    <row r="88" spans="1:16">
      <c r="A88" s="52">
        <v>91173</v>
      </c>
      <c r="B88" s="65">
        <v>45799</v>
      </c>
      <c r="C88" s="65"/>
      <c r="D88" s="66">
        <v>2</v>
      </c>
      <c r="E88" s="67">
        <v>200</v>
      </c>
      <c r="F88" s="67">
        <v>200</v>
      </c>
      <c r="G88" s="67">
        <v>0</v>
      </c>
      <c r="H88" s="67">
        <v>0</v>
      </c>
      <c r="I88" s="67"/>
      <c r="J88" s="67"/>
      <c r="K88" s="67"/>
      <c r="L88" s="67"/>
      <c r="M88" s="67" t="s">
        <v>17</v>
      </c>
      <c r="N88" s="67" t="s">
        <v>53</v>
      </c>
      <c r="O88" s="65">
        <v>45799</v>
      </c>
      <c r="P88" s="38"/>
    </row>
    <row r="89" spans="1:16">
      <c r="A89" s="52">
        <v>91175</v>
      </c>
      <c r="B89" s="65">
        <v>45792</v>
      </c>
      <c r="C89" s="65"/>
      <c r="D89" s="66">
        <v>2</v>
      </c>
      <c r="E89" s="67">
        <v>120</v>
      </c>
      <c r="F89" s="67">
        <v>120</v>
      </c>
      <c r="G89" s="67">
        <v>0</v>
      </c>
      <c r="H89" s="67">
        <v>0</v>
      </c>
      <c r="I89" s="67"/>
      <c r="J89" s="67"/>
      <c r="K89" s="67"/>
      <c r="L89" s="67"/>
      <c r="M89" s="67" t="s">
        <v>17</v>
      </c>
      <c r="N89" s="67" t="s">
        <v>135</v>
      </c>
      <c r="O89" s="65">
        <v>45792</v>
      </c>
      <c r="P89" s="38"/>
    </row>
    <row r="90" spans="1:16">
      <c r="A90" s="52">
        <v>91177</v>
      </c>
      <c r="B90" s="65"/>
      <c r="C90" s="65"/>
      <c r="D90" s="66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5"/>
      <c r="P90" s="38"/>
    </row>
    <row r="91" spans="1:16">
      <c r="A91" s="52">
        <v>91179</v>
      </c>
      <c r="B91" s="65">
        <v>45819</v>
      </c>
      <c r="C91" s="65"/>
      <c r="D91" s="66">
        <v>2</v>
      </c>
      <c r="E91" s="67">
        <v>206</v>
      </c>
      <c r="F91" s="67">
        <v>206</v>
      </c>
      <c r="G91" s="67">
        <v>0</v>
      </c>
      <c r="H91" s="67">
        <v>0</v>
      </c>
      <c r="I91" s="67"/>
      <c r="J91" s="67"/>
      <c r="K91" s="67"/>
      <c r="L91" s="67"/>
      <c r="M91" s="67" t="s">
        <v>19</v>
      </c>
      <c r="N91" s="67" t="s">
        <v>20</v>
      </c>
      <c r="O91" s="65">
        <v>45819</v>
      </c>
      <c r="P91" s="38"/>
    </row>
    <row r="92" spans="1:16">
      <c r="A92" s="52" t="s">
        <v>38</v>
      </c>
      <c r="B92" s="65"/>
      <c r="C92" s="65"/>
      <c r="D92" s="66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5"/>
      <c r="P92" s="38"/>
    </row>
    <row r="93" spans="1:16">
      <c r="A93" s="52" t="s">
        <v>40</v>
      </c>
      <c r="B93" s="65"/>
      <c r="C93" s="65"/>
      <c r="D93" s="66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5"/>
      <c r="P93" s="38"/>
    </row>
    <row r="94" spans="1:16">
      <c r="A94" s="52" t="s">
        <v>41</v>
      </c>
      <c r="B94" s="65">
        <v>45842</v>
      </c>
      <c r="C94" s="65"/>
      <c r="D94" s="66">
        <v>2</v>
      </c>
      <c r="E94" s="67">
        <v>168</v>
      </c>
      <c r="F94" s="67">
        <v>168</v>
      </c>
      <c r="G94" s="67">
        <v>0</v>
      </c>
      <c r="H94" s="67">
        <v>0</v>
      </c>
      <c r="I94" s="67"/>
      <c r="J94" s="67"/>
      <c r="K94" s="67"/>
      <c r="L94" s="67"/>
      <c r="M94" s="67" t="s">
        <v>19</v>
      </c>
      <c r="N94" s="67" t="s">
        <v>20</v>
      </c>
      <c r="O94" s="65">
        <v>45842</v>
      </c>
      <c r="P94" s="38"/>
    </row>
    <row r="95" spans="1:16">
      <c r="A95" s="52" t="s">
        <v>42</v>
      </c>
      <c r="B95" s="65"/>
      <c r="C95" s="65"/>
      <c r="D95" s="66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5"/>
      <c r="P95" s="38"/>
    </row>
    <row r="96" spans="1:16">
      <c r="A96" s="52" t="s">
        <v>43</v>
      </c>
      <c r="B96" s="65"/>
      <c r="C96" s="65"/>
      <c r="D96" s="66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5"/>
      <c r="P96" s="38"/>
    </row>
    <row r="97" spans="1:16">
      <c r="A97" s="52" t="s">
        <v>44</v>
      </c>
      <c r="B97" s="65"/>
      <c r="C97" s="65"/>
      <c r="D97" s="66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5"/>
      <c r="P97" s="38"/>
    </row>
    <row r="98" spans="1:16">
      <c r="A98" s="52" t="s">
        <v>45</v>
      </c>
      <c r="B98" s="65"/>
      <c r="C98" s="65"/>
      <c r="D98" s="66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5"/>
      <c r="P98" s="38"/>
    </row>
    <row r="99" spans="1:16">
      <c r="A99" s="52" t="s">
        <v>46</v>
      </c>
      <c r="B99" s="65"/>
      <c r="C99" s="65"/>
      <c r="D99" s="66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5"/>
      <c r="P99" s="38"/>
    </row>
    <row r="100" spans="1:16">
      <c r="A100" s="52" t="s">
        <v>47</v>
      </c>
      <c r="B100" s="65">
        <v>45819</v>
      </c>
      <c r="C100" s="65"/>
      <c r="D100" s="66">
        <v>2</v>
      </c>
      <c r="E100" s="67">
        <v>180</v>
      </c>
      <c r="F100" s="67">
        <v>180</v>
      </c>
      <c r="G100" s="67">
        <v>0</v>
      </c>
      <c r="H100" s="67">
        <v>0</v>
      </c>
      <c r="I100" s="67"/>
      <c r="J100" s="67"/>
      <c r="K100" s="67"/>
      <c r="L100" s="67"/>
      <c r="M100" s="67" t="s">
        <v>19</v>
      </c>
      <c r="N100" s="67" t="s">
        <v>34</v>
      </c>
      <c r="O100" s="65">
        <v>45819</v>
      </c>
      <c r="P100" s="38"/>
    </row>
    <row r="101" spans="1:16">
      <c r="A101" s="52" t="s">
        <v>48</v>
      </c>
      <c r="B101" s="65">
        <v>45825</v>
      </c>
      <c r="C101" s="65"/>
      <c r="D101" s="66">
        <v>1</v>
      </c>
      <c r="E101" s="67">
        <v>80</v>
      </c>
      <c r="F101" s="67">
        <v>80</v>
      </c>
      <c r="G101" s="67">
        <v>0</v>
      </c>
      <c r="H101" s="67">
        <v>0</v>
      </c>
      <c r="I101" s="67"/>
      <c r="J101" s="67"/>
      <c r="K101" s="67"/>
      <c r="L101" s="67"/>
      <c r="M101" s="67" t="s">
        <v>19</v>
      </c>
      <c r="N101" s="67" t="s">
        <v>34</v>
      </c>
      <c r="O101" s="65">
        <v>45825</v>
      </c>
      <c r="P101" s="38"/>
    </row>
    <row r="102" spans="1:16">
      <c r="A102" s="52" t="s">
        <v>50</v>
      </c>
      <c r="B102" s="65"/>
      <c r="C102" s="65"/>
      <c r="D102" s="66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5"/>
      <c r="P102" s="38"/>
    </row>
    <row r="103" spans="1:16">
      <c r="A103" s="52" t="s">
        <v>51</v>
      </c>
      <c r="B103" s="65"/>
      <c r="C103" s="65"/>
      <c r="D103" s="66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5"/>
      <c r="P103" s="38"/>
    </row>
    <row r="104" spans="1:16">
      <c r="A104" s="52" t="s">
        <v>52</v>
      </c>
      <c r="B104" s="65"/>
      <c r="C104" s="65"/>
      <c r="D104" s="66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5"/>
      <c r="P104" s="38"/>
    </row>
    <row r="105" spans="1:16">
      <c r="A105" s="52" t="s">
        <v>54</v>
      </c>
      <c r="B105" s="65"/>
      <c r="C105" s="65"/>
      <c r="D105" s="66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5"/>
      <c r="P105" s="38"/>
    </row>
    <row r="106" spans="1:16">
      <c r="A106" s="52">
        <v>91209</v>
      </c>
      <c r="B106" s="65"/>
      <c r="C106" s="65"/>
      <c r="D106" s="66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5"/>
      <c r="P106" s="38"/>
    </row>
    <row r="107" spans="1:16">
      <c r="A107" s="52" t="s">
        <v>55</v>
      </c>
      <c r="B107" s="65">
        <v>45803</v>
      </c>
      <c r="C107" s="65"/>
      <c r="D107" s="66">
        <v>2</v>
      </c>
      <c r="E107" s="67">
        <v>60</v>
      </c>
      <c r="F107" s="67">
        <v>60</v>
      </c>
      <c r="G107" s="67">
        <v>0</v>
      </c>
      <c r="H107" s="67">
        <v>0</v>
      </c>
      <c r="I107" s="67"/>
      <c r="J107" s="67"/>
      <c r="K107" s="67"/>
      <c r="L107" s="67"/>
      <c r="M107" s="67" t="s">
        <v>19</v>
      </c>
      <c r="N107" s="67" t="s">
        <v>25</v>
      </c>
      <c r="O107" s="65">
        <v>45803</v>
      </c>
      <c r="P107" s="38"/>
    </row>
    <row r="108" spans="1:16">
      <c r="A108" s="52" t="s">
        <v>56</v>
      </c>
      <c r="B108" s="65"/>
      <c r="C108" s="65"/>
      <c r="D108" s="66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5"/>
      <c r="P108" s="38"/>
    </row>
    <row r="109" spans="1:16">
      <c r="A109" s="52" t="s">
        <v>57</v>
      </c>
      <c r="B109" s="65"/>
      <c r="C109" s="65"/>
      <c r="D109" s="66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5"/>
      <c r="P109" s="38"/>
    </row>
    <row r="110" spans="1:16">
      <c r="A110" s="52" t="s">
        <v>58</v>
      </c>
      <c r="B110" s="65"/>
      <c r="C110" s="65"/>
      <c r="D110" s="66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5"/>
      <c r="P110" s="38"/>
    </row>
    <row r="111" spans="1:16">
      <c r="A111" s="52" t="s">
        <v>59</v>
      </c>
      <c r="B111" s="65"/>
      <c r="C111" s="65"/>
      <c r="D111" s="66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5"/>
      <c r="P111" s="38"/>
    </row>
    <row r="112" spans="1:16">
      <c r="A112" s="52" t="s">
        <v>60</v>
      </c>
      <c r="B112" s="65">
        <v>45852</v>
      </c>
      <c r="C112" s="65"/>
      <c r="D112" s="66">
        <v>2</v>
      </c>
      <c r="E112" s="67">
        <v>190</v>
      </c>
      <c r="F112" s="67">
        <v>190</v>
      </c>
      <c r="G112" s="67">
        <v>0</v>
      </c>
      <c r="H112" s="67">
        <v>0</v>
      </c>
      <c r="I112" s="67"/>
      <c r="J112" s="67"/>
      <c r="K112" s="67"/>
      <c r="L112" s="67"/>
      <c r="M112" s="67" t="s">
        <v>19</v>
      </c>
      <c r="N112" s="67" t="s">
        <v>20</v>
      </c>
      <c r="O112" s="65">
        <v>45852</v>
      </c>
      <c r="P112" s="38"/>
    </row>
    <row r="113" spans="1:16">
      <c r="A113" s="52" t="s">
        <v>61</v>
      </c>
      <c r="B113" s="65"/>
      <c r="C113" s="65"/>
      <c r="D113" s="66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5"/>
      <c r="P113" s="38"/>
    </row>
    <row r="114" spans="1:16">
      <c r="A114" s="52" t="s">
        <v>62</v>
      </c>
      <c r="B114" s="65"/>
      <c r="C114" s="65"/>
      <c r="D114" s="66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5"/>
      <c r="P114" s="38"/>
    </row>
    <row r="115" spans="1:16">
      <c r="A115" s="52" t="s">
        <v>64</v>
      </c>
      <c r="B115" s="65"/>
      <c r="C115" s="65"/>
      <c r="D115" s="66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5"/>
      <c r="P115" s="38"/>
    </row>
    <row r="116" spans="1:16">
      <c r="A116" s="52" t="s">
        <v>65</v>
      </c>
      <c r="B116" s="65"/>
      <c r="C116" s="65"/>
      <c r="D116" s="66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5"/>
      <c r="P116" s="38"/>
    </row>
    <row r="117" spans="1:16">
      <c r="A117" s="52" t="s">
        <v>66</v>
      </c>
      <c r="B117" s="65"/>
      <c r="C117" s="65"/>
      <c r="D117" s="66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5"/>
      <c r="P117" s="38"/>
    </row>
    <row r="118" spans="1:16">
      <c r="A118" s="52" t="s">
        <v>67</v>
      </c>
      <c r="B118" s="65"/>
      <c r="C118" s="65"/>
      <c r="D118" s="66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5"/>
      <c r="P118" s="38"/>
    </row>
    <row r="119" spans="1:16">
      <c r="A119" s="52" t="s">
        <v>69</v>
      </c>
      <c r="B119" s="65"/>
      <c r="C119" s="65"/>
      <c r="D119" s="66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5"/>
      <c r="P119" s="38"/>
    </row>
    <row r="120" spans="1:16">
      <c r="A120" s="52" t="s">
        <v>70</v>
      </c>
      <c r="B120" s="65"/>
      <c r="C120" s="65"/>
      <c r="D120" s="66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5"/>
      <c r="P120" s="38"/>
    </row>
    <row r="121" spans="1:16">
      <c r="A121" s="52" t="s">
        <v>71</v>
      </c>
      <c r="B121" s="65"/>
      <c r="C121" s="65"/>
      <c r="D121" s="66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5"/>
      <c r="P121" s="38"/>
    </row>
    <row r="122" spans="1:16">
      <c r="A122" s="52" t="s">
        <v>72</v>
      </c>
      <c r="B122" s="65"/>
      <c r="C122" s="65"/>
      <c r="D122" s="66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5"/>
      <c r="P122" s="38"/>
    </row>
    <row r="123" spans="1:16">
      <c r="A123" s="52" t="s">
        <v>73</v>
      </c>
      <c r="B123" s="65"/>
      <c r="C123" s="65"/>
      <c r="D123" s="66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5"/>
      <c r="P123" s="38"/>
    </row>
    <row r="124" spans="1:16">
      <c r="A124" s="52" t="s">
        <v>74</v>
      </c>
      <c r="B124" s="65"/>
      <c r="C124" s="65"/>
      <c r="D124" s="66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5"/>
      <c r="P124" s="38"/>
    </row>
    <row r="125" spans="1:16">
      <c r="A125" s="52" t="s">
        <v>75</v>
      </c>
      <c r="B125" s="65"/>
      <c r="C125" s="65"/>
      <c r="D125" s="66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5"/>
      <c r="P125" s="38"/>
    </row>
    <row r="126" spans="1:16">
      <c r="A126" s="52" t="s">
        <v>76</v>
      </c>
      <c r="B126" s="65"/>
      <c r="C126" s="65"/>
      <c r="D126" s="66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5"/>
      <c r="P126" s="38"/>
    </row>
    <row r="127" spans="1:16">
      <c r="A127" s="52" t="s">
        <v>77</v>
      </c>
      <c r="B127" s="65"/>
      <c r="C127" s="65"/>
      <c r="D127" s="66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5"/>
      <c r="P127" s="38"/>
    </row>
    <row r="128" spans="1:16">
      <c r="A128" s="52" t="s">
        <v>78</v>
      </c>
      <c r="B128" s="65">
        <v>45833</v>
      </c>
      <c r="C128" s="65"/>
      <c r="D128" s="66">
        <v>0</v>
      </c>
      <c r="E128" s="67">
        <v>66</v>
      </c>
      <c r="F128" s="67">
        <v>66</v>
      </c>
      <c r="G128" s="67">
        <v>0</v>
      </c>
      <c r="H128" s="67">
        <v>0</v>
      </c>
      <c r="I128" s="67"/>
      <c r="J128" s="67"/>
      <c r="K128" s="67"/>
      <c r="L128" s="67"/>
      <c r="M128" s="67" t="s">
        <v>19</v>
      </c>
      <c r="N128" s="67" t="s">
        <v>20</v>
      </c>
      <c r="O128" s="65">
        <v>45833</v>
      </c>
      <c r="P128" s="38"/>
    </row>
    <row r="129" spans="1:16">
      <c r="A129" s="52">
        <v>91255</v>
      </c>
      <c r="B129" s="65">
        <v>45831</v>
      </c>
      <c r="C129" s="65"/>
      <c r="D129" s="66">
        <v>2</v>
      </c>
      <c r="E129" s="67">
        <v>100</v>
      </c>
      <c r="F129" s="67">
        <v>100</v>
      </c>
      <c r="G129" s="67">
        <v>0</v>
      </c>
      <c r="H129" s="67">
        <v>0</v>
      </c>
      <c r="I129" s="67"/>
      <c r="J129" s="67"/>
      <c r="K129" s="67"/>
      <c r="L129" s="67"/>
      <c r="M129" s="67" t="s">
        <v>19</v>
      </c>
      <c r="N129" s="67" t="s">
        <v>34</v>
      </c>
      <c r="O129" s="65">
        <v>45831</v>
      </c>
      <c r="P129" s="38"/>
    </row>
    <row r="130" spans="1:16">
      <c r="A130" s="52" t="s">
        <v>80</v>
      </c>
      <c r="B130" s="65"/>
      <c r="C130" s="65"/>
      <c r="D130" s="66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5"/>
      <c r="P130" s="38"/>
    </row>
    <row r="131" spans="1:16">
      <c r="A131" s="52" t="s">
        <v>81</v>
      </c>
      <c r="B131" s="65">
        <v>45818</v>
      </c>
      <c r="C131" s="65"/>
      <c r="D131" s="66">
        <v>2</v>
      </c>
      <c r="E131" s="67">
        <v>360</v>
      </c>
      <c r="F131" s="67">
        <v>360</v>
      </c>
      <c r="G131" s="67">
        <v>0</v>
      </c>
      <c r="H131" s="67">
        <v>0</v>
      </c>
      <c r="I131" s="67"/>
      <c r="J131" s="67"/>
      <c r="K131" s="67"/>
      <c r="L131" s="67"/>
      <c r="M131" s="67" t="s">
        <v>19</v>
      </c>
      <c r="N131" s="67" t="s">
        <v>25</v>
      </c>
      <c r="O131" s="65">
        <v>45818</v>
      </c>
      <c r="P131" s="38"/>
    </row>
    <row r="132" spans="1:16">
      <c r="A132" s="52" t="s">
        <v>82</v>
      </c>
      <c r="B132" s="65">
        <v>45840</v>
      </c>
      <c r="C132" s="65"/>
      <c r="D132" s="66">
        <v>2</v>
      </c>
      <c r="E132" s="67">
        <v>136</v>
      </c>
      <c r="F132" s="67">
        <v>136</v>
      </c>
      <c r="G132" s="67">
        <v>0</v>
      </c>
      <c r="H132" s="67">
        <v>0</v>
      </c>
      <c r="I132" s="67"/>
      <c r="J132" s="67"/>
      <c r="K132" s="67"/>
      <c r="L132" s="67"/>
      <c r="M132" s="67" t="s">
        <v>19</v>
      </c>
      <c r="N132" s="67" t="s">
        <v>20</v>
      </c>
      <c r="O132" s="65">
        <v>45840</v>
      </c>
      <c r="P132" s="38"/>
    </row>
    <row r="133" spans="1:16">
      <c r="A133" s="52" t="s">
        <v>83</v>
      </c>
      <c r="B133" s="65"/>
      <c r="C133" s="65"/>
      <c r="D133" s="66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5"/>
      <c r="P133" s="38"/>
    </row>
    <row r="134" spans="1:16">
      <c r="A134" s="52" t="s">
        <v>84</v>
      </c>
      <c r="B134" s="65"/>
      <c r="C134" s="65"/>
      <c r="D134" s="66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5"/>
      <c r="P134" s="38"/>
    </row>
    <row r="135" spans="1:16">
      <c r="A135" s="52" t="s">
        <v>85</v>
      </c>
      <c r="B135" s="65">
        <v>45825</v>
      </c>
      <c r="C135" s="65"/>
      <c r="D135" s="66">
        <v>2</v>
      </c>
      <c r="E135" s="67">
        <v>100</v>
      </c>
      <c r="F135" s="67">
        <v>100</v>
      </c>
      <c r="G135" s="67">
        <v>0</v>
      </c>
      <c r="H135" s="67">
        <v>0</v>
      </c>
      <c r="I135" s="67"/>
      <c r="J135" s="67"/>
      <c r="K135" s="67"/>
      <c r="L135" s="67"/>
      <c r="M135" s="67" t="s">
        <v>19</v>
      </c>
      <c r="N135" s="67" t="s">
        <v>34</v>
      </c>
      <c r="O135" s="65">
        <v>45825</v>
      </c>
      <c r="P135" s="38"/>
    </row>
    <row r="136" spans="1:16">
      <c r="A136" s="52" t="s">
        <v>86</v>
      </c>
      <c r="B136" s="65"/>
      <c r="C136" s="65"/>
      <c r="D136" s="66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5"/>
      <c r="P136" s="38"/>
    </row>
    <row r="137" spans="1:16">
      <c r="A137" s="52" t="s">
        <v>87</v>
      </c>
      <c r="B137" s="65">
        <v>45832</v>
      </c>
      <c r="C137" s="65"/>
      <c r="D137" s="66">
        <v>1</v>
      </c>
      <c r="E137" s="67">
        <v>80</v>
      </c>
      <c r="F137" s="67">
        <v>80</v>
      </c>
      <c r="G137" s="67">
        <v>0</v>
      </c>
      <c r="H137" s="67">
        <v>0</v>
      </c>
      <c r="I137" s="67"/>
      <c r="J137" s="67"/>
      <c r="K137" s="67"/>
      <c r="L137" s="67"/>
      <c r="M137" s="67" t="s">
        <v>19</v>
      </c>
      <c r="N137" s="67" t="s">
        <v>20</v>
      </c>
      <c r="O137" s="65">
        <v>45832</v>
      </c>
      <c r="P137" s="38"/>
    </row>
    <row r="138" spans="1:16">
      <c r="A138" s="52">
        <v>91273</v>
      </c>
      <c r="B138" s="65"/>
      <c r="C138" s="65"/>
      <c r="D138" s="66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5"/>
      <c r="P138" s="38"/>
    </row>
    <row r="139" spans="1:16">
      <c r="A139" s="52" t="s">
        <v>88</v>
      </c>
      <c r="B139" s="65"/>
      <c r="C139" s="65"/>
      <c r="D139" s="66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5"/>
      <c r="P139" s="38"/>
    </row>
    <row r="140" spans="1:16">
      <c r="A140" s="52" t="s">
        <v>89</v>
      </c>
      <c r="B140" s="65">
        <v>45797</v>
      </c>
      <c r="C140" s="65"/>
      <c r="D140" s="66">
        <v>2</v>
      </c>
      <c r="E140" s="67">
        <v>245</v>
      </c>
      <c r="F140" s="67">
        <v>245</v>
      </c>
      <c r="G140" s="67">
        <v>0</v>
      </c>
      <c r="H140" s="67">
        <v>0</v>
      </c>
      <c r="I140" s="67"/>
      <c r="J140" s="67"/>
      <c r="K140" s="67"/>
      <c r="L140" s="67"/>
      <c r="M140" s="67" t="s">
        <v>17</v>
      </c>
      <c r="N140" s="67" t="s">
        <v>53</v>
      </c>
      <c r="O140" s="65">
        <v>45797</v>
      </c>
      <c r="P140" s="38"/>
    </row>
    <row r="141" spans="1:16">
      <c r="A141" s="52">
        <v>91279</v>
      </c>
      <c r="B141" s="65"/>
      <c r="C141" s="65"/>
      <c r="D141" s="66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5"/>
      <c r="P141" s="38"/>
    </row>
    <row r="142" spans="1:16">
      <c r="A142" s="52" t="s">
        <v>90</v>
      </c>
      <c r="B142" s="65"/>
      <c r="C142" s="65"/>
      <c r="D142" s="66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5"/>
      <c r="P142" s="38"/>
    </row>
    <row r="143" spans="1:16">
      <c r="A143" s="52" t="s">
        <v>92</v>
      </c>
      <c r="B143" s="65"/>
      <c r="C143" s="65"/>
      <c r="D143" s="66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5"/>
      <c r="P143" s="38"/>
    </row>
    <row r="144" spans="1:16">
      <c r="A144" s="52" t="s">
        <v>93</v>
      </c>
      <c r="B144" s="65"/>
      <c r="C144" s="65"/>
      <c r="D144" s="66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5"/>
      <c r="P144" s="38"/>
    </row>
    <row r="145" spans="1:16">
      <c r="A145" s="52" t="s">
        <v>95</v>
      </c>
      <c r="B145" s="65"/>
      <c r="C145" s="65"/>
      <c r="D145" s="66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5"/>
      <c r="P145" s="38"/>
    </row>
    <row r="146" spans="1:16">
      <c r="A146" s="52" t="s">
        <v>96</v>
      </c>
      <c r="B146" s="65"/>
      <c r="C146" s="65"/>
      <c r="D146" s="66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5"/>
      <c r="P146" s="38"/>
    </row>
    <row r="147" spans="1:16">
      <c r="A147" s="52" t="s">
        <v>97</v>
      </c>
      <c r="B147" s="65"/>
      <c r="C147" s="65"/>
      <c r="D147" s="66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5"/>
      <c r="P147" s="38"/>
    </row>
    <row r="148" spans="1:16">
      <c r="A148" s="52" t="s">
        <v>98</v>
      </c>
      <c r="B148" s="65"/>
      <c r="C148" s="65"/>
      <c r="D148" s="66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5"/>
      <c r="P148" s="38"/>
    </row>
    <row r="149" spans="1:16">
      <c r="A149" s="52" t="s">
        <v>99</v>
      </c>
      <c r="B149" s="65">
        <v>45852</v>
      </c>
      <c r="C149" s="65"/>
      <c r="D149" s="66">
        <v>2</v>
      </c>
      <c r="E149" s="67">
        <v>170</v>
      </c>
      <c r="F149" s="67">
        <v>170</v>
      </c>
      <c r="G149" s="67">
        <v>0</v>
      </c>
      <c r="H149" s="67">
        <v>0</v>
      </c>
      <c r="I149" s="67"/>
      <c r="J149" s="67"/>
      <c r="K149" s="67"/>
      <c r="L149" s="67"/>
      <c r="M149" s="67" t="s">
        <v>19</v>
      </c>
      <c r="N149" s="67" t="s">
        <v>20</v>
      </c>
      <c r="O149" s="65">
        <v>45852</v>
      </c>
      <c r="P149" s="38"/>
    </row>
    <row r="150" spans="1:16">
      <c r="A150" s="52" t="s">
        <v>100</v>
      </c>
      <c r="B150" s="65"/>
      <c r="C150" s="65"/>
      <c r="D150" s="66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5"/>
      <c r="P150" s="38"/>
    </row>
    <row r="151" spans="1:16">
      <c r="A151" s="52" t="s">
        <v>101</v>
      </c>
      <c r="B151" s="65"/>
      <c r="C151" s="65"/>
      <c r="D151" s="66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5"/>
      <c r="P151" s="38"/>
    </row>
    <row r="152" spans="1:16">
      <c r="A152" s="52">
        <v>91301</v>
      </c>
      <c r="B152" s="65"/>
      <c r="C152" s="65"/>
      <c r="D152" s="66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5"/>
      <c r="P152" s="38"/>
    </row>
    <row r="153" spans="1:16">
      <c r="A153" s="52">
        <v>91303</v>
      </c>
      <c r="B153" s="65"/>
      <c r="C153" s="65"/>
      <c r="D153" s="66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5"/>
      <c r="P153" s="38"/>
    </row>
    <row r="154" spans="1:16">
      <c r="A154" s="52" t="s">
        <v>103</v>
      </c>
      <c r="B154" s="65"/>
      <c r="C154" s="65"/>
      <c r="D154" s="66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5"/>
      <c r="P154" s="38"/>
    </row>
    <row r="155" spans="1:16">
      <c r="A155" s="52" t="s">
        <v>104</v>
      </c>
      <c r="B155" s="65">
        <v>45839</v>
      </c>
      <c r="C155" s="65"/>
      <c r="D155" s="66">
        <v>2</v>
      </c>
      <c r="E155" s="67">
        <v>59</v>
      </c>
      <c r="F155" s="67">
        <v>59</v>
      </c>
      <c r="G155" s="67">
        <v>0</v>
      </c>
      <c r="H155" s="67">
        <v>0</v>
      </c>
      <c r="I155" s="67"/>
      <c r="J155" s="67"/>
      <c r="K155" s="67"/>
      <c r="L155" s="67"/>
      <c r="M155" s="67" t="s">
        <v>19</v>
      </c>
      <c r="N155" s="67" t="s">
        <v>20</v>
      </c>
      <c r="O155" s="65">
        <v>45839</v>
      </c>
      <c r="P155" s="38"/>
    </row>
    <row r="156" spans="1:16">
      <c r="A156" s="52" t="s">
        <v>105</v>
      </c>
      <c r="B156" s="65"/>
      <c r="C156" s="65"/>
      <c r="D156" s="66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5"/>
      <c r="P156" s="38"/>
    </row>
    <row r="157" spans="1:16">
      <c r="A157" s="52" t="s">
        <v>107</v>
      </c>
      <c r="B157" s="65"/>
      <c r="C157" s="65"/>
      <c r="D157" s="66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5"/>
      <c r="P157" s="38"/>
    </row>
    <row r="158" spans="1:16">
      <c r="A158" s="52" t="s">
        <v>108</v>
      </c>
      <c r="B158" s="65"/>
      <c r="C158" s="65"/>
      <c r="D158" s="66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5"/>
      <c r="P158" s="38"/>
    </row>
    <row r="159" spans="1:16">
      <c r="A159" s="52" t="s">
        <v>109</v>
      </c>
      <c r="B159" s="65">
        <v>45831</v>
      </c>
      <c r="C159" s="65"/>
      <c r="D159" s="66">
        <v>2</v>
      </c>
      <c r="E159" s="67">
        <v>50</v>
      </c>
      <c r="F159" s="67">
        <v>50</v>
      </c>
      <c r="G159" s="67">
        <v>0</v>
      </c>
      <c r="H159" s="67">
        <v>0</v>
      </c>
      <c r="I159" s="67"/>
      <c r="J159" s="67"/>
      <c r="K159" s="67"/>
      <c r="L159" s="67"/>
      <c r="M159" s="67" t="s">
        <v>19</v>
      </c>
      <c r="N159" s="67" t="s">
        <v>20</v>
      </c>
      <c r="O159" s="65">
        <v>45831</v>
      </c>
      <c r="P159" s="38"/>
    </row>
    <row r="160" spans="1:16">
      <c r="A160" s="52" t="s">
        <v>110</v>
      </c>
      <c r="B160" s="65">
        <v>45812</v>
      </c>
      <c r="C160" s="65"/>
      <c r="D160" s="66">
        <v>2</v>
      </c>
      <c r="E160" s="67">
        <v>180</v>
      </c>
      <c r="F160" s="67">
        <v>180</v>
      </c>
      <c r="G160" s="67">
        <v>0</v>
      </c>
      <c r="H160" s="67">
        <v>0</v>
      </c>
      <c r="I160" s="67"/>
      <c r="J160" s="67"/>
      <c r="K160" s="67"/>
      <c r="L160" s="67"/>
      <c r="M160" s="67" t="s">
        <v>19</v>
      </c>
      <c r="N160" s="67" t="s">
        <v>20</v>
      </c>
      <c r="O160" s="65">
        <v>45812</v>
      </c>
      <c r="P160" s="38"/>
    </row>
    <row r="161" spans="1:16">
      <c r="A161" s="52" t="s">
        <v>112</v>
      </c>
      <c r="B161" s="65"/>
      <c r="C161" s="65"/>
      <c r="D161" s="66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5"/>
      <c r="P161" s="38"/>
    </row>
    <row r="162" spans="1:16">
      <c r="A162" s="52" t="s">
        <v>113</v>
      </c>
      <c r="B162" s="65">
        <v>45853</v>
      </c>
      <c r="C162" s="65"/>
      <c r="D162" s="66">
        <v>2</v>
      </c>
      <c r="E162" s="67">
        <v>160</v>
      </c>
      <c r="F162" s="67">
        <v>160</v>
      </c>
      <c r="G162" s="67">
        <v>0</v>
      </c>
      <c r="H162" s="67">
        <v>0</v>
      </c>
      <c r="I162" s="67"/>
      <c r="J162" s="67"/>
      <c r="K162" s="67"/>
      <c r="L162" s="67"/>
      <c r="M162" s="67" t="s">
        <v>19</v>
      </c>
      <c r="N162" s="67" t="s">
        <v>20</v>
      </c>
      <c r="O162" s="65">
        <v>45853</v>
      </c>
      <c r="P162" s="38"/>
    </row>
    <row r="163" spans="1:16">
      <c r="A163" s="52" t="s">
        <v>114</v>
      </c>
      <c r="B163" s="65"/>
      <c r="C163" s="65"/>
      <c r="D163" s="66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5"/>
      <c r="P163" s="38"/>
    </row>
    <row r="164" spans="1:16">
      <c r="A164" s="52" t="s">
        <v>115</v>
      </c>
      <c r="B164" s="65">
        <v>45834</v>
      </c>
      <c r="C164" s="65"/>
      <c r="D164" s="66">
        <v>2</v>
      </c>
      <c r="E164" s="67">
        <v>140</v>
      </c>
      <c r="F164" s="67">
        <v>140</v>
      </c>
      <c r="G164" s="67">
        <v>0</v>
      </c>
      <c r="H164" s="67">
        <v>0</v>
      </c>
      <c r="I164" s="67"/>
      <c r="J164" s="67"/>
      <c r="K164" s="67"/>
      <c r="L164" s="67"/>
      <c r="M164" s="67" t="s">
        <v>19</v>
      </c>
      <c r="N164" s="67" t="s">
        <v>25</v>
      </c>
      <c r="O164" s="65">
        <v>45834</v>
      </c>
      <c r="P164" s="38"/>
    </row>
    <row r="165" spans="1:16">
      <c r="A165" s="52" t="s">
        <v>116</v>
      </c>
      <c r="B165" s="65"/>
      <c r="C165" s="65"/>
      <c r="D165" s="66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5"/>
      <c r="P165" s="38"/>
    </row>
    <row r="166" spans="1:16">
      <c r="A166" s="52">
        <v>91329</v>
      </c>
      <c r="B166" s="65"/>
      <c r="C166" s="65"/>
      <c r="D166" s="66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5"/>
      <c r="P166" s="38"/>
    </row>
    <row r="167" spans="1:16">
      <c r="A167" s="52" t="s">
        <v>117</v>
      </c>
      <c r="B167" s="65"/>
      <c r="C167" s="65"/>
      <c r="D167" s="66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5"/>
      <c r="P167" s="38"/>
    </row>
    <row r="168" spans="1:16">
      <c r="A168" s="52" t="s">
        <v>118</v>
      </c>
      <c r="B168" s="65">
        <v>45832</v>
      </c>
      <c r="C168" s="65"/>
      <c r="D168" s="66">
        <v>2</v>
      </c>
      <c r="E168" s="67">
        <v>20</v>
      </c>
      <c r="F168" s="67">
        <v>20</v>
      </c>
      <c r="G168" s="67">
        <v>0</v>
      </c>
      <c r="H168" s="67">
        <v>0</v>
      </c>
      <c r="I168" s="67"/>
      <c r="J168" s="67"/>
      <c r="K168" s="67"/>
      <c r="L168" s="67"/>
      <c r="M168" s="67" t="s">
        <v>19</v>
      </c>
      <c r="N168" s="67" t="s">
        <v>20</v>
      </c>
      <c r="O168" s="65">
        <v>45832</v>
      </c>
      <c r="P168" s="38"/>
    </row>
    <row r="169" spans="1:16">
      <c r="A169" s="52" t="s">
        <v>120</v>
      </c>
      <c r="B169" s="65"/>
      <c r="C169" s="65"/>
      <c r="D169" s="66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5"/>
      <c r="P169" s="38"/>
    </row>
    <row r="170" spans="1:16">
      <c r="A170" s="57">
        <v>91337</v>
      </c>
      <c r="B170" s="65"/>
      <c r="C170" s="65"/>
      <c r="D170" s="66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5"/>
      <c r="P170" s="38"/>
    </row>
    <row r="171" spans="1:16">
      <c r="A171" s="52" t="s">
        <v>121</v>
      </c>
      <c r="B171" s="65"/>
      <c r="C171" s="65"/>
      <c r="D171" s="66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5"/>
      <c r="P171" s="38"/>
    </row>
    <row r="172" spans="1:16">
      <c r="A172" s="52">
        <v>91341</v>
      </c>
      <c r="B172" s="65"/>
      <c r="C172" s="65"/>
      <c r="D172" s="66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5"/>
      <c r="P172" s="38"/>
    </row>
    <row r="173" spans="1:16">
      <c r="A173" s="52">
        <v>91343</v>
      </c>
      <c r="B173" s="65"/>
      <c r="C173" s="65"/>
      <c r="D173" s="66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5"/>
      <c r="P173" s="38"/>
    </row>
    <row r="174" spans="1:16">
      <c r="A174" s="52">
        <v>91345</v>
      </c>
      <c r="B174" s="65"/>
      <c r="C174" s="65"/>
      <c r="D174" s="66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5"/>
      <c r="P174" s="38"/>
    </row>
    <row r="175" spans="1:16">
      <c r="A175" s="52">
        <v>91347</v>
      </c>
      <c r="B175" s="65"/>
      <c r="C175" s="65"/>
      <c r="D175" s="66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5"/>
      <c r="P175" s="38"/>
    </row>
    <row r="176" spans="1:16">
      <c r="A176" s="52">
        <v>91349</v>
      </c>
      <c r="B176" s="65">
        <v>45806</v>
      </c>
      <c r="C176" s="65"/>
      <c r="D176" s="66">
        <v>2</v>
      </c>
      <c r="E176" s="67">
        <v>70</v>
      </c>
      <c r="F176" s="67">
        <v>70</v>
      </c>
      <c r="G176" s="67">
        <v>0</v>
      </c>
      <c r="H176" s="67">
        <v>0</v>
      </c>
      <c r="I176" s="67"/>
      <c r="J176" s="67"/>
      <c r="K176" s="67"/>
      <c r="L176" s="67"/>
      <c r="M176" s="67" t="s">
        <v>19</v>
      </c>
      <c r="N176" s="67" t="s">
        <v>25</v>
      </c>
      <c r="O176" s="65">
        <v>45806</v>
      </c>
      <c r="P176" s="38"/>
    </row>
    <row r="177" spans="1:16">
      <c r="A177" s="52">
        <v>93002</v>
      </c>
      <c r="B177" s="65"/>
      <c r="C177" s="65"/>
      <c r="D177" s="66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5"/>
      <c r="P177" s="38"/>
    </row>
    <row r="178" spans="1:16">
      <c r="A178" s="52">
        <v>93004</v>
      </c>
      <c r="B178" s="65"/>
      <c r="C178" s="65"/>
      <c r="D178" s="66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5"/>
      <c r="P178" s="38"/>
    </row>
    <row r="179" spans="1:16">
      <c r="A179" s="52">
        <v>93006</v>
      </c>
      <c r="B179" s="65">
        <v>45806</v>
      </c>
      <c r="C179" s="65"/>
      <c r="D179" s="66">
        <v>2</v>
      </c>
      <c r="E179" s="67">
        <v>180</v>
      </c>
      <c r="F179" s="67">
        <v>180</v>
      </c>
      <c r="G179" s="67">
        <v>0</v>
      </c>
      <c r="H179" s="67">
        <v>0</v>
      </c>
      <c r="I179" s="67"/>
      <c r="J179" s="67"/>
      <c r="K179" s="67"/>
      <c r="L179" s="67"/>
      <c r="M179" s="67" t="s">
        <v>19</v>
      </c>
      <c r="N179" s="67" t="s">
        <v>20</v>
      </c>
      <c r="O179" s="65">
        <v>45806</v>
      </c>
      <c r="P179" s="38"/>
    </row>
    <row r="180" spans="1:16">
      <c r="A180" s="52">
        <v>93008</v>
      </c>
      <c r="B180" s="65"/>
      <c r="C180" s="65"/>
      <c r="D180" s="66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5"/>
      <c r="P180" s="38"/>
    </row>
    <row r="181" spans="1:16">
      <c r="A181" s="52">
        <v>93010</v>
      </c>
      <c r="B181" s="65"/>
      <c r="C181" s="65"/>
      <c r="D181" s="66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5"/>
      <c r="P181" s="38"/>
    </row>
    <row r="182" spans="1:16">
      <c r="A182" s="52">
        <v>93012</v>
      </c>
      <c r="B182" s="65"/>
      <c r="C182" s="65"/>
      <c r="D182" s="66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5"/>
      <c r="P182" s="38"/>
    </row>
    <row r="183" spans="1:16">
      <c r="A183" s="52">
        <v>93014</v>
      </c>
      <c r="B183" s="65"/>
      <c r="C183" s="65"/>
      <c r="D183" s="66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5"/>
      <c r="P183" s="38"/>
    </row>
    <row r="184" spans="1:16">
      <c r="A184" s="52">
        <v>93016</v>
      </c>
      <c r="B184" s="65">
        <v>45839</v>
      </c>
      <c r="C184" s="65"/>
      <c r="D184" s="66">
        <v>2</v>
      </c>
      <c r="E184" s="67">
        <v>14</v>
      </c>
      <c r="F184" s="67">
        <v>14</v>
      </c>
      <c r="G184" s="67">
        <v>0</v>
      </c>
      <c r="H184" s="67">
        <v>0</v>
      </c>
      <c r="I184" s="67"/>
      <c r="J184" s="67"/>
      <c r="K184" s="67"/>
      <c r="L184" s="67"/>
      <c r="M184" s="67" t="s">
        <v>19</v>
      </c>
      <c r="N184" s="67" t="s">
        <v>20</v>
      </c>
      <c r="O184" s="65">
        <v>45839</v>
      </c>
      <c r="P184" s="38"/>
    </row>
    <row r="185" spans="1:16">
      <c r="A185" s="52">
        <v>93018</v>
      </c>
      <c r="B185" s="65"/>
      <c r="C185" s="65"/>
      <c r="D185" s="66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5"/>
      <c r="P185" s="38"/>
    </row>
    <row r="186" spans="1:16">
      <c r="A186" s="52">
        <v>93020</v>
      </c>
      <c r="B186" s="65"/>
      <c r="C186" s="65"/>
      <c r="D186" s="66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5"/>
      <c r="P186" s="38"/>
    </row>
    <row r="187" spans="1:16">
      <c r="A187" s="52">
        <v>93022</v>
      </c>
      <c r="B187" s="65"/>
      <c r="C187" s="65"/>
      <c r="D187" s="66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5"/>
      <c r="P187" s="38"/>
    </row>
    <row r="188" spans="1:16">
      <c r="A188" s="52">
        <v>93024</v>
      </c>
      <c r="B188" s="65"/>
      <c r="C188" s="65"/>
      <c r="D188" s="66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5"/>
      <c r="P188" s="38"/>
    </row>
    <row r="189" spans="1:16">
      <c r="A189" s="52">
        <v>93026</v>
      </c>
      <c r="B189" s="65"/>
      <c r="C189" s="65"/>
      <c r="D189" s="66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5"/>
      <c r="P189" s="38"/>
    </row>
    <row r="190" spans="1:16">
      <c r="A190" s="52">
        <v>93028</v>
      </c>
      <c r="B190" s="65"/>
      <c r="C190" s="65"/>
      <c r="D190" s="66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5"/>
      <c r="P190" s="38"/>
    </row>
    <row r="191" spans="1:16">
      <c r="A191" s="52">
        <v>93030</v>
      </c>
      <c r="B191" s="65"/>
      <c r="C191" s="65"/>
      <c r="D191" s="66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5"/>
      <c r="P191" s="38"/>
    </row>
    <row r="192" spans="1:16">
      <c r="A192" s="52">
        <v>93032</v>
      </c>
      <c r="B192" s="65"/>
      <c r="C192" s="65"/>
      <c r="D192" s="66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5"/>
      <c r="P192" s="38"/>
    </row>
    <row r="193" spans="1:16">
      <c r="A193" s="52">
        <v>93034</v>
      </c>
      <c r="B193" s="65"/>
      <c r="C193" s="65"/>
      <c r="D193" s="66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5"/>
      <c r="P193" s="38"/>
    </row>
    <row r="194" spans="1:16">
      <c r="A194" s="52">
        <v>93036</v>
      </c>
      <c r="B194" s="65"/>
      <c r="C194" s="65"/>
      <c r="D194" s="66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5"/>
      <c r="P194" s="38"/>
    </row>
    <row r="195" spans="1:16">
      <c r="A195" s="52">
        <v>93038</v>
      </c>
      <c r="B195" s="65"/>
      <c r="C195" s="65"/>
      <c r="D195" s="66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5"/>
      <c r="P195" s="38"/>
    </row>
    <row r="196" spans="1:16">
      <c r="A196" s="52">
        <v>93040</v>
      </c>
      <c r="B196" s="65"/>
      <c r="C196" s="65"/>
      <c r="D196" s="66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5"/>
      <c r="P196" s="38"/>
    </row>
    <row r="197" spans="1:16">
      <c r="A197" s="52">
        <v>93042</v>
      </c>
      <c r="B197" s="65"/>
      <c r="C197" s="65"/>
      <c r="D197" s="66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5"/>
      <c r="P197" s="38"/>
    </row>
    <row r="198" spans="1:16">
      <c r="A198" s="52">
        <v>93044</v>
      </c>
      <c r="B198" s="65"/>
      <c r="C198" s="65"/>
      <c r="D198" s="66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5"/>
      <c r="P198" s="38"/>
    </row>
    <row r="199" spans="1:16">
      <c r="A199" s="52">
        <v>93046</v>
      </c>
      <c r="B199" s="65">
        <v>45858</v>
      </c>
      <c r="C199" s="65"/>
      <c r="D199" s="66">
        <v>2</v>
      </c>
      <c r="E199" s="67">
        <v>100</v>
      </c>
      <c r="F199" s="67">
        <v>100</v>
      </c>
      <c r="G199" s="67">
        <v>0</v>
      </c>
      <c r="H199" s="67">
        <v>0</v>
      </c>
      <c r="I199" s="67"/>
      <c r="J199" s="67"/>
      <c r="K199" s="67"/>
      <c r="L199" s="67"/>
      <c r="M199" s="67" t="s">
        <v>19</v>
      </c>
      <c r="N199" s="67" t="s">
        <v>25</v>
      </c>
      <c r="O199" s="65">
        <v>45858</v>
      </c>
      <c r="P199" s="38"/>
    </row>
    <row r="200" spans="1:16">
      <c r="A200" s="52">
        <v>93048</v>
      </c>
      <c r="B200" s="65">
        <v>45821</v>
      </c>
      <c r="C200" s="65"/>
      <c r="D200" s="66">
        <v>2</v>
      </c>
      <c r="E200" s="66">
        <v>20</v>
      </c>
      <c r="F200" s="66">
        <v>20</v>
      </c>
      <c r="G200" s="66">
        <v>0</v>
      </c>
      <c r="H200" s="66">
        <v>0</v>
      </c>
      <c r="I200" s="66"/>
      <c r="J200" s="66"/>
      <c r="K200" s="66"/>
      <c r="L200" s="66"/>
      <c r="M200" s="67" t="s">
        <v>19</v>
      </c>
      <c r="N200" s="67" t="s">
        <v>25</v>
      </c>
      <c r="O200" s="65">
        <v>45821</v>
      </c>
      <c r="P200" s="37"/>
    </row>
    <row r="201" spans="1:16">
      <c r="A201" s="52">
        <v>93050</v>
      </c>
      <c r="B201" s="65"/>
      <c r="C201" s="65"/>
      <c r="D201" s="40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5"/>
      <c r="P201" s="38"/>
    </row>
    <row r="202" spans="1:16">
      <c r="A202" s="52">
        <v>93052</v>
      </c>
      <c r="B202" s="65"/>
      <c r="C202" s="65"/>
      <c r="D202" s="66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5"/>
      <c r="P202" s="38"/>
    </row>
    <row r="203" spans="1:16">
      <c r="A203" s="52">
        <v>93054</v>
      </c>
      <c r="B203" s="65"/>
      <c r="C203" s="65"/>
      <c r="D203" s="66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5"/>
      <c r="P203" s="38"/>
    </row>
    <row r="204" spans="1:16">
      <c r="A204" s="52">
        <v>93056</v>
      </c>
      <c r="B204" s="65"/>
      <c r="C204" s="65"/>
      <c r="D204" s="66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5"/>
      <c r="P204" s="38"/>
    </row>
    <row r="205" spans="1:16">
      <c r="A205" s="52">
        <v>93058</v>
      </c>
      <c r="B205" s="65">
        <v>45830</v>
      </c>
      <c r="C205" s="65"/>
      <c r="D205" s="66">
        <v>2</v>
      </c>
      <c r="E205" s="67">
        <v>120</v>
      </c>
      <c r="F205" s="67">
        <v>120</v>
      </c>
      <c r="G205" s="67">
        <v>0</v>
      </c>
      <c r="H205" s="67">
        <v>0</v>
      </c>
      <c r="I205" s="67"/>
      <c r="J205" s="67"/>
      <c r="K205" s="67"/>
      <c r="L205" s="67"/>
      <c r="M205" s="67" t="s">
        <v>19</v>
      </c>
      <c r="N205" s="67" t="s">
        <v>20</v>
      </c>
      <c r="O205" s="65">
        <v>45830</v>
      </c>
      <c r="P205" s="38"/>
    </row>
    <row r="206" spans="1:16">
      <c r="A206" s="52">
        <v>93060</v>
      </c>
      <c r="B206" s="65"/>
      <c r="C206" s="65"/>
      <c r="D206" s="66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5"/>
      <c r="P206" s="38"/>
    </row>
    <row r="207" spans="1:16">
      <c r="A207" s="52">
        <v>93062</v>
      </c>
      <c r="B207" s="65"/>
      <c r="C207" s="65"/>
      <c r="D207" s="66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5"/>
      <c r="P207" s="38"/>
    </row>
    <row r="208" spans="1:16">
      <c r="A208" s="52">
        <v>93064</v>
      </c>
      <c r="B208" s="65"/>
      <c r="C208" s="65"/>
      <c r="D208" s="66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5"/>
      <c r="P208" s="38"/>
    </row>
    <row r="209" spans="1:16">
      <c r="A209" s="52">
        <v>93066</v>
      </c>
      <c r="B209" s="65"/>
      <c r="C209" s="65"/>
      <c r="D209" s="66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5"/>
      <c r="P209" s="38"/>
    </row>
    <row r="210" spans="1:16">
      <c r="A210" s="52">
        <v>93068</v>
      </c>
      <c r="B210" s="65"/>
      <c r="C210" s="65"/>
      <c r="D210" s="66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5"/>
      <c r="P210" s="38"/>
    </row>
    <row r="211" spans="1:16">
      <c r="A211" s="52">
        <v>93070</v>
      </c>
      <c r="B211" s="65"/>
      <c r="C211" s="65"/>
      <c r="D211" s="66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5"/>
      <c r="P211" s="38"/>
    </row>
    <row r="212" spans="1:16">
      <c r="A212" s="52">
        <v>93072</v>
      </c>
      <c r="B212" s="65"/>
      <c r="C212" s="65"/>
      <c r="D212" s="66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5"/>
      <c r="P212" s="38"/>
    </row>
    <row r="213" spans="1:16">
      <c r="A213" s="52">
        <v>93074</v>
      </c>
      <c r="B213" s="65"/>
      <c r="C213" s="65"/>
      <c r="D213" s="66"/>
      <c r="E213" s="66"/>
      <c r="F213" s="66"/>
      <c r="G213" s="66"/>
      <c r="H213" s="66"/>
      <c r="I213" s="66"/>
      <c r="J213" s="66"/>
      <c r="K213" s="66"/>
      <c r="L213" s="66"/>
      <c r="M213" s="67"/>
      <c r="N213" s="68"/>
      <c r="O213" s="65"/>
      <c r="P213" s="38"/>
    </row>
    <row r="214" spans="1:16">
      <c r="A214" s="52">
        <v>93076</v>
      </c>
      <c r="B214" s="65">
        <v>45783</v>
      </c>
      <c r="C214" s="65"/>
      <c r="D214" s="66">
        <v>2</v>
      </c>
      <c r="E214" s="67">
        <v>22</v>
      </c>
      <c r="F214" s="67">
        <v>22</v>
      </c>
      <c r="G214" s="67">
        <v>0</v>
      </c>
      <c r="H214" s="67">
        <v>0</v>
      </c>
      <c r="I214" s="67"/>
      <c r="J214" s="67"/>
      <c r="K214" s="67"/>
      <c r="L214" s="67"/>
      <c r="M214" s="67" t="s">
        <v>19</v>
      </c>
      <c r="N214" s="67" t="s">
        <v>20</v>
      </c>
      <c r="O214" s="65">
        <v>45783</v>
      </c>
      <c r="P214" s="38"/>
    </row>
    <row r="215" spans="1:16">
      <c r="A215" s="52">
        <v>93078</v>
      </c>
      <c r="B215" s="65"/>
      <c r="C215" s="65"/>
      <c r="D215" s="66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5"/>
      <c r="P215" s="38"/>
    </row>
    <row r="216" spans="1:16">
      <c r="A216" s="52">
        <v>93080</v>
      </c>
      <c r="B216" s="65"/>
      <c r="C216" s="65"/>
      <c r="D216" s="66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5"/>
      <c r="P216" s="38"/>
    </row>
    <row r="217" spans="1:16">
      <c r="A217" s="52">
        <v>93082</v>
      </c>
      <c r="B217" s="65"/>
      <c r="C217" s="65"/>
      <c r="D217" s="66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5"/>
      <c r="P217" s="38"/>
    </row>
    <row r="218" spans="1:16">
      <c r="A218" s="52">
        <v>93084</v>
      </c>
      <c r="B218" s="65"/>
      <c r="C218" s="65"/>
      <c r="D218" s="66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5"/>
      <c r="P218" s="38"/>
    </row>
    <row r="219" spans="1:16">
      <c r="A219" s="52">
        <v>93086</v>
      </c>
      <c r="B219" s="65"/>
      <c r="C219" s="65"/>
      <c r="D219" s="66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5"/>
      <c r="P219" s="38"/>
    </row>
    <row r="220" spans="1:16">
      <c r="A220" s="52">
        <v>93088</v>
      </c>
      <c r="B220" s="65">
        <v>45840</v>
      </c>
      <c r="C220" s="65"/>
      <c r="D220" s="66">
        <v>2</v>
      </c>
      <c r="E220" s="67">
        <v>87</v>
      </c>
      <c r="F220" s="67">
        <v>87</v>
      </c>
      <c r="G220" s="67">
        <v>0</v>
      </c>
      <c r="H220" s="67">
        <v>0</v>
      </c>
      <c r="I220" s="67"/>
      <c r="J220" s="67"/>
      <c r="K220" s="67"/>
      <c r="L220" s="67"/>
      <c r="M220" s="67" t="s">
        <v>19</v>
      </c>
      <c r="N220" s="67" t="s">
        <v>20</v>
      </c>
      <c r="O220" s="65">
        <v>45840</v>
      </c>
      <c r="P220" s="38"/>
    </row>
    <row r="221" spans="1:16">
      <c r="A221" s="52">
        <v>93090</v>
      </c>
      <c r="B221" s="65"/>
      <c r="C221" s="65"/>
      <c r="D221" s="66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5"/>
      <c r="P221" s="38"/>
    </row>
    <row r="222" spans="1:16">
      <c r="A222" s="52">
        <v>93092</v>
      </c>
      <c r="B222" s="65"/>
      <c r="C222" s="65"/>
      <c r="D222" s="66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5"/>
      <c r="P222" s="38"/>
    </row>
    <row r="223" spans="1:16">
      <c r="A223" s="52">
        <v>93094</v>
      </c>
      <c r="B223" s="65"/>
      <c r="C223" s="65"/>
      <c r="D223" s="66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5"/>
      <c r="P223" s="38"/>
    </row>
    <row r="224" spans="1:16">
      <c r="A224" s="52">
        <v>93096</v>
      </c>
      <c r="B224" s="65"/>
      <c r="C224" s="65"/>
      <c r="D224" s="66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5"/>
      <c r="P224" s="38"/>
    </row>
    <row r="225" spans="1:16">
      <c r="A225" s="52">
        <v>93098</v>
      </c>
      <c r="B225" s="65"/>
      <c r="C225" s="65"/>
      <c r="D225" s="66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5"/>
      <c r="P225" s="38"/>
    </row>
    <row r="226" spans="1:16">
      <c r="A226" s="57">
        <v>93100</v>
      </c>
      <c r="B226" s="65"/>
      <c r="C226" s="65"/>
      <c r="D226" s="66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5"/>
      <c r="P226" s="38"/>
    </row>
    <row r="227" spans="1:16">
      <c r="A227" s="52">
        <v>93102</v>
      </c>
      <c r="B227" s="65">
        <v>45840</v>
      </c>
      <c r="C227" s="65"/>
      <c r="D227" s="66">
        <v>1</v>
      </c>
      <c r="E227" s="67">
        <v>44</v>
      </c>
      <c r="F227" s="67">
        <v>44</v>
      </c>
      <c r="G227" s="67">
        <v>0</v>
      </c>
      <c r="H227" s="67">
        <v>0</v>
      </c>
      <c r="I227" s="67"/>
      <c r="J227" s="67"/>
      <c r="K227" s="67"/>
      <c r="L227" s="67"/>
      <c r="M227" s="67" t="s">
        <v>19</v>
      </c>
      <c r="N227" s="67" t="s">
        <v>20</v>
      </c>
      <c r="O227" s="65">
        <v>45840</v>
      </c>
      <c r="P227" s="38"/>
    </row>
    <row r="228" spans="1:16">
      <c r="A228" s="52">
        <v>93104</v>
      </c>
      <c r="B228" s="65"/>
      <c r="C228" s="65"/>
      <c r="D228" s="66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5"/>
      <c r="P228" s="38"/>
    </row>
    <row r="229" spans="1:16">
      <c r="A229" s="52">
        <v>93106</v>
      </c>
      <c r="B229" s="65"/>
      <c r="C229" s="65"/>
      <c r="D229" s="66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5"/>
      <c r="P229" s="38"/>
    </row>
    <row r="230" spans="1:16">
      <c r="A230" s="52">
        <v>93108</v>
      </c>
      <c r="B230" s="65"/>
      <c r="C230" s="65"/>
      <c r="D230" s="66"/>
      <c r="E230" s="66"/>
      <c r="F230" s="66"/>
      <c r="G230" s="66"/>
      <c r="H230" s="66"/>
      <c r="I230" s="66"/>
      <c r="J230" s="66"/>
      <c r="K230" s="66"/>
      <c r="L230" s="66"/>
      <c r="M230" s="67"/>
      <c r="N230" s="68"/>
      <c r="O230" s="65"/>
      <c r="P230" s="37"/>
    </row>
    <row r="231" spans="1:16">
      <c r="A231" s="52">
        <v>93110</v>
      </c>
      <c r="B231" s="65"/>
      <c r="C231" s="65"/>
      <c r="D231" s="66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5"/>
      <c r="P231" s="38"/>
    </row>
    <row r="232" spans="1:16">
      <c r="A232" s="52">
        <v>93112</v>
      </c>
      <c r="B232" s="65">
        <v>45823</v>
      </c>
      <c r="C232" s="65"/>
      <c r="D232" s="66">
        <v>2</v>
      </c>
      <c r="E232" s="67">
        <v>100</v>
      </c>
      <c r="F232" s="67">
        <v>100</v>
      </c>
      <c r="G232" s="67">
        <v>0</v>
      </c>
      <c r="H232" s="67">
        <v>0</v>
      </c>
      <c r="I232" s="67"/>
      <c r="J232" s="67"/>
      <c r="K232" s="67"/>
      <c r="L232" s="67"/>
      <c r="M232" s="67" t="s">
        <v>17</v>
      </c>
      <c r="N232" s="67" t="s">
        <v>20</v>
      </c>
      <c r="O232" s="65">
        <v>45823</v>
      </c>
      <c r="P232" s="38"/>
    </row>
    <row r="233" spans="1:16">
      <c r="A233" s="52">
        <v>93114</v>
      </c>
      <c r="B233" s="65"/>
      <c r="C233" s="65"/>
      <c r="D233" s="66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5"/>
      <c r="P233" s="38"/>
    </row>
    <row r="234" spans="1:16">
      <c r="A234" s="52">
        <v>93116</v>
      </c>
      <c r="B234" s="65">
        <v>45802</v>
      </c>
      <c r="C234" s="65"/>
      <c r="D234" s="66">
        <v>2</v>
      </c>
      <c r="E234" s="67">
        <v>80</v>
      </c>
      <c r="F234" s="67">
        <v>80</v>
      </c>
      <c r="G234" s="67">
        <v>0</v>
      </c>
      <c r="H234" s="67">
        <v>0</v>
      </c>
      <c r="I234" s="67"/>
      <c r="J234" s="67"/>
      <c r="K234" s="67"/>
      <c r="L234" s="67"/>
      <c r="M234" s="67" t="s">
        <v>19</v>
      </c>
      <c r="N234" s="67" t="s">
        <v>20</v>
      </c>
      <c r="O234" s="65">
        <v>45802</v>
      </c>
      <c r="P234" s="38"/>
    </row>
    <row r="235" spans="1:16">
      <c r="A235" s="52">
        <v>93118</v>
      </c>
      <c r="B235" s="65"/>
      <c r="C235" s="65"/>
      <c r="D235" s="66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5"/>
      <c r="P235" s="38"/>
    </row>
    <row r="236" spans="1:16">
      <c r="A236" s="52">
        <v>93120</v>
      </c>
      <c r="B236" s="65"/>
      <c r="C236" s="65"/>
      <c r="D236" s="66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5"/>
      <c r="P236" s="38"/>
    </row>
    <row r="237" spans="1:16">
      <c r="A237" s="52">
        <v>93122</v>
      </c>
      <c r="B237" s="65"/>
      <c r="C237" s="65"/>
      <c r="D237" s="66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5"/>
      <c r="P237" s="38"/>
    </row>
    <row r="238" spans="1:16">
      <c r="A238" s="52">
        <v>93124</v>
      </c>
      <c r="B238" s="65">
        <v>45825</v>
      </c>
      <c r="C238" s="65"/>
      <c r="D238" s="66">
        <v>2</v>
      </c>
      <c r="E238" s="67">
        <v>114</v>
      </c>
      <c r="F238" s="67">
        <v>114</v>
      </c>
      <c r="G238" s="67">
        <v>0</v>
      </c>
      <c r="H238" s="67">
        <v>0</v>
      </c>
      <c r="I238" s="67"/>
      <c r="J238" s="67"/>
      <c r="K238" s="67"/>
      <c r="L238" s="67"/>
      <c r="M238" s="67" t="s">
        <v>19</v>
      </c>
      <c r="N238" s="67" t="s">
        <v>34</v>
      </c>
      <c r="O238" s="65">
        <v>45825</v>
      </c>
      <c r="P238" s="38"/>
    </row>
    <row r="239" spans="1:16">
      <c r="A239" s="52">
        <v>93126</v>
      </c>
      <c r="B239" s="65"/>
      <c r="C239" s="65"/>
      <c r="D239" s="66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5"/>
      <c r="P239" s="38"/>
    </row>
    <row r="240" spans="1:16">
      <c r="A240" s="52">
        <v>93128</v>
      </c>
      <c r="B240" s="65">
        <v>45788</v>
      </c>
      <c r="C240" s="65"/>
      <c r="D240" s="66">
        <v>2</v>
      </c>
      <c r="E240" s="67">
        <v>24</v>
      </c>
      <c r="F240" s="67">
        <v>24</v>
      </c>
      <c r="G240" s="67">
        <v>0</v>
      </c>
      <c r="H240" s="67">
        <v>0</v>
      </c>
      <c r="I240" s="67"/>
      <c r="J240" s="67"/>
      <c r="K240" s="67"/>
      <c r="L240" s="67"/>
      <c r="M240" s="67" t="s">
        <v>19</v>
      </c>
      <c r="N240" s="67" t="s">
        <v>20</v>
      </c>
      <c r="O240" s="65">
        <v>45788</v>
      </c>
      <c r="P240" s="38"/>
    </row>
    <row r="241" spans="1:16">
      <c r="A241" s="52">
        <v>93130</v>
      </c>
      <c r="B241" s="65"/>
      <c r="C241" s="65"/>
      <c r="D241" s="66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5"/>
      <c r="P241" s="38"/>
    </row>
    <row r="242" spans="1:16">
      <c r="A242" s="52">
        <v>93132</v>
      </c>
      <c r="B242" s="65"/>
      <c r="C242" s="65"/>
      <c r="D242" s="66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5"/>
      <c r="P242" s="38"/>
    </row>
    <row r="243" spans="1:16">
      <c r="A243" s="52">
        <v>93134</v>
      </c>
      <c r="B243" s="65"/>
      <c r="C243" s="65"/>
      <c r="D243" s="66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5"/>
      <c r="P243" s="38"/>
    </row>
    <row r="244" spans="1:16">
      <c r="A244" s="52">
        <v>93136</v>
      </c>
      <c r="B244" s="65"/>
      <c r="C244" s="65"/>
      <c r="D244" s="66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5"/>
      <c r="P244" s="38"/>
    </row>
    <row r="245" spans="1:16">
      <c r="A245" s="52">
        <v>93138</v>
      </c>
      <c r="B245" s="65"/>
      <c r="C245" s="65"/>
      <c r="D245" s="66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5"/>
      <c r="P245" s="38"/>
    </row>
    <row r="246" spans="1:16">
      <c r="A246" s="52">
        <v>93140</v>
      </c>
      <c r="B246" s="65"/>
      <c r="C246" s="65"/>
      <c r="D246" s="66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5"/>
      <c r="P246" s="38"/>
    </row>
    <row r="247" spans="1:16">
      <c r="A247" s="52">
        <v>93142</v>
      </c>
      <c r="B247" s="65"/>
      <c r="C247" s="65"/>
      <c r="D247" s="66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5"/>
      <c r="P247" s="38"/>
    </row>
    <row r="248" spans="1:16">
      <c r="A248" s="52">
        <v>93144</v>
      </c>
      <c r="B248" s="65"/>
      <c r="C248" s="65"/>
      <c r="D248" s="66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5"/>
      <c r="P248" s="38"/>
    </row>
    <row r="249" spans="1:16">
      <c r="A249" s="52">
        <v>93146</v>
      </c>
      <c r="B249" s="65"/>
      <c r="C249" s="65"/>
      <c r="D249" s="66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5"/>
      <c r="P249" s="38"/>
    </row>
    <row r="250" spans="1:16">
      <c r="A250" s="52">
        <v>93148</v>
      </c>
      <c r="B250" s="65"/>
      <c r="C250" s="65"/>
      <c r="D250" s="66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5"/>
      <c r="P250" s="38"/>
    </row>
    <row r="251" spans="1:16">
      <c r="A251" s="52">
        <v>93150</v>
      </c>
      <c r="B251" s="65"/>
      <c r="C251" s="65"/>
      <c r="D251" s="66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5"/>
      <c r="P251" s="38"/>
    </row>
    <row r="252" spans="1:16">
      <c r="A252" s="52">
        <v>93152</v>
      </c>
      <c r="B252" s="65"/>
      <c r="C252" s="65"/>
      <c r="D252" s="66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5"/>
      <c r="P252" s="38"/>
    </row>
    <row r="253" spans="1:16">
      <c r="A253" s="52">
        <v>93154</v>
      </c>
      <c r="B253" s="65"/>
      <c r="C253" s="65"/>
      <c r="D253" s="66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5"/>
      <c r="P253" s="38"/>
    </row>
    <row r="254" spans="1:16">
      <c r="A254" s="52">
        <v>93156</v>
      </c>
      <c r="B254" s="65"/>
      <c r="C254" s="65"/>
      <c r="D254" s="66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5"/>
      <c r="P254" s="38"/>
    </row>
    <row r="255" spans="1:16">
      <c r="A255" s="52">
        <v>93158</v>
      </c>
      <c r="B255" s="65"/>
      <c r="C255" s="65"/>
      <c r="D255" s="66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5"/>
      <c r="P255" s="38"/>
    </row>
    <row r="256" spans="1:16">
      <c r="A256" s="52">
        <v>93160</v>
      </c>
      <c r="B256" s="65">
        <v>45844</v>
      </c>
      <c r="C256" s="65"/>
      <c r="D256" s="66">
        <v>2</v>
      </c>
      <c r="E256" s="67">
        <v>140</v>
      </c>
      <c r="F256" s="67">
        <v>140</v>
      </c>
      <c r="G256" s="67">
        <v>0</v>
      </c>
      <c r="H256" s="67">
        <v>0</v>
      </c>
      <c r="I256" s="67"/>
      <c r="J256" s="67"/>
      <c r="K256" s="67"/>
      <c r="L256" s="67"/>
      <c r="M256" s="67" t="s">
        <v>19</v>
      </c>
      <c r="N256" s="67" t="s">
        <v>25</v>
      </c>
      <c r="O256" s="65">
        <v>45844</v>
      </c>
      <c r="P256" s="38"/>
    </row>
    <row r="257" spans="1:16">
      <c r="A257" s="52">
        <v>93162</v>
      </c>
      <c r="B257" s="65"/>
      <c r="C257" s="65"/>
      <c r="D257" s="66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5"/>
      <c r="P257" s="38"/>
    </row>
    <row r="258" spans="1:16">
      <c r="A258" s="52">
        <v>93164</v>
      </c>
      <c r="B258" s="65">
        <v>45797</v>
      </c>
      <c r="C258" s="65"/>
      <c r="D258" s="66">
        <v>2</v>
      </c>
      <c r="E258" s="67">
        <v>94</v>
      </c>
      <c r="F258" s="67">
        <v>94</v>
      </c>
      <c r="G258" s="67">
        <v>0</v>
      </c>
      <c r="H258" s="67">
        <v>0</v>
      </c>
      <c r="I258" s="67"/>
      <c r="J258" s="67"/>
      <c r="K258" s="67"/>
      <c r="L258" s="67"/>
      <c r="M258" s="67" t="s">
        <v>19</v>
      </c>
      <c r="N258" s="67" t="s">
        <v>53</v>
      </c>
      <c r="O258" s="65">
        <v>45797</v>
      </c>
      <c r="P258" s="38"/>
    </row>
    <row r="259" spans="1:16">
      <c r="A259" s="52">
        <v>93166</v>
      </c>
      <c r="B259" s="65"/>
      <c r="C259" s="65"/>
      <c r="D259" s="66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5"/>
      <c r="P259" s="38"/>
    </row>
    <row r="260" spans="1:16">
      <c r="A260" s="52">
        <v>93168</v>
      </c>
      <c r="B260" s="65"/>
      <c r="C260" s="65"/>
      <c r="D260" s="66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5"/>
      <c r="P260" s="38"/>
    </row>
    <row r="261" spans="1:16">
      <c r="A261" s="52">
        <v>93170</v>
      </c>
      <c r="B261" s="65"/>
      <c r="C261" s="65"/>
      <c r="D261" s="66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5"/>
      <c r="P261" s="38"/>
    </row>
    <row r="262" spans="1:16">
      <c r="A262" s="52">
        <v>93172</v>
      </c>
      <c r="B262" s="65"/>
      <c r="C262" s="65"/>
      <c r="D262" s="66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5"/>
      <c r="P262" s="38"/>
    </row>
    <row r="263" spans="1:16">
      <c r="A263" s="52">
        <v>93174</v>
      </c>
      <c r="B263" s="65">
        <v>45819</v>
      </c>
      <c r="C263" s="65"/>
      <c r="D263" s="66">
        <v>2</v>
      </c>
      <c r="E263" s="67">
        <v>214</v>
      </c>
      <c r="F263" s="67">
        <v>214</v>
      </c>
      <c r="G263" s="67">
        <v>0</v>
      </c>
      <c r="H263" s="67">
        <v>0</v>
      </c>
      <c r="I263" s="67"/>
      <c r="J263" s="67"/>
      <c r="K263" s="67"/>
      <c r="L263" s="67"/>
      <c r="M263" s="67" t="s">
        <v>19</v>
      </c>
      <c r="N263" s="67" t="s">
        <v>20</v>
      </c>
      <c r="O263" s="65">
        <v>45819</v>
      </c>
      <c r="P263" s="38"/>
    </row>
    <row r="264" spans="1:16">
      <c r="A264" s="52">
        <v>93176</v>
      </c>
      <c r="B264" s="65"/>
      <c r="C264" s="65"/>
      <c r="D264" s="66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5"/>
      <c r="P264" s="38"/>
    </row>
    <row r="265" spans="1:16">
      <c r="A265" s="52">
        <v>93178</v>
      </c>
      <c r="B265" s="65">
        <v>45809</v>
      </c>
      <c r="C265" s="65"/>
      <c r="D265" s="66">
        <v>2</v>
      </c>
      <c r="E265" s="67">
        <v>115</v>
      </c>
      <c r="F265" s="67">
        <v>115</v>
      </c>
      <c r="G265" s="67">
        <v>0</v>
      </c>
      <c r="H265" s="67">
        <v>0</v>
      </c>
      <c r="I265" s="67"/>
      <c r="J265" s="67"/>
      <c r="K265" s="67"/>
      <c r="L265" s="67"/>
      <c r="M265" s="67" t="s">
        <v>19</v>
      </c>
      <c r="N265" s="67" t="s">
        <v>25</v>
      </c>
      <c r="O265" s="65">
        <v>45809</v>
      </c>
      <c r="P265" s="38"/>
    </row>
    <row r="266" spans="1:16">
      <c r="A266" s="52">
        <v>93180</v>
      </c>
      <c r="B266" s="65"/>
      <c r="C266" s="65"/>
      <c r="D266" s="66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5"/>
      <c r="P266" s="38"/>
    </row>
    <row r="267" spans="1:16">
      <c r="A267" s="52">
        <v>93182</v>
      </c>
      <c r="B267" s="65"/>
      <c r="C267" s="65"/>
      <c r="D267" s="66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5"/>
      <c r="P267" s="38"/>
    </row>
    <row r="268" spans="1:16">
      <c r="A268" s="52">
        <v>93184</v>
      </c>
      <c r="B268" s="65"/>
      <c r="C268" s="65"/>
      <c r="D268" s="66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5"/>
      <c r="P268" s="38"/>
    </row>
    <row r="269" spans="1:16">
      <c r="A269" s="52">
        <v>93186</v>
      </c>
      <c r="B269" s="65"/>
      <c r="C269" s="65"/>
      <c r="D269" s="66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5"/>
      <c r="P269" s="38"/>
    </row>
    <row r="270" spans="1:16">
      <c r="A270" s="52">
        <v>93188</v>
      </c>
      <c r="B270" s="65"/>
      <c r="C270" s="65"/>
      <c r="D270" s="66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5"/>
      <c r="P270" s="38"/>
    </row>
    <row r="271" spans="1:16">
      <c r="A271" s="52">
        <v>93190</v>
      </c>
      <c r="B271" s="65"/>
      <c r="C271" s="65"/>
      <c r="D271" s="66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5"/>
      <c r="P271" s="38"/>
    </row>
    <row r="272" spans="1:16">
      <c r="A272" s="52">
        <v>93192</v>
      </c>
      <c r="B272" s="65"/>
      <c r="C272" s="65"/>
      <c r="D272" s="66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5"/>
      <c r="P272" s="38"/>
    </row>
    <row r="273" spans="1:16">
      <c r="A273" s="52">
        <v>93194</v>
      </c>
      <c r="B273" s="65">
        <v>45832</v>
      </c>
      <c r="C273" s="65"/>
      <c r="D273" s="66">
        <v>2</v>
      </c>
      <c r="E273" s="67">
        <v>30</v>
      </c>
      <c r="F273" s="67">
        <v>30</v>
      </c>
      <c r="G273" s="67">
        <v>0</v>
      </c>
      <c r="H273" s="67">
        <v>0</v>
      </c>
      <c r="I273" s="67"/>
      <c r="J273" s="67"/>
      <c r="K273" s="67"/>
      <c r="L273" s="67"/>
      <c r="M273" s="67" t="s">
        <v>19</v>
      </c>
      <c r="N273" s="67" t="s">
        <v>20</v>
      </c>
      <c r="O273" s="65">
        <v>45832</v>
      </c>
      <c r="P273" s="38"/>
    </row>
    <row r="274" spans="1:16">
      <c r="A274" s="52">
        <v>93196</v>
      </c>
      <c r="B274" s="65">
        <v>45788</v>
      </c>
      <c r="C274" s="65"/>
      <c r="D274" s="66">
        <v>2</v>
      </c>
      <c r="E274" s="67">
        <v>12</v>
      </c>
      <c r="F274" s="67">
        <v>12</v>
      </c>
      <c r="G274" s="67">
        <v>0</v>
      </c>
      <c r="H274" s="67">
        <v>0</v>
      </c>
      <c r="I274" s="67"/>
      <c r="J274" s="67"/>
      <c r="K274" s="67"/>
      <c r="L274" s="67"/>
      <c r="M274" s="67" t="s">
        <v>19</v>
      </c>
      <c r="N274" s="67" t="s">
        <v>20</v>
      </c>
      <c r="O274" s="65">
        <v>45788</v>
      </c>
      <c r="P274" s="38"/>
    </row>
    <row r="275" spans="1:16">
      <c r="A275" s="52">
        <v>93198</v>
      </c>
      <c r="B275" s="65"/>
      <c r="C275" s="65"/>
      <c r="D275" s="66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5"/>
      <c r="P275" s="38"/>
    </row>
    <row r="276" spans="1:16">
      <c r="A276" s="52">
        <v>93200</v>
      </c>
      <c r="B276" s="65">
        <v>45855</v>
      </c>
      <c r="C276" s="65"/>
      <c r="D276" s="66">
        <v>2</v>
      </c>
      <c r="E276" s="67">
        <v>180</v>
      </c>
      <c r="F276" s="67">
        <v>180</v>
      </c>
      <c r="G276" s="67">
        <v>0</v>
      </c>
      <c r="H276" s="67">
        <v>0</v>
      </c>
      <c r="I276" s="67"/>
      <c r="J276" s="67"/>
      <c r="K276" s="67"/>
      <c r="L276" s="67"/>
      <c r="M276" s="67" t="s">
        <v>19</v>
      </c>
      <c r="N276" s="67" t="s">
        <v>20</v>
      </c>
      <c r="O276" s="65">
        <v>45855</v>
      </c>
      <c r="P276" s="38"/>
    </row>
    <row r="277" spans="1:16">
      <c r="A277" s="52">
        <v>93202</v>
      </c>
      <c r="B277" s="65"/>
      <c r="C277" s="65"/>
      <c r="D277" s="66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5"/>
      <c r="P277" s="38"/>
    </row>
    <row r="278" spans="1:16">
      <c r="A278" s="52">
        <v>93204</v>
      </c>
      <c r="B278" s="65"/>
      <c r="C278" s="65"/>
      <c r="D278" s="66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5"/>
      <c r="P278" s="38"/>
    </row>
    <row r="279" spans="1:16">
      <c r="A279" s="52">
        <v>93206</v>
      </c>
      <c r="B279" s="65"/>
      <c r="C279" s="65"/>
      <c r="D279" s="66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5"/>
      <c r="P279" s="38"/>
    </row>
    <row r="280" spans="1:16">
      <c r="A280" s="52">
        <v>93208</v>
      </c>
      <c r="B280" s="65"/>
      <c r="C280" s="65"/>
      <c r="D280" s="66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5"/>
      <c r="P280" s="38"/>
    </row>
    <row r="281" spans="1:16">
      <c r="A281" s="52">
        <v>93210</v>
      </c>
      <c r="B281" s="65"/>
      <c r="C281" s="65"/>
      <c r="D281" s="66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5"/>
      <c r="P281" s="38"/>
    </row>
    <row r="282" spans="1:16">
      <c r="A282" s="52">
        <v>93212</v>
      </c>
      <c r="B282" s="65"/>
      <c r="C282" s="65"/>
      <c r="D282" s="66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5"/>
      <c r="P282" s="38"/>
    </row>
    <row r="283" spans="1:16">
      <c r="A283" s="52">
        <v>93214</v>
      </c>
      <c r="B283" s="65">
        <v>45831</v>
      </c>
      <c r="C283" s="65"/>
      <c r="D283" s="66">
        <v>2</v>
      </c>
      <c r="E283" s="67">
        <v>100</v>
      </c>
      <c r="F283" s="67">
        <v>100</v>
      </c>
      <c r="G283" s="67">
        <v>0</v>
      </c>
      <c r="H283" s="67">
        <v>0</v>
      </c>
      <c r="I283" s="67"/>
      <c r="J283" s="67"/>
      <c r="K283" s="67"/>
      <c r="L283" s="67"/>
      <c r="M283" s="67" t="s">
        <v>19</v>
      </c>
      <c r="N283" s="67" t="s">
        <v>34</v>
      </c>
      <c r="O283" s="65">
        <v>45831</v>
      </c>
      <c r="P283" s="38"/>
    </row>
    <row r="284" spans="1:16">
      <c r="A284" s="52">
        <v>93216</v>
      </c>
      <c r="B284" s="65"/>
      <c r="C284" s="65"/>
      <c r="D284" s="66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5"/>
      <c r="P284" s="38"/>
    </row>
    <row r="285" spans="1:16">
      <c r="A285" s="52">
        <v>93218</v>
      </c>
      <c r="B285" s="65"/>
      <c r="C285" s="65"/>
      <c r="D285" s="66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5"/>
      <c r="P285" s="38"/>
    </row>
    <row r="286" spans="1:16">
      <c r="A286" s="52">
        <v>93220</v>
      </c>
      <c r="B286" s="65"/>
      <c r="C286" s="65"/>
      <c r="D286" s="66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5"/>
      <c r="P286" s="38"/>
    </row>
    <row r="287" spans="1:16">
      <c r="A287" s="52">
        <v>93222</v>
      </c>
      <c r="B287" s="65"/>
      <c r="C287" s="65"/>
      <c r="D287" s="66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5"/>
      <c r="P287" s="38"/>
    </row>
    <row r="288" spans="1:16">
      <c r="A288" s="52">
        <v>93224</v>
      </c>
      <c r="B288" s="65"/>
      <c r="C288" s="65"/>
      <c r="D288" s="66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5"/>
      <c r="P288" s="38"/>
    </row>
    <row r="289" spans="1:16">
      <c r="A289" s="52">
        <v>93226</v>
      </c>
      <c r="B289" s="65"/>
      <c r="C289" s="65"/>
      <c r="D289" s="66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5"/>
      <c r="P289" s="38"/>
    </row>
    <row r="290" spans="1:16">
      <c r="A290" s="52">
        <v>93228</v>
      </c>
      <c r="B290" s="65"/>
      <c r="C290" s="65"/>
      <c r="D290" s="66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5"/>
      <c r="P290" s="38"/>
    </row>
    <row r="291" spans="1:16">
      <c r="A291" s="52">
        <v>93230</v>
      </c>
      <c r="B291" s="65"/>
      <c r="C291" s="65"/>
      <c r="D291" s="66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5"/>
      <c r="P291" s="38"/>
    </row>
    <row r="292" spans="1:16">
      <c r="A292" s="52">
        <v>93232</v>
      </c>
      <c r="B292" s="65"/>
      <c r="C292" s="65"/>
      <c r="D292" s="66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5"/>
      <c r="P292" s="38"/>
    </row>
    <row r="293" spans="1:16">
      <c r="A293" s="52">
        <v>93234</v>
      </c>
      <c r="B293" s="65"/>
      <c r="C293" s="65"/>
      <c r="D293" s="66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5"/>
      <c r="P293" s="38"/>
    </row>
    <row r="294" spans="1:16">
      <c r="A294" s="52">
        <v>93236</v>
      </c>
      <c r="B294" s="65"/>
      <c r="C294" s="65"/>
      <c r="D294" s="66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5"/>
      <c r="P294" s="38"/>
    </row>
    <row r="295" spans="1:16">
      <c r="A295" s="52">
        <v>93238</v>
      </c>
      <c r="B295" s="65"/>
      <c r="C295" s="65"/>
      <c r="D295" s="66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5"/>
      <c r="P295" s="38"/>
    </row>
    <row r="296" spans="1:16">
      <c r="A296" s="52">
        <v>93240</v>
      </c>
      <c r="B296" s="65"/>
      <c r="C296" s="65"/>
      <c r="D296" s="66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5"/>
      <c r="P296" s="38"/>
    </row>
    <row r="297" spans="1:16">
      <c r="A297" s="52">
        <v>93242</v>
      </c>
      <c r="B297" s="65"/>
      <c r="C297" s="65"/>
      <c r="D297" s="66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5"/>
      <c r="P297" s="38"/>
    </row>
    <row r="298" spans="1:16">
      <c r="A298" s="52">
        <v>93244</v>
      </c>
      <c r="B298" s="65"/>
      <c r="C298" s="65"/>
      <c r="D298" s="66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5"/>
      <c r="P298" s="38"/>
    </row>
    <row r="299" spans="1:16">
      <c r="A299" s="52">
        <v>93246</v>
      </c>
      <c r="B299" s="65"/>
      <c r="C299" s="65"/>
      <c r="D299" s="66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5"/>
      <c r="P299" s="38"/>
    </row>
    <row r="300" spans="1:16">
      <c r="A300" s="52">
        <v>93248</v>
      </c>
      <c r="B300" s="65"/>
      <c r="C300" s="65"/>
      <c r="D300" s="66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5"/>
      <c r="P300" s="38"/>
    </row>
    <row r="301" spans="1:16">
      <c r="A301" s="52">
        <v>93250</v>
      </c>
      <c r="B301" s="65"/>
      <c r="C301" s="65"/>
      <c r="D301" s="66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5"/>
      <c r="P301" s="38"/>
    </row>
    <row r="302" spans="1:16">
      <c r="A302" s="52">
        <v>93252</v>
      </c>
      <c r="B302" s="65"/>
      <c r="C302" s="65"/>
      <c r="D302" s="66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5"/>
      <c r="P302" s="38"/>
    </row>
    <row r="303" spans="1:16">
      <c r="A303" s="52">
        <v>93254</v>
      </c>
      <c r="B303" s="65"/>
      <c r="C303" s="65"/>
      <c r="D303" s="66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5"/>
      <c r="P303" s="38"/>
    </row>
    <row r="304" spans="1:16">
      <c r="A304" s="52">
        <v>93256</v>
      </c>
      <c r="B304" s="65"/>
      <c r="C304" s="65"/>
      <c r="D304" s="66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5"/>
      <c r="P304" s="38"/>
    </row>
    <row r="305" spans="1:16">
      <c r="A305" s="52">
        <v>93258</v>
      </c>
      <c r="B305" s="65"/>
      <c r="C305" s="65"/>
      <c r="D305" s="66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5"/>
      <c r="P305" s="38"/>
    </row>
    <row r="306" spans="1:16">
      <c r="A306" s="52">
        <v>93260</v>
      </c>
      <c r="B306" s="65"/>
      <c r="C306" s="65"/>
      <c r="D306" s="66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5"/>
      <c r="P306" s="38"/>
    </row>
    <row r="307" spans="1:16">
      <c r="A307" s="52">
        <v>93262</v>
      </c>
      <c r="B307" s="65"/>
      <c r="C307" s="65"/>
      <c r="D307" s="66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5"/>
      <c r="P307" s="38"/>
    </row>
    <row r="308" spans="1:16">
      <c r="A308" s="52">
        <v>93264</v>
      </c>
      <c r="B308" s="65"/>
      <c r="C308" s="65"/>
      <c r="D308" s="66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5"/>
      <c r="P308" s="38"/>
    </row>
    <row r="309" spans="1:16">
      <c r="A309" s="52">
        <v>93266</v>
      </c>
      <c r="B309" s="65"/>
      <c r="C309" s="65"/>
      <c r="D309" s="66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5"/>
      <c r="P309" s="38"/>
    </row>
    <row r="310" spans="1:16">
      <c r="A310" s="52">
        <v>93402</v>
      </c>
      <c r="B310" s="65">
        <v>45831</v>
      </c>
      <c r="C310" s="65"/>
      <c r="D310" s="66">
        <v>2</v>
      </c>
      <c r="E310" s="67">
        <v>50</v>
      </c>
      <c r="F310" s="67">
        <v>50</v>
      </c>
      <c r="G310" s="67">
        <v>0</v>
      </c>
      <c r="H310" s="67">
        <v>0</v>
      </c>
      <c r="I310" s="67"/>
      <c r="J310" s="67"/>
      <c r="K310" s="67"/>
      <c r="L310" s="67"/>
      <c r="M310" s="67" t="s">
        <v>17</v>
      </c>
      <c r="N310" s="67" t="s">
        <v>34</v>
      </c>
      <c r="O310" s="65">
        <v>45831</v>
      </c>
      <c r="P310" s="38"/>
    </row>
    <row r="311" spans="1:16">
      <c r="A311" s="52">
        <v>93404</v>
      </c>
      <c r="B311" s="65"/>
      <c r="C311" s="65"/>
      <c r="D311" s="66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5"/>
      <c r="P311" s="38"/>
    </row>
    <row r="312" spans="1:16">
      <c r="A312" s="52">
        <v>93406</v>
      </c>
      <c r="B312" s="65">
        <v>45840</v>
      </c>
      <c r="C312" s="65"/>
      <c r="D312" s="66">
        <v>2</v>
      </c>
      <c r="E312" s="67">
        <v>77</v>
      </c>
      <c r="F312" s="67">
        <v>77</v>
      </c>
      <c r="G312" s="67">
        <v>0</v>
      </c>
      <c r="H312" s="67">
        <v>0</v>
      </c>
      <c r="I312" s="67"/>
      <c r="J312" s="67"/>
      <c r="K312" s="67"/>
      <c r="L312" s="67"/>
      <c r="M312" s="67" t="s">
        <v>19</v>
      </c>
      <c r="N312" s="67" t="s">
        <v>20</v>
      </c>
      <c r="O312" s="65">
        <v>45840</v>
      </c>
      <c r="P312" s="38"/>
    </row>
    <row r="313" spans="1:16">
      <c r="A313" s="52">
        <v>93408</v>
      </c>
      <c r="B313" s="65"/>
      <c r="C313" s="65"/>
      <c r="D313" s="66"/>
      <c r="E313" s="66"/>
      <c r="F313" s="66"/>
      <c r="G313" s="66"/>
      <c r="H313" s="66"/>
      <c r="I313" s="66"/>
      <c r="J313" s="66"/>
      <c r="K313" s="66"/>
      <c r="L313" s="66"/>
      <c r="M313" s="67"/>
      <c r="N313" s="68"/>
      <c r="O313" s="65"/>
      <c r="P313" s="37"/>
    </row>
    <row r="314" spans="1:16">
      <c r="A314" s="52">
        <v>93410</v>
      </c>
      <c r="B314" s="65">
        <v>45809</v>
      </c>
      <c r="C314" s="65"/>
      <c r="D314" s="66">
        <v>2</v>
      </c>
      <c r="E314" s="67">
        <v>35</v>
      </c>
      <c r="F314" s="67">
        <v>35</v>
      </c>
      <c r="G314" s="67">
        <v>0</v>
      </c>
      <c r="H314" s="67">
        <v>0</v>
      </c>
      <c r="I314" s="67"/>
      <c r="J314" s="67"/>
      <c r="K314" s="67"/>
      <c r="L314" s="67"/>
      <c r="M314" s="67" t="s">
        <v>17</v>
      </c>
      <c r="N314" s="67" t="s">
        <v>25</v>
      </c>
      <c r="O314" s="65">
        <v>45809</v>
      </c>
      <c r="P314" s="38"/>
    </row>
    <row r="315" spans="1:16">
      <c r="A315" s="52">
        <v>93412</v>
      </c>
      <c r="B315" s="65"/>
      <c r="C315" s="65"/>
      <c r="D315" s="66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5"/>
      <c r="P315" s="38"/>
    </row>
    <row r="316" spans="1:16">
      <c r="A316" s="52">
        <v>93414</v>
      </c>
      <c r="B316" s="65"/>
      <c r="C316" s="65"/>
      <c r="D316" s="66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5"/>
      <c r="P316" s="38"/>
    </row>
    <row r="317" spans="1:16">
      <c r="A317" s="52">
        <v>93416</v>
      </c>
      <c r="B317" s="65"/>
      <c r="C317" s="65"/>
      <c r="D317" s="66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5"/>
      <c r="P317" s="38"/>
    </row>
    <row r="318" spans="1:16">
      <c r="A318" s="52">
        <v>93418</v>
      </c>
      <c r="B318" s="65"/>
      <c r="C318" s="65"/>
      <c r="D318" s="66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5"/>
      <c r="P318" s="38"/>
    </row>
    <row r="319" spans="1:16">
      <c r="A319" s="52">
        <v>93420</v>
      </c>
      <c r="B319" s="65"/>
      <c r="C319" s="65"/>
      <c r="D319" s="66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5"/>
      <c r="P319" s="38"/>
    </row>
    <row r="320" spans="1:16">
      <c r="A320" s="52">
        <v>93422</v>
      </c>
      <c r="B320" s="65">
        <v>45811</v>
      </c>
      <c r="C320" s="65"/>
      <c r="D320" s="66">
        <v>2</v>
      </c>
      <c r="E320" s="67">
        <v>210</v>
      </c>
      <c r="F320" s="67">
        <v>210</v>
      </c>
      <c r="G320" s="67">
        <v>0</v>
      </c>
      <c r="H320" s="67">
        <v>0</v>
      </c>
      <c r="I320" s="67"/>
      <c r="J320" s="67"/>
      <c r="K320" s="67"/>
      <c r="L320" s="67"/>
      <c r="M320" s="67" t="s">
        <v>17</v>
      </c>
      <c r="N320" s="67" t="s">
        <v>20</v>
      </c>
      <c r="O320" s="65">
        <v>45811</v>
      </c>
      <c r="P320" s="38"/>
    </row>
    <row r="321" spans="1:16">
      <c r="A321" s="52">
        <v>93424</v>
      </c>
      <c r="B321" s="65"/>
      <c r="C321" s="65"/>
      <c r="D321" s="66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5"/>
      <c r="P321" s="38"/>
    </row>
    <row r="322" spans="1:16">
      <c r="A322" s="52">
        <v>93426</v>
      </c>
      <c r="B322" s="65"/>
      <c r="C322" s="65"/>
      <c r="D322" s="66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5"/>
      <c r="P322" s="38"/>
    </row>
    <row r="323" spans="1:16">
      <c r="A323" s="52">
        <v>93428</v>
      </c>
      <c r="B323" s="65">
        <v>45792</v>
      </c>
      <c r="C323" s="65"/>
      <c r="D323" s="66">
        <v>2</v>
      </c>
      <c r="E323" s="67">
        <v>112</v>
      </c>
      <c r="F323" s="67">
        <v>112</v>
      </c>
      <c r="G323" s="67">
        <v>0</v>
      </c>
      <c r="H323" s="67">
        <v>0</v>
      </c>
      <c r="I323" s="67"/>
      <c r="J323" s="67"/>
      <c r="K323" s="67"/>
      <c r="L323" s="67"/>
      <c r="M323" s="67" t="s">
        <v>17</v>
      </c>
      <c r="N323" s="67" t="s">
        <v>135</v>
      </c>
      <c r="O323" s="65">
        <v>45792</v>
      </c>
      <c r="P323" s="38"/>
    </row>
    <row r="324" spans="1:16">
      <c r="A324" s="52">
        <v>93430</v>
      </c>
      <c r="B324" s="65">
        <v>45823</v>
      </c>
      <c r="C324" s="65"/>
      <c r="D324" s="66">
        <v>2</v>
      </c>
      <c r="E324" s="67">
        <v>140</v>
      </c>
      <c r="F324" s="67">
        <v>140</v>
      </c>
      <c r="G324" s="67">
        <v>0</v>
      </c>
      <c r="H324" s="67">
        <v>0</v>
      </c>
      <c r="I324" s="67"/>
      <c r="J324" s="67"/>
      <c r="K324" s="67"/>
      <c r="L324" s="67"/>
      <c r="M324" s="67" t="s">
        <v>17</v>
      </c>
      <c r="N324" s="67" t="s">
        <v>20</v>
      </c>
      <c r="O324" s="65">
        <v>45823</v>
      </c>
      <c r="P324" s="38"/>
    </row>
    <row r="325" spans="1:16">
      <c r="A325" s="52">
        <v>93432</v>
      </c>
      <c r="B325" s="65"/>
      <c r="C325" s="65"/>
      <c r="D325" s="66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5"/>
      <c r="P325" s="38"/>
    </row>
    <row r="326" spans="1:16">
      <c r="A326" s="52">
        <v>93434</v>
      </c>
      <c r="B326" s="65"/>
      <c r="C326" s="65"/>
      <c r="D326" s="66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5"/>
      <c r="P326" s="38"/>
    </row>
    <row r="327" spans="1:16">
      <c r="A327" s="52">
        <v>93436</v>
      </c>
      <c r="B327" s="65">
        <v>45811</v>
      </c>
      <c r="C327" s="65"/>
      <c r="D327" s="66">
        <v>2</v>
      </c>
      <c r="E327" s="67">
        <v>160</v>
      </c>
      <c r="F327" s="67">
        <v>160</v>
      </c>
      <c r="G327" s="67">
        <v>0</v>
      </c>
      <c r="H327" s="67">
        <v>0</v>
      </c>
      <c r="I327" s="67"/>
      <c r="J327" s="67"/>
      <c r="K327" s="67"/>
      <c r="L327" s="67"/>
      <c r="M327" s="67" t="s">
        <v>17</v>
      </c>
      <c r="N327" s="67" t="s">
        <v>20</v>
      </c>
      <c r="O327" s="65">
        <v>45811</v>
      </c>
      <c r="P327" s="38"/>
    </row>
    <row r="328" spans="1:16">
      <c r="A328" s="52">
        <v>93438</v>
      </c>
      <c r="B328" s="65"/>
      <c r="C328" s="65"/>
      <c r="D328" s="66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5"/>
      <c r="P328" s="38"/>
    </row>
    <row r="329" spans="1:16">
      <c r="A329" s="52">
        <v>93440</v>
      </c>
      <c r="B329" s="65"/>
      <c r="C329" s="65"/>
      <c r="D329" s="66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5"/>
      <c r="P329" s="38"/>
    </row>
    <row r="330" spans="1:16">
      <c r="A330" s="52">
        <v>93442</v>
      </c>
      <c r="B330" s="65"/>
      <c r="C330" s="65"/>
      <c r="D330" s="66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5"/>
      <c r="P330" s="38"/>
    </row>
    <row r="331" spans="1:16">
      <c r="A331" s="52">
        <v>93444</v>
      </c>
      <c r="B331" s="65"/>
      <c r="C331" s="65"/>
      <c r="D331" s="66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5"/>
      <c r="P331" s="38"/>
    </row>
    <row r="332" spans="1:16">
      <c r="A332" s="52">
        <v>93446</v>
      </c>
      <c r="B332" s="65"/>
      <c r="C332" s="65"/>
      <c r="D332" s="66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5"/>
      <c r="P332" s="38"/>
    </row>
    <row r="333" spans="1:16">
      <c r="A333" s="52">
        <v>93448</v>
      </c>
      <c r="B333" s="65"/>
      <c r="C333" s="65"/>
      <c r="D333" s="66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5"/>
      <c r="P333" s="38"/>
    </row>
    <row r="334" spans="1:16">
      <c r="A334" s="52">
        <v>93450</v>
      </c>
      <c r="B334" s="65"/>
      <c r="C334" s="65"/>
      <c r="D334" s="66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5"/>
      <c r="P334" s="38"/>
    </row>
    <row r="335" spans="1:16">
      <c r="A335" s="52">
        <v>93452</v>
      </c>
      <c r="B335" s="65"/>
      <c r="C335" s="65"/>
      <c r="D335" s="66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5"/>
      <c r="P335" s="38"/>
    </row>
    <row r="336" spans="1:16">
      <c r="A336" s="52">
        <v>93454</v>
      </c>
      <c r="B336" s="65"/>
      <c r="C336" s="65"/>
      <c r="D336" s="66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5"/>
      <c r="P336" s="38"/>
    </row>
    <row r="337" spans="1:16">
      <c r="A337" s="52">
        <v>93456</v>
      </c>
      <c r="B337" s="65">
        <v>45797</v>
      </c>
      <c r="C337" s="65"/>
      <c r="D337" s="66">
        <v>2</v>
      </c>
      <c r="E337" s="67">
        <v>180</v>
      </c>
      <c r="F337" s="67">
        <v>180</v>
      </c>
      <c r="G337" s="67">
        <v>0</v>
      </c>
      <c r="H337" s="67">
        <v>0</v>
      </c>
      <c r="I337" s="67"/>
      <c r="J337" s="67"/>
      <c r="K337" s="67"/>
      <c r="L337" s="67"/>
      <c r="M337" s="67" t="s">
        <v>17</v>
      </c>
      <c r="N337" s="67" t="s">
        <v>20</v>
      </c>
      <c r="O337" s="65">
        <v>45797</v>
      </c>
      <c r="P337" s="38"/>
    </row>
    <row r="338" spans="1:16">
      <c r="A338" s="52">
        <v>93458</v>
      </c>
      <c r="B338" s="65"/>
      <c r="C338" s="65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5"/>
      <c r="P338" s="38"/>
    </row>
    <row r="339" spans="1:16">
      <c r="A339" s="52">
        <v>93460</v>
      </c>
      <c r="B339" s="65"/>
      <c r="C339" s="65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5"/>
      <c r="P339" s="38"/>
    </row>
    <row r="340" spans="1:16">
      <c r="A340" s="52">
        <v>93462</v>
      </c>
      <c r="B340" s="65"/>
      <c r="C340" s="65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5"/>
      <c r="P340" s="38"/>
    </row>
    <row r="341" spans="1:16">
      <c r="A341" s="52">
        <v>93464</v>
      </c>
      <c r="B341" s="65"/>
      <c r="C341" s="65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5"/>
      <c r="P341" s="38"/>
    </row>
  </sheetData>
  <mergeCells count="1">
    <mergeCell ref="R2:U2"/>
  </mergeCells>
  <phoneticPr fontId="11" type="noConversion"/>
  <conditionalFormatting sqref="A2:A71">
    <cfRule type="expression" dxfId="183" priority="10" stopIfTrue="1">
      <formula>#REF!=1</formula>
    </cfRule>
    <cfRule type="expression" dxfId="182" priority="11" stopIfTrue="1">
      <formula>#REF!=2</formula>
    </cfRule>
  </conditionalFormatting>
  <conditionalFormatting sqref="A2:A169">
    <cfRule type="expression" dxfId="181" priority="7" stopIfTrue="1">
      <formula>#REF!="w"</formula>
    </cfRule>
  </conditionalFormatting>
  <conditionalFormatting sqref="A72:A169">
    <cfRule type="expression" dxfId="180" priority="8" stopIfTrue="1">
      <formula>#REF!=1</formula>
    </cfRule>
    <cfRule type="expression" dxfId="179" priority="9" stopIfTrue="1">
      <formula>#REF!=2</formula>
    </cfRule>
  </conditionalFormatting>
  <conditionalFormatting sqref="A171:A225">
    <cfRule type="expression" dxfId="178" priority="4" stopIfTrue="1">
      <formula>#REF!="w"</formula>
    </cfRule>
    <cfRule type="expression" dxfId="177" priority="5" stopIfTrue="1">
      <formula>#REF!=1</formula>
    </cfRule>
    <cfRule type="expression" dxfId="176" priority="6" stopIfTrue="1">
      <formula>#REF!=2</formula>
    </cfRule>
  </conditionalFormatting>
  <conditionalFormatting sqref="A227:A341">
    <cfRule type="expression" dxfId="175" priority="1" stopIfTrue="1">
      <formula>#REF!="w"</formula>
    </cfRule>
    <cfRule type="expression" dxfId="174" priority="2" stopIfTrue="1">
      <formula>#REF!=1</formula>
    </cfRule>
    <cfRule type="expression" dxfId="173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EAEF5-752C-4918-8365-FB1811A58B87}">
  <dimension ref="A1:U341"/>
  <sheetViews>
    <sheetView workbookViewId="0">
      <selection activeCell="N342" sqref="N342"/>
    </sheetView>
  </sheetViews>
  <sheetFormatPr defaultColWidth="9.42578125" defaultRowHeight="15" customHeight="1"/>
  <cols>
    <col min="1" max="1" width="9.7109375" style="2" bestFit="1" customWidth="1"/>
    <col min="2" max="3" width="11.5703125" style="2" customWidth="1"/>
    <col min="4" max="4" width="16.85546875" style="2" bestFit="1" customWidth="1"/>
    <col min="5" max="5" width="12.85546875" style="2" bestFit="1" customWidth="1"/>
    <col min="6" max="6" width="12.7109375" style="2" bestFit="1" customWidth="1"/>
    <col min="7" max="12" width="15.7109375" style="2" bestFit="1" customWidth="1"/>
    <col min="13" max="13" width="12.85546875" style="2" bestFit="1" customWidth="1"/>
    <col min="14" max="14" width="15.42578125" style="2" bestFit="1" customWidth="1"/>
    <col min="15" max="15" width="15.7109375" style="2" bestFit="1" customWidth="1"/>
    <col min="16" max="16" width="16.85546875" style="2" bestFit="1" customWidth="1"/>
    <col min="17" max="17" width="2" style="2" customWidth="1"/>
    <col min="18" max="18" width="12.42578125" style="2" customWidth="1"/>
    <col min="19" max="19" width="11.42578125" style="2" customWidth="1"/>
    <col min="20" max="20" width="16.42578125" style="2" customWidth="1"/>
    <col min="21" max="21" width="13" style="2" customWidth="1"/>
    <col min="22" max="16384" width="9.42578125" style="2"/>
  </cols>
  <sheetData>
    <row r="1" spans="1:21" ht="99.6" customHeight="1">
      <c r="A1" s="1" t="s">
        <v>0</v>
      </c>
      <c r="B1" s="44" t="s">
        <v>1</v>
      </c>
      <c r="C1" s="44" t="s">
        <v>2</v>
      </c>
      <c r="D1" s="45" t="s">
        <v>3</v>
      </c>
      <c r="E1" s="45" t="s">
        <v>4</v>
      </c>
      <c r="F1" s="45" t="s">
        <v>5</v>
      </c>
      <c r="G1" s="45" t="s">
        <v>6</v>
      </c>
      <c r="H1" s="45" t="s">
        <v>7</v>
      </c>
      <c r="I1" s="46" t="s">
        <v>8</v>
      </c>
      <c r="J1" s="46" t="s">
        <v>9</v>
      </c>
      <c r="K1" s="47" t="s">
        <v>10</v>
      </c>
      <c r="L1" s="47" t="s">
        <v>11</v>
      </c>
      <c r="M1" s="48" t="s">
        <v>12</v>
      </c>
      <c r="N1" s="49" t="s">
        <v>13</v>
      </c>
      <c r="O1" s="50" t="s">
        <v>14</v>
      </c>
      <c r="P1" s="51" t="s">
        <v>15</v>
      </c>
    </row>
    <row r="2" spans="1:21" ht="15" customHeight="1">
      <c r="A2" s="52">
        <v>91001</v>
      </c>
      <c r="B2" s="71"/>
      <c r="C2" s="71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71"/>
      <c r="P2" s="38"/>
      <c r="R2" s="11"/>
      <c r="S2" s="12"/>
      <c r="T2" s="12"/>
      <c r="U2" s="13"/>
    </row>
    <row r="3" spans="1:21" ht="15" customHeight="1">
      <c r="A3" s="52">
        <v>91003</v>
      </c>
      <c r="B3" s="71"/>
      <c r="C3" s="71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71"/>
      <c r="P3" s="38"/>
      <c r="R3" s="10" t="s">
        <v>21</v>
      </c>
      <c r="S3" s="3" t="s">
        <v>22</v>
      </c>
      <c r="T3" s="4" t="s">
        <v>23</v>
      </c>
      <c r="U3" s="5" t="s">
        <v>24</v>
      </c>
    </row>
    <row r="4" spans="1:21" ht="15" customHeight="1">
      <c r="A4" s="52">
        <v>91005</v>
      </c>
      <c r="B4" s="71"/>
      <c r="C4" s="71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71"/>
      <c r="P4" s="38"/>
      <c r="R4" s="7">
        <v>85</v>
      </c>
      <c r="S4" s="8">
        <f>COUNTA(A:A)-1</f>
        <v>340</v>
      </c>
      <c r="T4" s="8">
        <f>COUNTA(O:O)-1</f>
        <v>9</v>
      </c>
      <c r="U4" s="9">
        <f>T4/S4</f>
        <v>2.6470588235294117E-2</v>
      </c>
    </row>
    <row r="5" spans="1:21" ht="15" customHeight="1">
      <c r="A5" s="52">
        <v>91007</v>
      </c>
      <c r="B5" s="71"/>
      <c r="C5" s="71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71"/>
      <c r="P5" s="38"/>
    </row>
    <row r="6" spans="1:21" ht="15" customHeight="1">
      <c r="A6" s="52">
        <v>91009</v>
      </c>
      <c r="B6" s="71"/>
      <c r="C6" s="71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71"/>
      <c r="P6" s="38"/>
    </row>
    <row r="7" spans="1:21" ht="15" customHeight="1">
      <c r="A7" s="52">
        <v>91011</v>
      </c>
      <c r="B7" s="71"/>
      <c r="C7" s="71"/>
      <c r="D7" s="38"/>
      <c r="E7" s="43"/>
      <c r="F7" s="43"/>
      <c r="G7" s="43"/>
      <c r="H7" s="43"/>
      <c r="I7" s="43"/>
      <c r="J7" s="43"/>
      <c r="K7" s="43"/>
      <c r="L7" s="43"/>
      <c r="M7" s="43"/>
      <c r="N7" s="43"/>
      <c r="O7" s="71"/>
      <c r="P7" s="43"/>
    </row>
    <row r="8" spans="1:21" ht="15" customHeight="1">
      <c r="A8" s="52">
        <v>91013</v>
      </c>
      <c r="B8" s="71"/>
      <c r="C8" s="71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71"/>
      <c r="P8" s="38"/>
    </row>
    <row r="9" spans="1:21" ht="15" customHeight="1">
      <c r="A9" s="52">
        <v>91015</v>
      </c>
      <c r="B9" s="71"/>
      <c r="C9" s="71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71"/>
      <c r="P9" s="38"/>
    </row>
    <row r="10" spans="1:21" ht="15" customHeight="1">
      <c r="A10" s="52">
        <v>91017</v>
      </c>
      <c r="B10" s="71"/>
      <c r="C10" s="71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71"/>
      <c r="P10" s="38"/>
    </row>
    <row r="11" spans="1:21" ht="15" customHeight="1">
      <c r="A11" s="52">
        <v>91019</v>
      </c>
      <c r="B11" s="71"/>
      <c r="C11" s="71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71"/>
      <c r="P11" s="38"/>
    </row>
    <row r="12" spans="1:21" ht="15" customHeight="1">
      <c r="A12" s="52">
        <v>91021</v>
      </c>
      <c r="B12" s="71"/>
      <c r="C12" s="71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71"/>
      <c r="P12" s="38"/>
    </row>
    <row r="13" spans="1:21" ht="15" customHeight="1">
      <c r="A13" s="52">
        <v>91023</v>
      </c>
      <c r="B13" s="71"/>
      <c r="C13" s="71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71"/>
      <c r="P13" s="38"/>
    </row>
    <row r="14" spans="1:21" ht="15" customHeight="1">
      <c r="A14" s="52">
        <v>91025</v>
      </c>
      <c r="B14" s="71"/>
      <c r="C14" s="71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71"/>
      <c r="P14" s="38"/>
    </row>
    <row r="15" spans="1:21" ht="15" customHeight="1">
      <c r="A15" s="52">
        <v>91027</v>
      </c>
      <c r="B15" s="71"/>
      <c r="C15" s="71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71"/>
      <c r="P15" s="38"/>
    </row>
    <row r="16" spans="1:21" ht="15" customHeight="1">
      <c r="A16" s="52">
        <v>91029</v>
      </c>
      <c r="B16" s="71"/>
      <c r="C16" s="71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71"/>
      <c r="P16" s="38"/>
    </row>
    <row r="17" spans="1:16" ht="15" customHeight="1">
      <c r="A17" s="52">
        <v>91031</v>
      </c>
      <c r="B17" s="71"/>
      <c r="C17" s="71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71"/>
      <c r="P17" s="38"/>
    </row>
    <row r="18" spans="1:16" ht="15" customHeight="1">
      <c r="A18" s="52">
        <v>91033</v>
      </c>
      <c r="B18" s="71"/>
      <c r="C18" s="71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71"/>
      <c r="P18" s="38"/>
    </row>
    <row r="19" spans="1:16" ht="15" customHeight="1">
      <c r="A19" s="52">
        <v>91035</v>
      </c>
      <c r="B19" s="71"/>
      <c r="C19" s="71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71"/>
      <c r="P19" s="38"/>
    </row>
    <row r="20" spans="1:16" ht="15" customHeight="1">
      <c r="A20" s="52">
        <v>91037</v>
      </c>
      <c r="B20" s="71"/>
      <c r="C20" s="71"/>
      <c r="D20" s="37"/>
      <c r="E20" s="37"/>
      <c r="F20" s="37"/>
      <c r="G20" s="37"/>
      <c r="H20" s="37"/>
      <c r="I20" s="37"/>
      <c r="J20" s="37"/>
      <c r="K20" s="37"/>
      <c r="L20" s="37"/>
      <c r="M20" s="53"/>
      <c r="N20" s="54"/>
      <c r="O20" s="71"/>
      <c r="P20" s="38"/>
    </row>
    <row r="21" spans="1:16" ht="15" customHeight="1">
      <c r="A21" s="52">
        <v>91039</v>
      </c>
      <c r="B21" s="71"/>
      <c r="C21" s="71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71"/>
      <c r="P21" s="38"/>
    </row>
    <row r="22" spans="1:16" ht="15" customHeight="1">
      <c r="A22" s="52">
        <v>91041</v>
      </c>
      <c r="B22" s="71"/>
      <c r="C22" s="71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71"/>
      <c r="P22" s="38"/>
    </row>
    <row r="23" spans="1:16" ht="15" customHeight="1">
      <c r="A23" s="52">
        <v>91043</v>
      </c>
      <c r="B23" s="70"/>
      <c r="C23" s="70"/>
      <c r="D23" s="40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70"/>
      <c r="P23" s="38"/>
    </row>
    <row r="24" spans="1:16" ht="15" customHeight="1">
      <c r="A24" s="52">
        <v>91045</v>
      </c>
      <c r="B24" s="71"/>
      <c r="C24" s="71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71"/>
      <c r="P24" s="38"/>
    </row>
    <row r="25" spans="1:16" ht="15" customHeight="1">
      <c r="A25" s="52">
        <v>91047</v>
      </c>
      <c r="B25" s="71"/>
      <c r="C25" s="71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71"/>
      <c r="P25" s="38"/>
    </row>
    <row r="26" spans="1:16" ht="15" customHeight="1">
      <c r="A26" s="52">
        <v>91049</v>
      </c>
      <c r="B26" s="71"/>
      <c r="C26" s="71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71"/>
      <c r="P26" s="38"/>
    </row>
    <row r="27" spans="1:16" ht="15" customHeight="1">
      <c r="A27" s="52">
        <v>91051</v>
      </c>
      <c r="B27" s="71"/>
      <c r="C27" s="71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71"/>
      <c r="P27" s="38"/>
    </row>
    <row r="28" spans="1:16" ht="15" customHeight="1">
      <c r="A28" s="52">
        <v>91053</v>
      </c>
      <c r="B28" s="71"/>
      <c r="C28" s="71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71"/>
      <c r="P28" s="38"/>
    </row>
    <row r="29" spans="1:16" ht="15" customHeight="1">
      <c r="A29" s="52">
        <v>91055</v>
      </c>
      <c r="B29" s="71"/>
      <c r="C29" s="71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71"/>
      <c r="P29" s="38"/>
    </row>
    <row r="30" spans="1:16" ht="15" customHeight="1">
      <c r="A30" s="52">
        <v>91057</v>
      </c>
      <c r="B30" s="71"/>
      <c r="C30" s="71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71"/>
      <c r="P30" s="38"/>
    </row>
    <row r="31" spans="1:16" ht="15" customHeight="1">
      <c r="A31" s="52">
        <v>91059</v>
      </c>
      <c r="B31" s="71"/>
      <c r="C31" s="71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71"/>
      <c r="P31" s="38"/>
    </row>
    <row r="32" spans="1:16" ht="15" customHeight="1">
      <c r="A32" s="52">
        <v>91061</v>
      </c>
      <c r="B32" s="71"/>
      <c r="C32" s="71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71"/>
      <c r="P32" s="38"/>
    </row>
    <row r="33" spans="1:16" ht="15" customHeight="1">
      <c r="A33" s="52">
        <v>91063</v>
      </c>
      <c r="B33" s="71"/>
      <c r="C33" s="71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71"/>
      <c r="P33" s="38"/>
    </row>
    <row r="34" spans="1:16" ht="15" customHeight="1">
      <c r="A34" s="52">
        <v>91065</v>
      </c>
      <c r="B34" s="71"/>
      <c r="C34" s="71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71"/>
      <c r="P34" s="38"/>
    </row>
    <row r="35" spans="1:16" ht="15" customHeight="1">
      <c r="A35" s="52">
        <v>91067</v>
      </c>
      <c r="B35" s="71"/>
      <c r="C35" s="71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71"/>
      <c r="P35" s="38"/>
    </row>
    <row r="36" spans="1:16" ht="15" customHeight="1">
      <c r="A36" s="52">
        <v>91069</v>
      </c>
      <c r="B36" s="71"/>
      <c r="C36" s="71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71"/>
      <c r="P36" s="38"/>
    </row>
    <row r="37" spans="1:16" ht="15" customHeight="1">
      <c r="A37" s="52">
        <v>91071</v>
      </c>
      <c r="B37" s="71"/>
      <c r="C37" s="71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71"/>
      <c r="P37" s="38"/>
    </row>
    <row r="38" spans="1:16" ht="15" customHeight="1">
      <c r="A38" s="52">
        <v>91073</v>
      </c>
      <c r="B38" s="71"/>
      <c r="C38" s="71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71"/>
      <c r="P38" s="38"/>
    </row>
    <row r="39" spans="1:16" ht="15" customHeight="1">
      <c r="A39" s="52">
        <v>91075</v>
      </c>
      <c r="B39" s="71"/>
      <c r="C39" s="71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71"/>
      <c r="P39" s="38"/>
    </row>
    <row r="40" spans="1:16" ht="15" customHeight="1">
      <c r="A40" s="52">
        <v>91077</v>
      </c>
      <c r="B40" s="71"/>
      <c r="C40" s="71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71"/>
      <c r="P40" s="38"/>
    </row>
    <row r="41" spans="1:16" ht="15" customHeight="1">
      <c r="A41" s="52">
        <v>91079</v>
      </c>
      <c r="B41" s="70"/>
      <c r="C41" s="70"/>
      <c r="D41" s="40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70"/>
      <c r="P41" s="38"/>
    </row>
    <row r="42" spans="1:16" ht="15" customHeight="1">
      <c r="A42" s="52">
        <v>91081</v>
      </c>
      <c r="B42" s="71"/>
      <c r="C42" s="71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71"/>
      <c r="P42" s="38"/>
    </row>
    <row r="43" spans="1:16" ht="15" customHeight="1">
      <c r="A43" s="52">
        <v>91083</v>
      </c>
      <c r="B43" s="71">
        <v>45854</v>
      </c>
      <c r="C43" s="71"/>
      <c r="D43" s="38">
        <v>2</v>
      </c>
      <c r="E43" s="38">
        <v>160</v>
      </c>
      <c r="F43" s="38">
        <v>160</v>
      </c>
      <c r="G43" s="38">
        <v>0</v>
      </c>
      <c r="H43" s="38">
        <v>0</v>
      </c>
      <c r="I43" s="38"/>
      <c r="J43" s="38"/>
      <c r="K43" s="38"/>
      <c r="L43" s="38"/>
      <c r="M43" s="38" t="s">
        <v>19</v>
      </c>
      <c r="N43" s="38" t="s">
        <v>20</v>
      </c>
      <c r="O43" s="71">
        <v>45854</v>
      </c>
      <c r="P43" s="38"/>
    </row>
    <row r="44" spans="1:16" ht="15" customHeight="1">
      <c r="A44" s="52">
        <v>91085</v>
      </c>
      <c r="B44" s="71"/>
      <c r="C44" s="71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71"/>
      <c r="P44" s="38"/>
    </row>
    <row r="45" spans="1:16" ht="15" customHeight="1">
      <c r="A45" s="52">
        <v>91087</v>
      </c>
      <c r="B45" s="71"/>
      <c r="C45" s="71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71"/>
      <c r="P45" s="38"/>
    </row>
    <row r="46" spans="1:16" ht="15" customHeight="1">
      <c r="A46" s="52">
        <v>91089</v>
      </c>
      <c r="B46" s="71"/>
      <c r="C46" s="71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71"/>
      <c r="P46" s="38"/>
    </row>
    <row r="47" spans="1:16" ht="15" customHeight="1">
      <c r="A47" s="52">
        <v>91091</v>
      </c>
      <c r="B47" s="71"/>
      <c r="C47" s="71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71"/>
      <c r="P47" s="38"/>
    </row>
    <row r="48" spans="1:16" ht="15" customHeight="1">
      <c r="A48" s="52">
        <v>91093</v>
      </c>
      <c r="B48" s="71"/>
      <c r="C48" s="71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71"/>
      <c r="P48" s="38"/>
    </row>
    <row r="49" spans="1:16" ht="15" customHeight="1">
      <c r="A49" s="52">
        <v>91095</v>
      </c>
      <c r="B49" s="71"/>
      <c r="C49" s="71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71"/>
      <c r="P49" s="38"/>
    </row>
    <row r="50" spans="1:16" ht="15" customHeight="1">
      <c r="A50" s="52">
        <v>91097</v>
      </c>
      <c r="B50" s="71"/>
      <c r="C50" s="71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71"/>
      <c r="P50" s="38"/>
    </row>
    <row r="51" spans="1:16" ht="15" customHeight="1">
      <c r="A51" s="52">
        <v>91099</v>
      </c>
      <c r="B51" s="71"/>
      <c r="C51" s="71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71"/>
      <c r="P51" s="38"/>
    </row>
    <row r="52" spans="1:16" ht="15" customHeight="1">
      <c r="A52" s="52">
        <v>91101</v>
      </c>
      <c r="B52" s="65"/>
      <c r="C52" s="65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5"/>
      <c r="P52" s="38"/>
    </row>
    <row r="53" spans="1:16" ht="15" customHeight="1">
      <c r="A53" s="52">
        <v>91103</v>
      </c>
      <c r="B53" s="65"/>
      <c r="C53" s="65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5"/>
      <c r="P53" s="38"/>
    </row>
    <row r="54" spans="1:16" ht="15" customHeight="1">
      <c r="A54" s="52">
        <v>91105</v>
      </c>
      <c r="B54" s="65"/>
      <c r="C54" s="65"/>
      <c r="D54" s="66"/>
      <c r="E54" s="66"/>
      <c r="F54" s="66"/>
      <c r="G54" s="66"/>
      <c r="H54" s="66"/>
      <c r="I54" s="66"/>
      <c r="J54" s="66"/>
      <c r="K54" s="66"/>
      <c r="L54" s="66"/>
      <c r="M54" s="67"/>
      <c r="N54" s="68"/>
      <c r="O54" s="65"/>
      <c r="P54" s="37"/>
    </row>
    <row r="55" spans="1:16" ht="15" customHeight="1">
      <c r="A55" s="52">
        <v>91107</v>
      </c>
      <c r="B55" s="65"/>
      <c r="C55" s="65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5"/>
      <c r="P55" s="38"/>
    </row>
    <row r="56" spans="1:16" ht="15" customHeight="1">
      <c r="A56" s="52">
        <v>91109</v>
      </c>
      <c r="B56" s="65"/>
      <c r="C56" s="65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5"/>
      <c r="P56" s="38"/>
    </row>
    <row r="57" spans="1:16" ht="15" customHeight="1">
      <c r="A57" s="52">
        <v>91111</v>
      </c>
      <c r="B57" s="65"/>
      <c r="C57" s="65"/>
      <c r="D57" s="66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5"/>
      <c r="P57" s="38"/>
    </row>
    <row r="58" spans="1:16" ht="15" customHeight="1">
      <c r="A58" s="52">
        <v>91113</v>
      </c>
      <c r="B58" s="65">
        <v>45845</v>
      </c>
      <c r="C58" s="65"/>
      <c r="D58" s="66">
        <v>2</v>
      </c>
      <c r="E58" s="67">
        <v>60</v>
      </c>
      <c r="F58" s="67">
        <v>60</v>
      </c>
      <c r="G58" s="67">
        <v>0</v>
      </c>
      <c r="H58" s="67">
        <v>0</v>
      </c>
      <c r="I58" s="67"/>
      <c r="J58" s="67"/>
      <c r="K58" s="67"/>
      <c r="L58" s="67"/>
      <c r="M58" s="67" t="s">
        <v>19</v>
      </c>
      <c r="N58" s="67" t="s">
        <v>20</v>
      </c>
      <c r="O58" s="65">
        <v>45845</v>
      </c>
      <c r="P58" s="38"/>
    </row>
    <row r="59" spans="1:16" ht="15" customHeight="1">
      <c r="A59" s="52">
        <v>91115</v>
      </c>
      <c r="B59" s="65"/>
      <c r="C59" s="65"/>
      <c r="D59" s="66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5"/>
      <c r="P59" s="38"/>
    </row>
    <row r="60" spans="1:16" ht="15" customHeight="1">
      <c r="A60" s="52">
        <v>91117</v>
      </c>
      <c r="B60" s="65"/>
      <c r="C60" s="65"/>
      <c r="D60" s="66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5"/>
      <c r="P60" s="38"/>
    </row>
    <row r="61" spans="1:16" ht="15" customHeight="1">
      <c r="A61" s="52">
        <v>91119</v>
      </c>
      <c r="B61" s="65"/>
      <c r="C61" s="65"/>
      <c r="D61" s="66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5"/>
      <c r="P61" s="38"/>
    </row>
    <row r="62" spans="1:16" ht="15" customHeight="1">
      <c r="A62" s="52">
        <v>91121</v>
      </c>
      <c r="B62" s="65"/>
      <c r="C62" s="65"/>
      <c r="D62" s="66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5"/>
      <c r="P62" s="38"/>
    </row>
    <row r="63" spans="1:16" ht="15" customHeight="1">
      <c r="A63" s="52">
        <v>91123</v>
      </c>
      <c r="B63" s="65"/>
      <c r="C63" s="65"/>
      <c r="D63" s="66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5"/>
      <c r="P63" s="38"/>
    </row>
    <row r="64" spans="1:16" ht="15" customHeight="1">
      <c r="A64" s="52">
        <v>91125</v>
      </c>
      <c r="B64" s="72">
        <v>45833</v>
      </c>
      <c r="C64" s="72"/>
      <c r="D64" s="66">
        <v>2</v>
      </c>
      <c r="E64" s="67">
        <v>88</v>
      </c>
      <c r="F64" s="67">
        <v>88</v>
      </c>
      <c r="G64" s="67">
        <v>0</v>
      </c>
      <c r="H64" s="67">
        <v>0</v>
      </c>
      <c r="I64" s="67"/>
      <c r="J64" s="67"/>
      <c r="K64" s="67"/>
      <c r="L64" s="67"/>
      <c r="M64" s="67" t="s">
        <v>19</v>
      </c>
      <c r="N64" s="67" t="s">
        <v>20</v>
      </c>
      <c r="O64" s="72">
        <v>45833</v>
      </c>
      <c r="P64" s="38"/>
    </row>
    <row r="65" spans="1:16" ht="15" customHeight="1">
      <c r="A65" s="52">
        <v>91127</v>
      </c>
      <c r="B65" s="65"/>
      <c r="C65" s="65"/>
      <c r="D65" s="66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5"/>
      <c r="P65" s="38"/>
    </row>
    <row r="66" spans="1:16" ht="15" customHeight="1">
      <c r="A66" s="52">
        <v>91129</v>
      </c>
      <c r="B66" s="65"/>
      <c r="C66" s="65"/>
      <c r="D66" s="66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5"/>
      <c r="P66" s="38"/>
    </row>
    <row r="67" spans="1:16" ht="15" customHeight="1">
      <c r="A67" s="52">
        <v>91131</v>
      </c>
      <c r="B67" s="65"/>
      <c r="C67" s="65"/>
      <c r="D67" s="66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5"/>
      <c r="P67" s="38"/>
    </row>
    <row r="68" spans="1:16">
      <c r="A68" s="52">
        <v>91133</v>
      </c>
      <c r="B68" s="65"/>
      <c r="C68" s="65"/>
      <c r="D68" s="66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5"/>
      <c r="P68" s="38"/>
    </row>
    <row r="69" spans="1:16">
      <c r="A69" s="52">
        <v>91135</v>
      </c>
      <c r="B69" s="65"/>
      <c r="C69" s="65"/>
      <c r="D69" s="66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5"/>
      <c r="P69" s="38"/>
    </row>
    <row r="70" spans="1:16">
      <c r="A70" s="52">
        <v>91137</v>
      </c>
      <c r="B70" s="65"/>
      <c r="C70" s="65"/>
      <c r="D70" s="66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5"/>
      <c r="P70" s="38"/>
    </row>
    <row r="71" spans="1:16">
      <c r="A71" s="52">
        <v>91139</v>
      </c>
      <c r="B71" s="65"/>
      <c r="C71" s="65"/>
      <c r="D71" s="66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5"/>
      <c r="P71" s="38"/>
    </row>
    <row r="72" spans="1:16">
      <c r="A72" s="52">
        <v>91141</v>
      </c>
      <c r="B72" s="65"/>
      <c r="C72" s="65"/>
      <c r="D72" s="66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5"/>
      <c r="P72" s="38"/>
    </row>
    <row r="73" spans="1:16">
      <c r="A73" s="52">
        <v>91143</v>
      </c>
      <c r="B73" s="65"/>
      <c r="C73" s="65"/>
      <c r="D73" s="66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5"/>
      <c r="P73" s="38"/>
    </row>
    <row r="74" spans="1:16">
      <c r="A74" s="52">
        <v>91145</v>
      </c>
      <c r="B74" s="65"/>
      <c r="C74" s="65"/>
      <c r="D74" s="66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5"/>
      <c r="P74" s="38"/>
    </row>
    <row r="75" spans="1:16">
      <c r="A75" s="52">
        <v>91147</v>
      </c>
      <c r="B75" s="65"/>
      <c r="C75" s="65"/>
      <c r="D75" s="66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5"/>
      <c r="P75" s="38"/>
    </row>
    <row r="76" spans="1:16">
      <c r="A76" s="52">
        <v>91149</v>
      </c>
      <c r="B76" s="65"/>
      <c r="C76" s="65"/>
      <c r="D76" s="66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5"/>
      <c r="P76" s="38"/>
    </row>
    <row r="77" spans="1:16">
      <c r="A77" s="52">
        <v>91151</v>
      </c>
      <c r="B77" s="65"/>
      <c r="C77" s="65"/>
      <c r="D77" s="66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5"/>
      <c r="P77" s="38"/>
    </row>
    <row r="78" spans="1:16">
      <c r="A78" s="52">
        <v>91153</v>
      </c>
      <c r="B78" s="65"/>
      <c r="C78" s="65"/>
      <c r="D78" s="66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5"/>
      <c r="P78" s="38"/>
    </row>
    <row r="79" spans="1:16">
      <c r="A79" s="52">
        <v>91155</v>
      </c>
      <c r="B79" s="65"/>
      <c r="C79" s="65"/>
      <c r="D79" s="66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5"/>
      <c r="P79" s="38"/>
    </row>
    <row r="80" spans="1:16">
      <c r="A80" s="52">
        <v>91157</v>
      </c>
      <c r="B80" s="65"/>
      <c r="C80" s="65"/>
      <c r="D80" s="66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5"/>
      <c r="P80" s="38"/>
    </row>
    <row r="81" spans="1:16">
      <c r="A81" s="52">
        <v>91159</v>
      </c>
      <c r="B81" s="65"/>
      <c r="C81" s="65"/>
      <c r="D81" s="66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5"/>
      <c r="P81" s="38"/>
    </row>
    <row r="82" spans="1:16">
      <c r="A82" s="52">
        <v>91161</v>
      </c>
      <c r="B82" s="65"/>
      <c r="C82" s="65"/>
      <c r="D82" s="66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5"/>
      <c r="P82" s="38"/>
    </row>
    <row r="83" spans="1:16">
      <c r="A83" s="52">
        <v>91163</v>
      </c>
      <c r="B83" s="65"/>
      <c r="C83" s="65"/>
      <c r="D83" s="66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5"/>
      <c r="P83" s="38"/>
    </row>
    <row r="84" spans="1:16">
      <c r="A84" s="52">
        <v>91165</v>
      </c>
      <c r="B84" s="65"/>
      <c r="C84" s="65"/>
      <c r="D84" s="66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5"/>
      <c r="P84" s="38"/>
    </row>
    <row r="85" spans="1:16">
      <c r="A85" s="52">
        <v>91167</v>
      </c>
      <c r="B85" s="65"/>
      <c r="C85" s="65"/>
      <c r="D85" s="66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5"/>
      <c r="P85" s="38"/>
    </row>
    <row r="86" spans="1:16">
      <c r="A86" s="52">
        <v>91169</v>
      </c>
      <c r="B86" s="65"/>
      <c r="C86" s="65"/>
      <c r="D86" s="66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5"/>
      <c r="P86" s="38"/>
    </row>
    <row r="87" spans="1:16">
      <c r="A87" s="52">
        <v>91171</v>
      </c>
      <c r="B87" s="65"/>
      <c r="C87" s="65"/>
      <c r="D87" s="66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5"/>
      <c r="P87" s="38"/>
    </row>
    <row r="88" spans="1:16">
      <c r="A88" s="52">
        <v>91173</v>
      </c>
      <c r="B88" s="65"/>
      <c r="C88" s="65"/>
      <c r="D88" s="66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5"/>
      <c r="P88" s="38"/>
    </row>
    <row r="89" spans="1:16">
      <c r="A89" s="52">
        <v>91175</v>
      </c>
      <c r="B89" s="65"/>
      <c r="C89" s="65"/>
      <c r="D89" s="66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5"/>
      <c r="P89" s="38"/>
    </row>
    <row r="90" spans="1:16">
      <c r="A90" s="52">
        <v>91177</v>
      </c>
      <c r="B90" s="65"/>
      <c r="C90" s="65"/>
      <c r="D90" s="66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5"/>
      <c r="P90" s="38"/>
    </row>
    <row r="91" spans="1:16">
      <c r="A91" s="52">
        <v>91179</v>
      </c>
      <c r="B91" s="65"/>
      <c r="C91" s="65"/>
      <c r="D91" s="66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5"/>
      <c r="P91" s="38"/>
    </row>
    <row r="92" spans="1:16">
      <c r="A92" s="52" t="s">
        <v>38</v>
      </c>
      <c r="B92" s="65"/>
      <c r="C92" s="65"/>
      <c r="D92" s="66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5"/>
      <c r="P92" s="38"/>
    </row>
    <row r="93" spans="1:16">
      <c r="A93" s="52" t="s">
        <v>40</v>
      </c>
      <c r="B93" s="65"/>
      <c r="C93" s="65"/>
      <c r="D93" s="66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5"/>
      <c r="P93" s="38"/>
    </row>
    <row r="94" spans="1:16">
      <c r="A94" s="52" t="s">
        <v>41</v>
      </c>
      <c r="B94" s="65"/>
      <c r="C94" s="65"/>
      <c r="D94" s="66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5"/>
      <c r="P94" s="38"/>
    </row>
    <row r="95" spans="1:16">
      <c r="A95" s="52" t="s">
        <v>42</v>
      </c>
      <c r="B95" s="65"/>
      <c r="C95" s="65"/>
      <c r="D95" s="66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5"/>
      <c r="P95" s="38"/>
    </row>
    <row r="96" spans="1:16">
      <c r="A96" s="52" t="s">
        <v>43</v>
      </c>
      <c r="B96" s="65"/>
      <c r="C96" s="65"/>
      <c r="D96" s="66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5"/>
      <c r="P96" s="38"/>
    </row>
    <row r="97" spans="1:16">
      <c r="A97" s="52" t="s">
        <v>44</v>
      </c>
      <c r="B97" s="65"/>
      <c r="C97" s="65"/>
      <c r="D97" s="66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5"/>
      <c r="P97" s="38"/>
    </row>
    <row r="98" spans="1:16">
      <c r="A98" s="52" t="s">
        <v>45</v>
      </c>
      <c r="B98" s="65"/>
      <c r="C98" s="65"/>
      <c r="D98" s="66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5"/>
      <c r="P98" s="38"/>
    </row>
    <row r="99" spans="1:16">
      <c r="A99" s="52" t="s">
        <v>46</v>
      </c>
      <c r="B99" s="65"/>
      <c r="C99" s="65"/>
      <c r="D99" s="66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5"/>
      <c r="P99" s="38"/>
    </row>
    <row r="100" spans="1:16">
      <c r="A100" s="52" t="s">
        <v>47</v>
      </c>
      <c r="B100" s="65"/>
      <c r="C100" s="65"/>
      <c r="D100" s="66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5"/>
      <c r="P100" s="38"/>
    </row>
    <row r="101" spans="1:16">
      <c r="A101" s="52" t="s">
        <v>48</v>
      </c>
      <c r="B101" s="65"/>
      <c r="C101" s="65"/>
      <c r="D101" s="66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5"/>
      <c r="P101" s="38"/>
    </row>
    <row r="102" spans="1:16">
      <c r="A102" s="52" t="s">
        <v>50</v>
      </c>
      <c r="B102" s="65"/>
      <c r="C102" s="65"/>
      <c r="D102" s="66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5"/>
      <c r="P102" s="38"/>
    </row>
    <row r="103" spans="1:16">
      <c r="A103" s="52" t="s">
        <v>51</v>
      </c>
      <c r="B103" s="65"/>
      <c r="C103" s="65"/>
      <c r="D103" s="66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5"/>
      <c r="P103" s="38"/>
    </row>
    <row r="104" spans="1:16">
      <c r="A104" s="52" t="s">
        <v>52</v>
      </c>
      <c r="B104" s="65"/>
      <c r="C104" s="65"/>
      <c r="D104" s="66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5"/>
      <c r="P104" s="38"/>
    </row>
    <row r="105" spans="1:16">
      <c r="A105" s="52" t="s">
        <v>54</v>
      </c>
      <c r="B105" s="65"/>
      <c r="C105" s="65"/>
      <c r="D105" s="66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5"/>
      <c r="P105" s="38"/>
    </row>
    <row r="106" spans="1:16">
      <c r="A106" s="52">
        <v>91209</v>
      </c>
      <c r="B106" s="65"/>
      <c r="C106" s="65"/>
      <c r="D106" s="66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5"/>
      <c r="P106" s="38"/>
    </row>
    <row r="107" spans="1:16">
      <c r="A107" s="52" t="s">
        <v>55</v>
      </c>
      <c r="B107" s="65"/>
      <c r="C107" s="65"/>
      <c r="D107" s="66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5"/>
      <c r="P107" s="38"/>
    </row>
    <row r="108" spans="1:16">
      <c r="A108" s="52" t="s">
        <v>56</v>
      </c>
      <c r="B108" s="65"/>
      <c r="C108" s="65"/>
      <c r="D108" s="66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5"/>
      <c r="P108" s="38"/>
    </row>
    <row r="109" spans="1:16">
      <c r="A109" s="52" t="s">
        <v>57</v>
      </c>
      <c r="B109" s="65"/>
      <c r="C109" s="65"/>
      <c r="D109" s="66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5"/>
      <c r="P109" s="38"/>
    </row>
    <row r="110" spans="1:16">
      <c r="A110" s="52" t="s">
        <v>58</v>
      </c>
      <c r="B110" s="65"/>
      <c r="C110" s="65"/>
      <c r="D110" s="66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5"/>
      <c r="P110" s="38"/>
    </row>
    <row r="111" spans="1:16">
      <c r="A111" s="52" t="s">
        <v>59</v>
      </c>
      <c r="B111" s="65"/>
      <c r="C111" s="65"/>
      <c r="D111" s="66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5"/>
      <c r="P111" s="38"/>
    </row>
    <row r="112" spans="1:16">
      <c r="A112" s="52" t="s">
        <v>60</v>
      </c>
      <c r="B112" s="65"/>
      <c r="C112" s="65"/>
      <c r="D112" s="66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5"/>
      <c r="P112" s="38"/>
    </row>
    <row r="113" spans="1:16">
      <c r="A113" s="52" t="s">
        <v>61</v>
      </c>
      <c r="B113" s="65"/>
      <c r="C113" s="65"/>
      <c r="D113" s="66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5"/>
      <c r="P113" s="38"/>
    </row>
    <row r="114" spans="1:16">
      <c r="A114" s="52" t="s">
        <v>62</v>
      </c>
      <c r="B114" s="65"/>
      <c r="C114" s="65"/>
      <c r="D114" s="66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5"/>
      <c r="P114" s="38"/>
    </row>
    <row r="115" spans="1:16">
      <c r="A115" s="52" t="s">
        <v>64</v>
      </c>
      <c r="B115" s="65"/>
      <c r="C115" s="65"/>
      <c r="D115" s="66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5"/>
      <c r="P115" s="38"/>
    </row>
    <row r="116" spans="1:16">
      <c r="A116" s="52" t="s">
        <v>65</v>
      </c>
      <c r="B116" s="65"/>
      <c r="C116" s="65"/>
      <c r="D116" s="66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5"/>
      <c r="P116" s="38"/>
    </row>
    <row r="117" spans="1:16">
      <c r="A117" s="52" t="s">
        <v>66</v>
      </c>
      <c r="B117" s="65"/>
      <c r="C117" s="65"/>
      <c r="D117" s="66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5"/>
      <c r="P117" s="38"/>
    </row>
    <row r="118" spans="1:16">
      <c r="A118" s="52" t="s">
        <v>67</v>
      </c>
      <c r="B118" s="65"/>
      <c r="C118" s="65"/>
      <c r="D118" s="66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5"/>
      <c r="P118" s="38"/>
    </row>
    <row r="119" spans="1:16">
      <c r="A119" s="52" t="s">
        <v>69</v>
      </c>
      <c r="B119" s="65"/>
      <c r="C119" s="65"/>
      <c r="D119" s="66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5"/>
      <c r="P119" s="38"/>
    </row>
    <row r="120" spans="1:16">
      <c r="A120" s="52" t="s">
        <v>70</v>
      </c>
      <c r="B120" s="65"/>
      <c r="C120" s="65"/>
      <c r="D120" s="66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5"/>
      <c r="P120" s="38"/>
    </row>
    <row r="121" spans="1:16">
      <c r="A121" s="52" t="s">
        <v>71</v>
      </c>
      <c r="B121" s="65"/>
      <c r="C121" s="65"/>
      <c r="D121" s="66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5"/>
      <c r="P121" s="38"/>
    </row>
    <row r="122" spans="1:16">
      <c r="A122" s="52" t="s">
        <v>72</v>
      </c>
      <c r="B122" s="65"/>
      <c r="C122" s="65"/>
      <c r="D122" s="66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5"/>
      <c r="P122" s="38"/>
    </row>
    <row r="123" spans="1:16">
      <c r="A123" s="52" t="s">
        <v>73</v>
      </c>
      <c r="B123" s="65"/>
      <c r="C123" s="65"/>
      <c r="D123" s="66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5"/>
      <c r="P123" s="38"/>
    </row>
    <row r="124" spans="1:16">
      <c r="A124" s="52" t="s">
        <v>74</v>
      </c>
      <c r="B124" s="65"/>
      <c r="C124" s="65"/>
      <c r="D124" s="66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5"/>
      <c r="P124" s="38"/>
    </row>
    <row r="125" spans="1:16">
      <c r="A125" s="52" t="s">
        <v>75</v>
      </c>
      <c r="B125" s="65"/>
      <c r="C125" s="65"/>
      <c r="D125" s="66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5"/>
      <c r="P125" s="38"/>
    </row>
    <row r="126" spans="1:16">
      <c r="A126" s="52" t="s">
        <v>76</v>
      </c>
      <c r="B126" s="65"/>
      <c r="C126" s="65"/>
      <c r="D126" s="66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5"/>
      <c r="P126" s="38"/>
    </row>
    <row r="127" spans="1:16">
      <c r="A127" s="52" t="s">
        <v>77</v>
      </c>
      <c r="B127" s="65"/>
      <c r="C127" s="65"/>
      <c r="D127" s="66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5"/>
      <c r="P127" s="38"/>
    </row>
    <row r="128" spans="1:16">
      <c r="A128" s="52" t="s">
        <v>78</v>
      </c>
      <c r="B128" s="65"/>
      <c r="C128" s="65"/>
      <c r="D128" s="66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5"/>
      <c r="P128" s="38"/>
    </row>
    <row r="129" spans="1:16">
      <c r="A129" s="52">
        <v>91255</v>
      </c>
      <c r="B129" s="65"/>
      <c r="C129" s="65"/>
      <c r="D129" s="66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5"/>
      <c r="P129" s="38"/>
    </row>
    <row r="130" spans="1:16">
      <c r="A130" s="52" t="s">
        <v>80</v>
      </c>
      <c r="B130" s="65"/>
      <c r="C130" s="65"/>
      <c r="D130" s="66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5"/>
      <c r="P130" s="38"/>
    </row>
    <row r="131" spans="1:16">
      <c r="A131" s="52" t="s">
        <v>81</v>
      </c>
      <c r="B131" s="65"/>
      <c r="C131" s="65"/>
      <c r="D131" s="66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5"/>
      <c r="P131" s="38"/>
    </row>
    <row r="132" spans="1:16">
      <c r="A132" s="52" t="s">
        <v>82</v>
      </c>
      <c r="B132" s="65"/>
      <c r="C132" s="65"/>
      <c r="D132" s="66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5"/>
      <c r="P132" s="38"/>
    </row>
    <row r="133" spans="1:16">
      <c r="A133" s="52" t="s">
        <v>83</v>
      </c>
      <c r="B133" s="65"/>
      <c r="C133" s="65"/>
      <c r="D133" s="66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5"/>
      <c r="P133" s="38"/>
    </row>
    <row r="134" spans="1:16">
      <c r="A134" s="52" t="s">
        <v>84</v>
      </c>
      <c r="B134" s="65"/>
      <c r="C134" s="65"/>
      <c r="D134" s="66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5"/>
      <c r="P134" s="38"/>
    </row>
    <row r="135" spans="1:16">
      <c r="A135" s="52" t="s">
        <v>85</v>
      </c>
      <c r="B135" s="65"/>
      <c r="C135" s="65"/>
      <c r="D135" s="66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5"/>
      <c r="P135" s="38"/>
    </row>
    <row r="136" spans="1:16">
      <c r="A136" s="52" t="s">
        <v>86</v>
      </c>
      <c r="B136" s="65"/>
      <c r="C136" s="65"/>
      <c r="D136" s="66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5"/>
      <c r="P136" s="38"/>
    </row>
    <row r="137" spans="1:16">
      <c r="A137" s="52" t="s">
        <v>87</v>
      </c>
      <c r="B137" s="65"/>
      <c r="C137" s="65"/>
      <c r="D137" s="66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5"/>
      <c r="P137" s="38"/>
    </row>
    <row r="138" spans="1:16">
      <c r="A138" s="52">
        <v>91273</v>
      </c>
      <c r="B138" s="65"/>
      <c r="C138" s="65"/>
      <c r="D138" s="66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5"/>
      <c r="P138" s="38"/>
    </row>
    <row r="139" spans="1:16">
      <c r="A139" s="52" t="s">
        <v>88</v>
      </c>
      <c r="B139" s="65"/>
      <c r="C139" s="65"/>
      <c r="D139" s="66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5"/>
      <c r="P139" s="38"/>
    </row>
    <row r="140" spans="1:16">
      <c r="A140" s="52" t="s">
        <v>89</v>
      </c>
      <c r="B140" s="65"/>
      <c r="C140" s="65"/>
      <c r="D140" s="66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5"/>
      <c r="P140" s="38"/>
    </row>
    <row r="141" spans="1:16">
      <c r="A141" s="52">
        <v>91279</v>
      </c>
      <c r="B141" s="65"/>
      <c r="C141" s="65"/>
      <c r="D141" s="66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5"/>
      <c r="P141" s="38"/>
    </row>
    <row r="142" spans="1:16">
      <c r="A142" s="52" t="s">
        <v>90</v>
      </c>
      <c r="B142" s="65"/>
      <c r="C142" s="65"/>
      <c r="D142" s="66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5"/>
      <c r="P142" s="38"/>
    </row>
    <row r="143" spans="1:16">
      <c r="A143" s="52" t="s">
        <v>92</v>
      </c>
      <c r="B143" s="65"/>
      <c r="C143" s="65"/>
      <c r="D143" s="66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5"/>
      <c r="P143" s="38"/>
    </row>
    <row r="144" spans="1:16">
      <c r="A144" s="52" t="s">
        <v>93</v>
      </c>
      <c r="B144" s="65"/>
      <c r="C144" s="65"/>
      <c r="D144" s="66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5"/>
      <c r="P144" s="38"/>
    </row>
    <row r="145" spans="1:16">
      <c r="A145" s="52" t="s">
        <v>95</v>
      </c>
      <c r="B145" s="65"/>
      <c r="C145" s="65"/>
      <c r="D145" s="66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5"/>
      <c r="P145" s="38"/>
    </row>
    <row r="146" spans="1:16">
      <c r="A146" s="52" t="s">
        <v>96</v>
      </c>
      <c r="B146" s="65"/>
      <c r="C146" s="65"/>
      <c r="D146" s="66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5"/>
      <c r="P146" s="38"/>
    </row>
    <row r="147" spans="1:16">
      <c r="A147" s="52" t="s">
        <v>97</v>
      </c>
      <c r="B147" s="65"/>
      <c r="C147" s="65"/>
      <c r="D147" s="66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5"/>
      <c r="P147" s="38"/>
    </row>
    <row r="148" spans="1:16">
      <c r="A148" s="52" t="s">
        <v>98</v>
      </c>
      <c r="B148" s="65"/>
      <c r="C148" s="65"/>
      <c r="D148" s="66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5"/>
      <c r="P148" s="38"/>
    </row>
    <row r="149" spans="1:16">
      <c r="A149" s="52" t="s">
        <v>99</v>
      </c>
      <c r="B149" s="65"/>
      <c r="C149" s="65"/>
      <c r="D149" s="66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5"/>
      <c r="P149" s="38"/>
    </row>
    <row r="150" spans="1:16">
      <c r="A150" s="52" t="s">
        <v>100</v>
      </c>
      <c r="B150" s="65"/>
      <c r="C150" s="65"/>
      <c r="D150" s="66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5"/>
      <c r="P150" s="38"/>
    </row>
    <row r="151" spans="1:16">
      <c r="A151" s="52" t="s">
        <v>101</v>
      </c>
      <c r="B151" s="65"/>
      <c r="C151" s="65"/>
      <c r="D151" s="66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5"/>
      <c r="P151" s="38"/>
    </row>
    <row r="152" spans="1:16">
      <c r="A152" s="52">
        <v>91301</v>
      </c>
      <c r="B152" s="65"/>
      <c r="C152" s="65"/>
      <c r="D152" s="66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5"/>
      <c r="P152" s="38"/>
    </row>
    <row r="153" spans="1:16">
      <c r="A153" s="52">
        <v>91303</v>
      </c>
      <c r="B153" s="65"/>
      <c r="C153" s="65"/>
      <c r="D153" s="66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5"/>
      <c r="P153" s="38"/>
    </row>
    <row r="154" spans="1:16">
      <c r="A154" s="52" t="s">
        <v>103</v>
      </c>
      <c r="B154" s="65"/>
      <c r="C154" s="65"/>
      <c r="D154" s="66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5"/>
      <c r="P154" s="38"/>
    </row>
    <row r="155" spans="1:16">
      <c r="A155" s="52" t="s">
        <v>104</v>
      </c>
      <c r="B155" s="65"/>
      <c r="C155" s="65"/>
      <c r="D155" s="66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5"/>
      <c r="P155" s="38"/>
    </row>
    <row r="156" spans="1:16">
      <c r="A156" s="52" t="s">
        <v>105</v>
      </c>
      <c r="B156" s="65"/>
      <c r="C156" s="65"/>
      <c r="D156" s="66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5"/>
      <c r="P156" s="38"/>
    </row>
    <row r="157" spans="1:16">
      <c r="A157" s="52" t="s">
        <v>107</v>
      </c>
      <c r="B157" s="65"/>
      <c r="C157" s="65"/>
      <c r="D157" s="66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5"/>
      <c r="P157" s="38"/>
    </row>
    <row r="158" spans="1:16">
      <c r="A158" s="52" t="s">
        <v>108</v>
      </c>
      <c r="B158" s="65"/>
      <c r="C158" s="65"/>
      <c r="D158" s="66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5"/>
      <c r="P158" s="38"/>
    </row>
    <row r="159" spans="1:16">
      <c r="A159" s="52" t="s">
        <v>109</v>
      </c>
      <c r="B159" s="65"/>
      <c r="C159" s="65"/>
      <c r="D159" s="66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5"/>
      <c r="P159" s="38"/>
    </row>
    <row r="160" spans="1:16">
      <c r="A160" s="52" t="s">
        <v>110</v>
      </c>
      <c r="B160" s="65">
        <v>45817</v>
      </c>
      <c r="C160" s="65"/>
      <c r="D160" s="66">
        <v>2</v>
      </c>
      <c r="E160" s="67">
        <v>222</v>
      </c>
      <c r="F160" s="67">
        <v>222</v>
      </c>
      <c r="G160" s="67">
        <v>0</v>
      </c>
      <c r="H160" s="67">
        <v>0</v>
      </c>
      <c r="I160" s="67"/>
      <c r="J160" s="67"/>
      <c r="K160" s="67"/>
      <c r="L160" s="67"/>
      <c r="M160" s="67" t="s">
        <v>17</v>
      </c>
      <c r="N160" s="68" t="s">
        <v>25</v>
      </c>
      <c r="O160" s="65">
        <v>45817</v>
      </c>
      <c r="P160" s="38"/>
    </row>
    <row r="161" spans="1:16">
      <c r="A161" s="52" t="s">
        <v>112</v>
      </c>
      <c r="B161" s="65"/>
      <c r="C161" s="65"/>
      <c r="D161" s="66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5"/>
      <c r="P161" s="38"/>
    </row>
    <row r="162" spans="1:16">
      <c r="A162" s="52" t="s">
        <v>113</v>
      </c>
      <c r="B162" s="65"/>
      <c r="C162" s="65"/>
      <c r="D162" s="66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5"/>
      <c r="P162" s="38"/>
    </row>
    <row r="163" spans="1:16">
      <c r="A163" s="52" t="s">
        <v>114</v>
      </c>
      <c r="B163" s="65"/>
      <c r="C163" s="65"/>
      <c r="D163" s="66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5"/>
      <c r="P163" s="38"/>
    </row>
    <row r="164" spans="1:16">
      <c r="A164" s="52" t="s">
        <v>115</v>
      </c>
      <c r="B164" s="65"/>
      <c r="C164" s="65"/>
      <c r="D164" s="66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5"/>
      <c r="P164" s="38"/>
    </row>
    <row r="165" spans="1:16">
      <c r="A165" s="52" t="s">
        <v>116</v>
      </c>
      <c r="B165" s="65"/>
      <c r="C165" s="65"/>
      <c r="D165" s="66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5"/>
      <c r="P165" s="38"/>
    </row>
    <row r="166" spans="1:16">
      <c r="A166" s="52">
        <v>91329</v>
      </c>
      <c r="B166" s="65"/>
      <c r="C166" s="65"/>
      <c r="D166" s="66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5"/>
      <c r="P166" s="38"/>
    </row>
    <row r="167" spans="1:16">
      <c r="A167" s="52" t="s">
        <v>117</v>
      </c>
      <c r="B167" s="65"/>
      <c r="C167" s="65"/>
      <c r="D167" s="66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5"/>
      <c r="P167" s="38"/>
    </row>
    <row r="168" spans="1:16">
      <c r="A168" s="52" t="s">
        <v>118</v>
      </c>
      <c r="B168" s="65">
        <v>45858</v>
      </c>
      <c r="C168" s="65"/>
      <c r="D168" s="66">
        <v>2</v>
      </c>
      <c r="E168" s="67">
        <v>150</v>
      </c>
      <c r="F168" s="67">
        <v>150</v>
      </c>
      <c r="G168" s="67">
        <v>0</v>
      </c>
      <c r="H168" s="67">
        <v>0</v>
      </c>
      <c r="I168" s="67"/>
      <c r="J168" s="67"/>
      <c r="K168" s="67"/>
      <c r="L168" s="67"/>
      <c r="M168" s="67" t="s">
        <v>17</v>
      </c>
      <c r="N168" s="68" t="s">
        <v>25</v>
      </c>
      <c r="O168" s="65">
        <v>45858</v>
      </c>
      <c r="P168" s="38"/>
    </row>
    <row r="169" spans="1:16">
      <c r="A169" s="52" t="s">
        <v>120</v>
      </c>
      <c r="B169" s="65"/>
      <c r="C169" s="65"/>
      <c r="D169" s="66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5"/>
      <c r="P169" s="38"/>
    </row>
    <row r="170" spans="1:16">
      <c r="A170" s="57">
        <v>91337</v>
      </c>
      <c r="B170" s="65"/>
      <c r="C170" s="65"/>
      <c r="D170" s="66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5"/>
      <c r="P170" s="38"/>
    </row>
    <row r="171" spans="1:16">
      <c r="A171" s="52" t="s">
        <v>121</v>
      </c>
      <c r="B171" s="65"/>
      <c r="C171" s="65"/>
      <c r="D171" s="66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5"/>
      <c r="P171" s="38"/>
    </row>
    <row r="172" spans="1:16">
      <c r="A172" s="52">
        <v>91341</v>
      </c>
      <c r="B172" s="65"/>
      <c r="C172" s="65"/>
      <c r="D172" s="66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5"/>
      <c r="P172" s="38"/>
    </row>
    <row r="173" spans="1:16">
      <c r="A173" s="52">
        <v>91343</v>
      </c>
      <c r="B173" s="65"/>
      <c r="C173" s="65"/>
      <c r="D173" s="66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5"/>
      <c r="P173" s="38"/>
    </row>
    <row r="174" spans="1:16">
      <c r="A174" s="52">
        <v>91345</v>
      </c>
      <c r="B174" s="65"/>
      <c r="C174" s="65"/>
      <c r="D174" s="66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5"/>
      <c r="P174" s="38"/>
    </row>
    <row r="175" spans="1:16">
      <c r="A175" s="52">
        <v>91347</v>
      </c>
      <c r="B175" s="65"/>
      <c r="C175" s="65"/>
      <c r="D175" s="66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5"/>
      <c r="P175" s="38"/>
    </row>
    <row r="176" spans="1:16">
      <c r="A176" s="52">
        <v>91349</v>
      </c>
      <c r="B176" s="65"/>
      <c r="C176" s="65"/>
      <c r="D176" s="66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5"/>
      <c r="P176" s="38"/>
    </row>
    <row r="177" spans="1:16">
      <c r="A177" s="52">
        <v>93002</v>
      </c>
      <c r="B177" s="65"/>
      <c r="C177" s="65"/>
      <c r="D177" s="66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5"/>
      <c r="P177" s="38"/>
    </row>
    <row r="178" spans="1:16">
      <c r="A178" s="52">
        <v>93004</v>
      </c>
      <c r="B178" s="65"/>
      <c r="C178" s="65"/>
      <c r="D178" s="66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5"/>
      <c r="P178" s="38"/>
    </row>
    <row r="179" spans="1:16">
      <c r="A179" s="52">
        <v>93006</v>
      </c>
      <c r="B179" s="65"/>
      <c r="C179" s="65"/>
      <c r="D179" s="66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5"/>
      <c r="P179" s="38"/>
    </row>
    <row r="180" spans="1:16">
      <c r="A180" s="52">
        <v>93008</v>
      </c>
      <c r="B180" s="65"/>
      <c r="C180" s="65"/>
      <c r="D180" s="66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5"/>
      <c r="P180" s="38"/>
    </row>
    <row r="181" spans="1:16">
      <c r="A181" s="52">
        <v>93010</v>
      </c>
      <c r="B181" s="65"/>
      <c r="C181" s="65"/>
      <c r="D181" s="66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5"/>
      <c r="P181" s="38"/>
    </row>
    <row r="182" spans="1:16">
      <c r="A182" s="52">
        <v>93012</v>
      </c>
      <c r="B182" s="65"/>
      <c r="C182" s="65"/>
      <c r="D182" s="66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5"/>
      <c r="P182" s="38"/>
    </row>
    <row r="183" spans="1:16">
      <c r="A183" s="52">
        <v>93014</v>
      </c>
      <c r="B183" s="65"/>
      <c r="C183" s="65"/>
      <c r="D183" s="66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5"/>
      <c r="P183" s="38"/>
    </row>
    <row r="184" spans="1:16">
      <c r="A184" s="52">
        <v>93016</v>
      </c>
      <c r="B184" s="65"/>
      <c r="C184" s="65"/>
      <c r="D184" s="66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5"/>
      <c r="P184" s="38"/>
    </row>
    <row r="185" spans="1:16">
      <c r="A185" s="52">
        <v>93018</v>
      </c>
      <c r="B185" s="65"/>
      <c r="C185" s="65"/>
      <c r="D185" s="66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5"/>
      <c r="P185" s="38"/>
    </row>
    <row r="186" spans="1:16">
      <c r="A186" s="52">
        <v>93020</v>
      </c>
      <c r="B186" s="65"/>
      <c r="C186" s="65"/>
      <c r="D186" s="66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5"/>
      <c r="P186" s="38"/>
    </row>
    <row r="187" spans="1:16">
      <c r="A187" s="52">
        <v>93022</v>
      </c>
      <c r="B187" s="65"/>
      <c r="C187" s="65"/>
      <c r="D187" s="66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5"/>
      <c r="P187" s="38"/>
    </row>
    <row r="188" spans="1:16">
      <c r="A188" s="52">
        <v>93024</v>
      </c>
      <c r="B188" s="65"/>
      <c r="C188" s="65"/>
      <c r="D188" s="66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5"/>
      <c r="P188" s="38"/>
    </row>
    <row r="189" spans="1:16">
      <c r="A189" s="52">
        <v>93026</v>
      </c>
      <c r="B189" s="65"/>
      <c r="C189" s="65"/>
      <c r="D189" s="66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5"/>
      <c r="P189" s="38"/>
    </row>
    <row r="190" spans="1:16">
      <c r="A190" s="52">
        <v>93028</v>
      </c>
      <c r="B190" s="65"/>
      <c r="C190" s="65"/>
      <c r="D190" s="66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5"/>
      <c r="P190" s="38"/>
    </row>
    <row r="191" spans="1:16">
      <c r="A191" s="52">
        <v>93030</v>
      </c>
      <c r="B191" s="65"/>
      <c r="C191" s="65"/>
      <c r="D191" s="66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5"/>
      <c r="P191" s="38"/>
    </row>
    <row r="192" spans="1:16">
      <c r="A192" s="52">
        <v>93032</v>
      </c>
      <c r="B192" s="65"/>
      <c r="C192" s="65"/>
      <c r="D192" s="66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5"/>
      <c r="P192" s="38"/>
    </row>
    <row r="193" spans="1:16">
      <c r="A193" s="52">
        <v>93034</v>
      </c>
      <c r="B193" s="65"/>
      <c r="C193" s="65"/>
      <c r="D193" s="66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5"/>
      <c r="P193" s="38"/>
    </row>
    <row r="194" spans="1:16">
      <c r="A194" s="52">
        <v>93036</v>
      </c>
      <c r="B194" s="65"/>
      <c r="C194" s="65"/>
      <c r="D194" s="66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5"/>
      <c r="P194" s="38"/>
    </row>
    <row r="195" spans="1:16">
      <c r="A195" s="52">
        <v>93038</v>
      </c>
      <c r="B195" s="65"/>
      <c r="C195" s="65"/>
      <c r="D195" s="66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5"/>
      <c r="P195" s="38"/>
    </row>
    <row r="196" spans="1:16">
      <c r="A196" s="52">
        <v>93040</v>
      </c>
      <c r="B196" s="65"/>
      <c r="C196" s="65"/>
      <c r="D196" s="66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5"/>
      <c r="P196" s="38"/>
    </row>
    <row r="197" spans="1:16">
      <c r="A197" s="52">
        <v>93042</v>
      </c>
      <c r="B197" s="65"/>
      <c r="C197" s="65"/>
      <c r="D197" s="66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5"/>
      <c r="P197" s="38"/>
    </row>
    <row r="198" spans="1:16">
      <c r="A198" s="52">
        <v>93044</v>
      </c>
      <c r="B198" s="65"/>
      <c r="C198" s="65"/>
      <c r="D198" s="66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5"/>
      <c r="P198" s="38"/>
    </row>
    <row r="199" spans="1:16">
      <c r="A199" s="52">
        <v>93046</v>
      </c>
      <c r="B199" s="65"/>
      <c r="C199" s="65"/>
      <c r="D199" s="66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5"/>
      <c r="P199" s="38"/>
    </row>
    <row r="200" spans="1:16">
      <c r="A200" s="52">
        <v>93048</v>
      </c>
      <c r="B200" s="65"/>
      <c r="C200" s="65"/>
      <c r="D200" s="66"/>
      <c r="E200" s="66"/>
      <c r="F200" s="66"/>
      <c r="G200" s="66"/>
      <c r="H200" s="66"/>
      <c r="I200" s="66"/>
      <c r="J200" s="66"/>
      <c r="K200" s="66"/>
      <c r="L200" s="66"/>
      <c r="M200" s="67"/>
      <c r="N200" s="68"/>
      <c r="O200" s="65"/>
      <c r="P200" s="37"/>
    </row>
    <row r="201" spans="1:16">
      <c r="A201" s="52">
        <v>93050</v>
      </c>
      <c r="B201" s="65"/>
      <c r="C201" s="65"/>
      <c r="D201" s="40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5"/>
      <c r="P201" s="38"/>
    </row>
    <row r="202" spans="1:16">
      <c r="A202" s="52">
        <v>93052</v>
      </c>
      <c r="B202" s="65"/>
      <c r="C202" s="65"/>
      <c r="D202" s="66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5"/>
      <c r="P202" s="38"/>
    </row>
    <row r="203" spans="1:16">
      <c r="A203" s="52">
        <v>93054</v>
      </c>
      <c r="B203" s="65"/>
      <c r="C203" s="65"/>
      <c r="D203" s="66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5"/>
      <c r="P203" s="38"/>
    </row>
    <row r="204" spans="1:16">
      <c r="A204" s="52">
        <v>93056</v>
      </c>
      <c r="B204" s="65"/>
      <c r="C204" s="65"/>
      <c r="D204" s="66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5"/>
      <c r="P204" s="38"/>
    </row>
    <row r="205" spans="1:16">
      <c r="A205" s="52">
        <v>93058</v>
      </c>
      <c r="B205" s="65"/>
      <c r="C205" s="65"/>
      <c r="D205" s="66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5"/>
      <c r="P205" s="38"/>
    </row>
    <row r="206" spans="1:16">
      <c r="A206" s="52">
        <v>93060</v>
      </c>
      <c r="B206" s="65"/>
      <c r="C206" s="65"/>
      <c r="D206" s="66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5"/>
      <c r="P206" s="38"/>
    </row>
    <row r="207" spans="1:16">
      <c r="A207" s="52">
        <v>93062</v>
      </c>
      <c r="B207" s="65"/>
      <c r="C207" s="65"/>
      <c r="D207" s="66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5"/>
      <c r="P207" s="38"/>
    </row>
    <row r="208" spans="1:16">
      <c r="A208" s="52">
        <v>93064</v>
      </c>
      <c r="B208" s="65"/>
      <c r="C208" s="65"/>
      <c r="D208" s="66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5"/>
      <c r="P208" s="38"/>
    </row>
    <row r="209" spans="1:16">
      <c r="A209" s="52">
        <v>93066</v>
      </c>
      <c r="B209" s="65"/>
      <c r="C209" s="65"/>
      <c r="D209" s="66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5"/>
      <c r="P209" s="38"/>
    </row>
    <row r="210" spans="1:16">
      <c r="A210" s="52">
        <v>93068</v>
      </c>
      <c r="B210" s="65"/>
      <c r="C210" s="65"/>
      <c r="D210" s="66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5"/>
      <c r="P210" s="38"/>
    </row>
    <row r="211" spans="1:16">
      <c r="A211" s="52">
        <v>93070</v>
      </c>
      <c r="B211" s="65"/>
      <c r="C211" s="65"/>
      <c r="D211" s="66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5"/>
      <c r="P211" s="38"/>
    </row>
    <row r="212" spans="1:16">
      <c r="A212" s="52">
        <v>93072</v>
      </c>
      <c r="B212" s="65"/>
      <c r="C212" s="65"/>
      <c r="D212" s="66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5"/>
      <c r="P212" s="38"/>
    </row>
    <row r="213" spans="1:16">
      <c r="A213" s="52">
        <v>93074</v>
      </c>
      <c r="B213" s="65"/>
      <c r="C213" s="65"/>
      <c r="D213" s="66"/>
      <c r="E213" s="66"/>
      <c r="F213" s="66"/>
      <c r="G213" s="66"/>
      <c r="H213" s="66"/>
      <c r="I213" s="66"/>
      <c r="J213" s="66"/>
      <c r="K213" s="66"/>
      <c r="L213" s="66"/>
      <c r="M213" s="67"/>
      <c r="N213" s="68"/>
      <c r="O213" s="65"/>
      <c r="P213" s="38"/>
    </row>
    <row r="214" spans="1:16">
      <c r="A214" s="52">
        <v>93076</v>
      </c>
      <c r="B214" s="65"/>
      <c r="C214" s="65"/>
      <c r="D214" s="66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5"/>
      <c r="P214" s="38"/>
    </row>
    <row r="215" spans="1:16">
      <c r="A215" s="52">
        <v>93078</v>
      </c>
      <c r="B215" s="65"/>
      <c r="C215" s="65"/>
      <c r="D215" s="66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5"/>
      <c r="P215" s="38"/>
    </row>
    <row r="216" spans="1:16">
      <c r="A216" s="52">
        <v>93080</v>
      </c>
      <c r="B216" s="65"/>
      <c r="C216" s="65"/>
      <c r="D216" s="66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5"/>
      <c r="P216" s="38"/>
    </row>
    <row r="217" spans="1:16">
      <c r="A217" s="52">
        <v>93082</v>
      </c>
      <c r="B217" s="65"/>
      <c r="C217" s="65"/>
      <c r="D217" s="66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5"/>
      <c r="P217" s="38"/>
    </row>
    <row r="218" spans="1:16">
      <c r="A218" s="52">
        <v>93084</v>
      </c>
      <c r="B218" s="65"/>
      <c r="C218" s="65"/>
      <c r="D218" s="66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5"/>
      <c r="P218" s="38"/>
    </row>
    <row r="219" spans="1:16">
      <c r="A219" s="52">
        <v>93086</v>
      </c>
      <c r="B219" s="65"/>
      <c r="C219" s="65"/>
      <c r="D219" s="66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5"/>
      <c r="P219" s="38"/>
    </row>
    <row r="220" spans="1:16">
      <c r="A220" s="52">
        <v>93088</v>
      </c>
      <c r="B220" s="65"/>
      <c r="C220" s="65"/>
      <c r="D220" s="66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5"/>
      <c r="P220" s="38"/>
    </row>
    <row r="221" spans="1:16">
      <c r="A221" s="52">
        <v>93090</v>
      </c>
      <c r="B221" s="65"/>
      <c r="C221" s="65"/>
      <c r="D221" s="66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5"/>
      <c r="P221" s="38"/>
    </row>
    <row r="222" spans="1:16">
      <c r="A222" s="52">
        <v>93092</v>
      </c>
      <c r="B222" s="65"/>
      <c r="C222" s="65"/>
      <c r="D222" s="66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5"/>
      <c r="P222" s="38"/>
    </row>
    <row r="223" spans="1:16">
      <c r="A223" s="52">
        <v>93094</v>
      </c>
      <c r="B223" s="65"/>
      <c r="C223" s="65"/>
      <c r="D223" s="66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5"/>
      <c r="P223" s="38"/>
    </row>
    <row r="224" spans="1:16">
      <c r="A224" s="52">
        <v>93096</v>
      </c>
      <c r="B224" s="65"/>
      <c r="C224" s="65"/>
      <c r="D224" s="66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5"/>
      <c r="P224" s="38"/>
    </row>
    <row r="225" spans="1:16">
      <c r="A225" s="52">
        <v>93098</v>
      </c>
      <c r="B225" s="65"/>
      <c r="C225" s="65"/>
      <c r="D225" s="66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5"/>
      <c r="P225" s="38"/>
    </row>
    <row r="226" spans="1:16">
      <c r="A226" s="57">
        <v>93100</v>
      </c>
      <c r="B226" s="65"/>
      <c r="C226" s="65"/>
      <c r="D226" s="66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5"/>
      <c r="P226" s="38"/>
    </row>
    <row r="227" spans="1:16">
      <c r="A227" s="52">
        <v>93102</v>
      </c>
      <c r="B227" s="65"/>
      <c r="C227" s="65"/>
      <c r="D227" s="66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5"/>
      <c r="P227" s="38"/>
    </row>
    <row r="228" spans="1:16">
      <c r="A228" s="52">
        <v>93104</v>
      </c>
      <c r="B228" s="65"/>
      <c r="C228" s="65"/>
      <c r="D228" s="66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5"/>
      <c r="P228" s="38"/>
    </row>
    <row r="229" spans="1:16">
      <c r="A229" s="52">
        <v>93106</v>
      </c>
      <c r="B229" s="65"/>
      <c r="C229" s="65"/>
      <c r="D229" s="66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5"/>
      <c r="P229" s="38"/>
    </row>
    <row r="230" spans="1:16">
      <c r="A230" s="52">
        <v>93108</v>
      </c>
      <c r="B230" s="65"/>
      <c r="C230" s="65"/>
      <c r="D230" s="66"/>
      <c r="E230" s="66"/>
      <c r="F230" s="66"/>
      <c r="G230" s="66"/>
      <c r="H230" s="66"/>
      <c r="I230" s="66"/>
      <c r="J230" s="66"/>
      <c r="K230" s="66"/>
      <c r="L230" s="66"/>
      <c r="M230" s="67"/>
      <c r="N230" s="68"/>
      <c r="O230" s="65"/>
      <c r="P230" s="37"/>
    </row>
    <row r="231" spans="1:16">
      <c r="A231" s="52">
        <v>93110</v>
      </c>
      <c r="B231" s="65"/>
      <c r="C231" s="65"/>
      <c r="D231" s="66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5"/>
      <c r="P231" s="38"/>
    </row>
    <row r="232" spans="1:16">
      <c r="A232" s="52">
        <v>93112</v>
      </c>
      <c r="B232" s="65"/>
      <c r="C232" s="65"/>
      <c r="D232" s="66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5"/>
      <c r="P232" s="38"/>
    </row>
    <row r="233" spans="1:16">
      <c r="A233" s="52">
        <v>93114</v>
      </c>
      <c r="B233" s="65"/>
      <c r="C233" s="65"/>
      <c r="D233" s="66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5"/>
      <c r="P233" s="38"/>
    </row>
    <row r="234" spans="1:16">
      <c r="A234" s="52">
        <v>93116</v>
      </c>
      <c r="B234" s="65"/>
      <c r="C234" s="65"/>
      <c r="D234" s="66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5"/>
      <c r="P234" s="38"/>
    </row>
    <row r="235" spans="1:16">
      <c r="A235" s="52">
        <v>93118</v>
      </c>
      <c r="B235" s="65"/>
      <c r="C235" s="65"/>
      <c r="D235" s="66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5"/>
      <c r="P235" s="38"/>
    </row>
    <row r="236" spans="1:16">
      <c r="A236" s="52">
        <v>93120</v>
      </c>
      <c r="B236" s="65"/>
      <c r="C236" s="65"/>
      <c r="D236" s="66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5"/>
      <c r="P236" s="38"/>
    </row>
    <row r="237" spans="1:16">
      <c r="A237" s="52">
        <v>93122</v>
      </c>
      <c r="B237" s="65"/>
      <c r="C237" s="65"/>
      <c r="D237" s="66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5"/>
      <c r="P237" s="38"/>
    </row>
    <row r="238" spans="1:16">
      <c r="A238" s="52">
        <v>93124</v>
      </c>
      <c r="B238" s="65"/>
      <c r="C238" s="65"/>
      <c r="D238" s="66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5"/>
      <c r="P238" s="38"/>
    </row>
    <row r="239" spans="1:16">
      <c r="A239" s="52">
        <v>93126</v>
      </c>
      <c r="B239" s="65"/>
      <c r="C239" s="65"/>
      <c r="D239" s="66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5"/>
      <c r="P239" s="38"/>
    </row>
    <row r="240" spans="1:16">
      <c r="A240" s="52">
        <v>93128</v>
      </c>
      <c r="B240" s="65"/>
      <c r="C240" s="65"/>
      <c r="D240" s="66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5"/>
      <c r="P240" s="38"/>
    </row>
    <row r="241" spans="1:16">
      <c r="A241" s="52">
        <v>93130</v>
      </c>
      <c r="B241" s="65"/>
      <c r="C241" s="65"/>
      <c r="D241" s="66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5"/>
      <c r="P241" s="38"/>
    </row>
    <row r="242" spans="1:16">
      <c r="A242" s="52">
        <v>93132</v>
      </c>
      <c r="B242" s="65"/>
      <c r="C242" s="65"/>
      <c r="D242" s="66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5"/>
      <c r="P242" s="38"/>
    </row>
    <row r="243" spans="1:16">
      <c r="A243" s="52">
        <v>93134</v>
      </c>
      <c r="B243" s="65"/>
      <c r="C243" s="65"/>
      <c r="D243" s="66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5"/>
      <c r="P243" s="38"/>
    </row>
    <row r="244" spans="1:16">
      <c r="A244" s="52">
        <v>93136</v>
      </c>
      <c r="B244" s="65"/>
      <c r="C244" s="65"/>
      <c r="D244" s="66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5"/>
      <c r="P244" s="38"/>
    </row>
    <row r="245" spans="1:16">
      <c r="A245" s="52">
        <v>93138</v>
      </c>
      <c r="B245" s="65"/>
      <c r="C245" s="65"/>
      <c r="D245" s="66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5"/>
      <c r="P245" s="38"/>
    </row>
    <row r="246" spans="1:16">
      <c r="A246" s="52">
        <v>93140</v>
      </c>
      <c r="B246" s="65"/>
      <c r="C246" s="65"/>
      <c r="D246" s="66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5"/>
      <c r="P246" s="38"/>
    </row>
    <row r="247" spans="1:16">
      <c r="A247" s="52">
        <v>93142</v>
      </c>
      <c r="B247" s="65"/>
      <c r="C247" s="65"/>
      <c r="D247" s="66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5"/>
      <c r="P247" s="38"/>
    </row>
    <row r="248" spans="1:16">
      <c r="A248" s="52">
        <v>93144</v>
      </c>
      <c r="B248" s="65"/>
      <c r="C248" s="65"/>
      <c r="D248" s="66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5"/>
      <c r="P248" s="38"/>
    </row>
    <row r="249" spans="1:16">
      <c r="A249" s="52">
        <v>93146</v>
      </c>
      <c r="B249" s="65"/>
      <c r="C249" s="65"/>
      <c r="D249" s="66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5"/>
      <c r="P249" s="38"/>
    </row>
    <row r="250" spans="1:16">
      <c r="A250" s="52">
        <v>93148</v>
      </c>
      <c r="B250" s="65"/>
      <c r="C250" s="65"/>
      <c r="D250" s="66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5"/>
      <c r="P250" s="38"/>
    </row>
    <row r="251" spans="1:16">
      <c r="A251" s="52">
        <v>93150</v>
      </c>
      <c r="B251" s="65"/>
      <c r="C251" s="65"/>
      <c r="D251" s="66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5"/>
      <c r="P251" s="38"/>
    </row>
    <row r="252" spans="1:16">
      <c r="A252" s="52">
        <v>93152</v>
      </c>
      <c r="B252" s="65"/>
      <c r="C252" s="65"/>
      <c r="D252" s="66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5"/>
      <c r="P252" s="38"/>
    </row>
    <row r="253" spans="1:16">
      <c r="A253" s="52">
        <v>93154</v>
      </c>
      <c r="B253" s="65"/>
      <c r="C253" s="65"/>
      <c r="D253" s="66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5"/>
      <c r="P253" s="38"/>
    </row>
    <row r="254" spans="1:16">
      <c r="A254" s="52">
        <v>93156</v>
      </c>
      <c r="B254" s="65"/>
      <c r="C254" s="65"/>
      <c r="D254" s="66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5"/>
      <c r="P254" s="38"/>
    </row>
    <row r="255" spans="1:16">
      <c r="A255" s="52">
        <v>93158</v>
      </c>
      <c r="B255" s="65"/>
      <c r="C255" s="65"/>
      <c r="D255" s="66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5"/>
      <c r="P255" s="38"/>
    </row>
    <row r="256" spans="1:16">
      <c r="A256" s="52">
        <v>93160</v>
      </c>
      <c r="B256" s="65"/>
      <c r="C256" s="65"/>
      <c r="D256" s="66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5"/>
      <c r="P256" s="38"/>
    </row>
    <row r="257" spans="1:16">
      <c r="A257" s="52">
        <v>93162</v>
      </c>
      <c r="B257" s="65"/>
      <c r="C257" s="65"/>
      <c r="D257" s="66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5"/>
      <c r="P257" s="38"/>
    </row>
    <row r="258" spans="1:16">
      <c r="A258" s="52">
        <v>93164</v>
      </c>
      <c r="B258" s="65"/>
      <c r="C258" s="65"/>
      <c r="D258" s="66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5"/>
      <c r="P258" s="38"/>
    </row>
    <row r="259" spans="1:16">
      <c r="A259" s="52">
        <v>93166</v>
      </c>
      <c r="B259" s="65"/>
      <c r="C259" s="65"/>
      <c r="D259" s="66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5"/>
      <c r="P259" s="38"/>
    </row>
    <row r="260" spans="1:16">
      <c r="A260" s="52">
        <v>93168</v>
      </c>
      <c r="B260" s="65"/>
      <c r="C260" s="65"/>
      <c r="D260" s="66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5"/>
      <c r="P260" s="38"/>
    </row>
    <row r="261" spans="1:16">
      <c r="A261" s="52">
        <v>93170</v>
      </c>
      <c r="B261" s="65"/>
      <c r="C261" s="65"/>
      <c r="D261" s="66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5"/>
      <c r="P261" s="38"/>
    </row>
    <row r="262" spans="1:16">
      <c r="A262" s="52">
        <v>93172</v>
      </c>
      <c r="B262" s="65"/>
      <c r="C262" s="65"/>
      <c r="D262" s="66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5"/>
      <c r="P262" s="38"/>
    </row>
    <row r="263" spans="1:16">
      <c r="A263" s="52">
        <v>93174</v>
      </c>
      <c r="B263" s="65"/>
      <c r="C263" s="65"/>
      <c r="D263" s="66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5"/>
      <c r="P263" s="38"/>
    </row>
    <row r="264" spans="1:16">
      <c r="A264" s="52">
        <v>93176</v>
      </c>
      <c r="B264" s="65"/>
      <c r="C264" s="65"/>
      <c r="D264" s="66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5"/>
      <c r="P264" s="38"/>
    </row>
    <row r="265" spans="1:16">
      <c r="A265" s="52">
        <v>93178</v>
      </c>
      <c r="B265" s="65">
        <v>45819</v>
      </c>
      <c r="C265" s="65"/>
      <c r="D265" s="66">
        <v>1</v>
      </c>
      <c r="E265" s="67">
        <v>40</v>
      </c>
      <c r="F265" s="67">
        <v>40</v>
      </c>
      <c r="G265" s="67">
        <v>0</v>
      </c>
      <c r="H265" s="67">
        <v>0</v>
      </c>
      <c r="I265" s="67"/>
      <c r="J265" s="67"/>
      <c r="K265" s="67"/>
      <c r="L265" s="67"/>
      <c r="M265" s="67" t="s">
        <v>17</v>
      </c>
      <c r="N265" s="67" t="s">
        <v>20</v>
      </c>
      <c r="O265" s="65">
        <v>45819</v>
      </c>
      <c r="P265" s="38"/>
    </row>
    <row r="266" spans="1:16">
      <c r="A266" s="52">
        <v>93180</v>
      </c>
      <c r="B266" s="65"/>
      <c r="C266" s="65"/>
      <c r="D266" s="66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5"/>
      <c r="P266" s="38"/>
    </row>
    <row r="267" spans="1:16">
      <c r="A267" s="52">
        <v>93182</v>
      </c>
      <c r="B267" s="65"/>
      <c r="C267" s="65"/>
      <c r="D267" s="66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5"/>
      <c r="P267" s="38"/>
    </row>
    <row r="268" spans="1:16">
      <c r="A268" s="52">
        <v>93184</v>
      </c>
      <c r="B268" s="65"/>
      <c r="C268" s="65"/>
      <c r="D268" s="66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5"/>
      <c r="P268" s="38"/>
    </row>
    <row r="269" spans="1:16">
      <c r="A269" s="52">
        <v>93186</v>
      </c>
      <c r="B269" s="65"/>
      <c r="C269" s="65"/>
      <c r="D269" s="66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5"/>
      <c r="P269" s="38"/>
    </row>
    <row r="270" spans="1:16">
      <c r="A270" s="52">
        <v>93188</v>
      </c>
      <c r="B270" s="65"/>
      <c r="C270" s="65"/>
      <c r="D270" s="66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5"/>
      <c r="P270" s="38"/>
    </row>
    <row r="271" spans="1:16">
      <c r="A271" s="52">
        <v>93190</v>
      </c>
      <c r="B271" s="65"/>
      <c r="C271" s="65"/>
      <c r="D271" s="66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5"/>
      <c r="P271" s="38"/>
    </row>
    <row r="272" spans="1:16">
      <c r="A272" s="52">
        <v>93192</v>
      </c>
      <c r="B272" s="65"/>
      <c r="C272" s="65"/>
      <c r="D272" s="66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5"/>
      <c r="P272" s="38"/>
    </row>
    <row r="273" spans="1:16">
      <c r="A273" s="52">
        <v>93194</v>
      </c>
      <c r="B273" s="65"/>
      <c r="C273" s="65"/>
      <c r="D273" s="66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5"/>
      <c r="P273" s="38"/>
    </row>
    <row r="274" spans="1:16">
      <c r="A274" s="52">
        <v>93196</v>
      </c>
      <c r="B274" s="65">
        <v>45832</v>
      </c>
      <c r="C274" s="65"/>
      <c r="D274" s="66">
        <v>2</v>
      </c>
      <c r="E274" s="67">
        <v>30</v>
      </c>
      <c r="F274" s="67">
        <v>30</v>
      </c>
      <c r="G274" s="67">
        <v>0</v>
      </c>
      <c r="H274" s="67">
        <v>0</v>
      </c>
      <c r="I274" s="67"/>
      <c r="J274" s="67"/>
      <c r="K274" s="67"/>
      <c r="L274" s="67"/>
      <c r="M274" s="67" t="s">
        <v>17</v>
      </c>
      <c r="N274" s="67" t="s">
        <v>20</v>
      </c>
      <c r="O274" s="65">
        <v>45832</v>
      </c>
      <c r="P274" s="38"/>
    </row>
    <row r="275" spans="1:16">
      <c r="A275" s="52">
        <v>93198</v>
      </c>
      <c r="B275" s="65"/>
      <c r="C275" s="65"/>
      <c r="D275" s="66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5"/>
      <c r="P275" s="38"/>
    </row>
    <row r="276" spans="1:16">
      <c r="A276" s="52">
        <v>93200</v>
      </c>
      <c r="B276" s="65"/>
      <c r="C276" s="65"/>
      <c r="D276" s="66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5"/>
      <c r="P276" s="38"/>
    </row>
    <row r="277" spans="1:16">
      <c r="A277" s="52">
        <v>93202</v>
      </c>
      <c r="B277" s="65"/>
      <c r="C277" s="65"/>
      <c r="D277" s="66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5"/>
      <c r="P277" s="38"/>
    </row>
    <row r="278" spans="1:16">
      <c r="A278" s="52">
        <v>93204</v>
      </c>
      <c r="B278" s="65"/>
      <c r="C278" s="65"/>
      <c r="D278" s="66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5"/>
      <c r="P278" s="38"/>
    </row>
    <row r="279" spans="1:16">
      <c r="A279" s="52">
        <v>93206</v>
      </c>
      <c r="B279" s="65"/>
      <c r="C279" s="65"/>
      <c r="D279" s="66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5"/>
      <c r="P279" s="38"/>
    </row>
    <row r="280" spans="1:16">
      <c r="A280" s="52">
        <v>93208</v>
      </c>
      <c r="B280" s="65"/>
      <c r="C280" s="65"/>
      <c r="D280" s="66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5"/>
      <c r="P280" s="38"/>
    </row>
    <row r="281" spans="1:16">
      <c r="A281" s="52">
        <v>93210</v>
      </c>
      <c r="B281" s="65"/>
      <c r="C281" s="65"/>
      <c r="D281" s="66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5"/>
      <c r="P281" s="38"/>
    </row>
    <row r="282" spans="1:16">
      <c r="A282" s="52">
        <v>93212</v>
      </c>
      <c r="B282" s="65"/>
      <c r="C282" s="65"/>
      <c r="D282" s="66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5"/>
      <c r="P282" s="38"/>
    </row>
    <row r="283" spans="1:16">
      <c r="A283" s="52">
        <v>93214</v>
      </c>
      <c r="B283" s="65"/>
      <c r="C283" s="65"/>
      <c r="D283" s="66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5"/>
      <c r="P283" s="38"/>
    </row>
    <row r="284" spans="1:16">
      <c r="A284" s="52">
        <v>93216</v>
      </c>
      <c r="B284" s="65"/>
      <c r="C284" s="65"/>
      <c r="D284" s="66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5"/>
      <c r="P284" s="38"/>
    </row>
    <row r="285" spans="1:16">
      <c r="A285" s="52">
        <v>93218</v>
      </c>
      <c r="B285" s="65"/>
      <c r="C285" s="65"/>
      <c r="D285" s="66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5"/>
      <c r="P285" s="38"/>
    </row>
    <row r="286" spans="1:16">
      <c r="A286" s="52">
        <v>93220</v>
      </c>
      <c r="B286" s="65"/>
      <c r="C286" s="65"/>
      <c r="D286" s="66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5"/>
      <c r="P286" s="38"/>
    </row>
    <row r="287" spans="1:16">
      <c r="A287" s="52">
        <v>93222</v>
      </c>
      <c r="B287" s="65"/>
      <c r="C287" s="65"/>
      <c r="D287" s="66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5"/>
      <c r="P287" s="38"/>
    </row>
    <row r="288" spans="1:16">
      <c r="A288" s="52">
        <v>93224</v>
      </c>
      <c r="B288" s="65"/>
      <c r="C288" s="65"/>
      <c r="D288" s="66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5"/>
      <c r="P288" s="38"/>
    </row>
    <row r="289" spans="1:16">
      <c r="A289" s="52">
        <v>93226</v>
      </c>
      <c r="B289" s="65"/>
      <c r="C289" s="65"/>
      <c r="D289" s="66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5"/>
      <c r="P289" s="38"/>
    </row>
    <row r="290" spans="1:16">
      <c r="A290" s="52">
        <v>93228</v>
      </c>
      <c r="B290" s="65"/>
      <c r="C290" s="65"/>
      <c r="D290" s="66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5"/>
      <c r="P290" s="38"/>
    </row>
    <row r="291" spans="1:16">
      <c r="A291" s="52">
        <v>93230</v>
      </c>
      <c r="B291" s="65"/>
      <c r="C291" s="65"/>
      <c r="D291" s="66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5"/>
      <c r="P291" s="38"/>
    </row>
    <row r="292" spans="1:16">
      <c r="A292" s="52">
        <v>93232</v>
      </c>
      <c r="B292" s="65"/>
      <c r="C292" s="65"/>
      <c r="D292" s="66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5"/>
      <c r="P292" s="38"/>
    </row>
    <row r="293" spans="1:16">
      <c r="A293" s="52">
        <v>93234</v>
      </c>
      <c r="B293" s="65"/>
      <c r="C293" s="65"/>
      <c r="D293" s="66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5"/>
      <c r="P293" s="38"/>
    </row>
    <row r="294" spans="1:16">
      <c r="A294" s="52">
        <v>93236</v>
      </c>
      <c r="B294" s="65"/>
      <c r="C294" s="65"/>
      <c r="D294" s="66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5"/>
      <c r="P294" s="38"/>
    </row>
    <row r="295" spans="1:16">
      <c r="A295" s="52">
        <v>93238</v>
      </c>
      <c r="B295" s="65"/>
      <c r="C295" s="65"/>
      <c r="D295" s="66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5"/>
      <c r="P295" s="38"/>
    </row>
    <row r="296" spans="1:16">
      <c r="A296" s="52">
        <v>93240</v>
      </c>
      <c r="B296" s="65"/>
      <c r="C296" s="65"/>
      <c r="D296" s="66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5"/>
      <c r="P296" s="38"/>
    </row>
    <row r="297" spans="1:16">
      <c r="A297" s="52">
        <v>93242</v>
      </c>
      <c r="B297" s="65"/>
      <c r="C297" s="65"/>
      <c r="D297" s="66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5"/>
      <c r="P297" s="38"/>
    </row>
    <row r="298" spans="1:16">
      <c r="A298" s="52">
        <v>93244</v>
      </c>
      <c r="B298" s="65"/>
      <c r="C298" s="65"/>
      <c r="D298" s="66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5"/>
      <c r="P298" s="38"/>
    </row>
    <row r="299" spans="1:16">
      <c r="A299" s="52">
        <v>93246</v>
      </c>
      <c r="B299" s="65"/>
      <c r="C299" s="65"/>
      <c r="D299" s="66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5"/>
      <c r="P299" s="38"/>
    </row>
    <row r="300" spans="1:16">
      <c r="A300" s="52">
        <v>93248</v>
      </c>
      <c r="B300" s="65"/>
      <c r="C300" s="65"/>
      <c r="D300" s="66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5"/>
      <c r="P300" s="38"/>
    </row>
    <row r="301" spans="1:16">
      <c r="A301" s="52">
        <v>93250</v>
      </c>
      <c r="B301" s="65"/>
      <c r="C301" s="65"/>
      <c r="D301" s="66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5"/>
      <c r="P301" s="38"/>
    </row>
    <row r="302" spans="1:16">
      <c r="A302" s="52">
        <v>93252</v>
      </c>
      <c r="B302" s="65"/>
      <c r="C302" s="65"/>
      <c r="D302" s="66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5"/>
      <c r="P302" s="38"/>
    </row>
    <row r="303" spans="1:16">
      <c r="A303" s="52">
        <v>93254</v>
      </c>
      <c r="B303" s="65"/>
      <c r="C303" s="65"/>
      <c r="D303" s="66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5"/>
      <c r="P303" s="38"/>
    </row>
    <row r="304" spans="1:16">
      <c r="A304" s="52">
        <v>93256</v>
      </c>
      <c r="B304" s="65"/>
      <c r="C304" s="65"/>
      <c r="D304" s="66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5"/>
      <c r="P304" s="38"/>
    </row>
    <row r="305" spans="1:16">
      <c r="A305" s="52">
        <v>93258</v>
      </c>
      <c r="B305" s="65"/>
      <c r="C305" s="65"/>
      <c r="D305" s="66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5"/>
      <c r="P305" s="38"/>
    </row>
    <row r="306" spans="1:16">
      <c r="A306" s="52">
        <v>93260</v>
      </c>
      <c r="B306" s="65"/>
      <c r="C306" s="65"/>
      <c r="D306" s="66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5"/>
      <c r="P306" s="38"/>
    </row>
    <row r="307" spans="1:16">
      <c r="A307" s="52">
        <v>93262</v>
      </c>
      <c r="B307" s="65"/>
      <c r="C307" s="65"/>
      <c r="D307" s="66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5"/>
      <c r="P307" s="38"/>
    </row>
    <row r="308" spans="1:16">
      <c r="A308" s="52">
        <v>93264</v>
      </c>
      <c r="B308" s="65"/>
      <c r="C308" s="65"/>
      <c r="D308" s="66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5"/>
      <c r="P308" s="38"/>
    </row>
    <row r="309" spans="1:16">
      <c r="A309" s="52">
        <v>93266</v>
      </c>
      <c r="B309" s="65"/>
      <c r="C309" s="65"/>
      <c r="D309" s="66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5"/>
      <c r="P309" s="38"/>
    </row>
    <row r="310" spans="1:16">
      <c r="A310" s="52">
        <v>93402</v>
      </c>
      <c r="B310" s="65"/>
      <c r="C310" s="65"/>
      <c r="D310" s="66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5"/>
      <c r="P310" s="38"/>
    </row>
    <row r="311" spans="1:16">
      <c r="A311" s="52">
        <v>93404</v>
      </c>
      <c r="B311" s="65"/>
      <c r="C311" s="65"/>
      <c r="D311" s="66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5"/>
      <c r="P311" s="38"/>
    </row>
    <row r="312" spans="1:16">
      <c r="A312" s="52">
        <v>93406</v>
      </c>
      <c r="B312" s="65"/>
      <c r="C312" s="65"/>
      <c r="D312" s="66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5"/>
      <c r="P312" s="38"/>
    </row>
    <row r="313" spans="1:16">
      <c r="A313" s="52">
        <v>93408</v>
      </c>
      <c r="B313" s="65"/>
      <c r="C313" s="65"/>
      <c r="D313" s="66"/>
      <c r="E313" s="66"/>
      <c r="F313" s="66"/>
      <c r="G313" s="66"/>
      <c r="H313" s="66"/>
      <c r="I313" s="66"/>
      <c r="J313" s="66"/>
      <c r="K313" s="66"/>
      <c r="L313" s="66"/>
      <c r="M313" s="67"/>
      <c r="N313" s="68"/>
      <c r="O313" s="65"/>
      <c r="P313" s="37"/>
    </row>
    <row r="314" spans="1:16">
      <c r="A314" s="52">
        <v>93410</v>
      </c>
      <c r="B314" s="65"/>
      <c r="C314" s="65"/>
      <c r="D314" s="66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5"/>
      <c r="P314" s="38"/>
    </row>
    <row r="315" spans="1:16">
      <c r="A315" s="52">
        <v>93412</v>
      </c>
      <c r="B315" s="65"/>
      <c r="C315" s="65"/>
      <c r="D315" s="66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5"/>
      <c r="P315" s="38"/>
    </row>
    <row r="316" spans="1:16">
      <c r="A316" s="52">
        <v>93414</v>
      </c>
      <c r="B316" s="65"/>
      <c r="C316" s="65"/>
      <c r="D316" s="66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5"/>
      <c r="P316" s="38"/>
    </row>
    <row r="317" spans="1:16">
      <c r="A317" s="52">
        <v>93416</v>
      </c>
      <c r="B317" s="65"/>
      <c r="C317" s="65"/>
      <c r="D317" s="66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5"/>
      <c r="P317" s="38"/>
    </row>
    <row r="318" spans="1:16">
      <c r="A318" s="52">
        <v>93418</v>
      </c>
      <c r="B318" s="65"/>
      <c r="C318" s="65"/>
      <c r="D318" s="66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5"/>
      <c r="P318" s="38"/>
    </row>
    <row r="319" spans="1:16">
      <c r="A319" s="52">
        <v>93420</v>
      </c>
      <c r="B319" s="65"/>
      <c r="C319" s="65"/>
      <c r="D319" s="66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5"/>
      <c r="P319" s="38"/>
    </row>
    <row r="320" spans="1:16">
      <c r="A320" s="52">
        <v>93422</v>
      </c>
      <c r="B320" s="65"/>
      <c r="C320" s="65"/>
      <c r="D320" s="66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5"/>
      <c r="P320" s="38"/>
    </row>
    <row r="321" spans="1:16">
      <c r="A321" s="52">
        <v>93424</v>
      </c>
      <c r="B321" s="65"/>
      <c r="C321" s="65"/>
      <c r="D321" s="66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5"/>
      <c r="P321" s="38"/>
    </row>
    <row r="322" spans="1:16">
      <c r="A322" s="52">
        <v>93426</v>
      </c>
      <c r="B322" s="65"/>
      <c r="C322" s="65"/>
      <c r="D322" s="66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5"/>
      <c r="P322" s="38"/>
    </row>
    <row r="323" spans="1:16">
      <c r="A323" s="52">
        <v>93428</v>
      </c>
      <c r="B323" s="65">
        <v>45823</v>
      </c>
      <c r="C323" s="65"/>
      <c r="D323" s="66">
        <v>2</v>
      </c>
      <c r="E323" s="67">
        <v>150</v>
      </c>
      <c r="F323" s="67">
        <v>150</v>
      </c>
      <c r="G323" s="67">
        <v>0</v>
      </c>
      <c r="H323" s="67">
        <v>0</v>
      </c>
      <c r="I323" s="67"/>
      <c r="J323" s="67"/>
      <c r="K323" s="67"/>
      <c r="L323" s="67"/>
      <c r="M323" s="67" t="s">
        <v>17</v>
      </c>
      <c r="N323" s="67" t="s">
        <v>20</v>
      </c>
      <c r="O323" s="65">
        <v>45823</v>
      </c>
      <c r="P323" s="38"/>
    </row>
    <row r="324" spans="1:16">
      <c r="A324" s="52">
        <v>93430</v>
      </c>
      <c r="B324" s="65"/>
      <c r="C324" s="65"/>
      <c r="D324" s="66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5"/>
      <c r="P324" s="38"/>
    </row>
    <row r="325" spans="1:16">
      <c r="A325" s="52">
        <v>93432</v>
      </c>
      <c r="B325" s="65"/>
      <c r="C325" s="65"/>
      <c r="D325" s="66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5"/>
      <c r="P325" s="38"/>
    </row>
    <row r="326" spans="1:16">
      <c r="A326" s="52">
        <v>93434</v>
      </c>
      <c r="B326" s="65"/>
      <c r="C326" s="65"/>
      <c r="D326" s="66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5"/>
      <c r="P326" s="38"/>
    </row>
    <row r="327" spans="1:16">
      <c r="A327" s="52">
        <v>93436</v>
      </c>
      <c r="B327" s="65">
        <v>45854</v>
      </c>
      <c r="C327" s="65"/>
      <c r="D327" s="66">
        <v>2</v>
      </c>
      <c r="E327" s="67">
        <v>170</v>
      </c>
      <c r="F327" s="67">
        <v>170</v>
      </c>
      <c r="G327" s="67">
        <v>0</v>
      </c>
      <c r="H327" s="67">
        <v>0</v>
      </c>
      <c r="I327" s="67"/>
      <c r="J327" s="67"/>
      <c r="K327" s="67"/>
      <c r="L327" s="67"/>
      <c r="M327" s="67" t="s">
        <v>17</v>
      </c>
      <c r="N327" s="67" t="s">
        <v>20</v>
      </c>
      <c r="O327" s="65">
        <v>45854</v>
      </c>
      <c r="P327" s="38"/>
    </row>
    <row r="328" spans="1:16">
      <c r="A328" s="52">
        <v>93438</v>
      </c>
      <c r="B328" s="65"/>
      <c r="C328" s="65"/>
      <c r="D328" s="66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5"/>
      <c r="P328" s="38"/>
    </row>
    <row r="329" spans="1:16">
      <c r="A329" s="52">
        <v>93440</v>
      </c>
      <c r="B329" s="65"/>
      <c r="C329" s="65"/>
      <c r="D329" s="66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5"/>
      <c r="P329" s="38"/>
    </row>
    <row r="330" spans="1:16">
      <c r="A330" s="52">
        <v>93442</v>
      </c>
      <c r="B330" s="65"/>
      <c r="C330" s="65"/>
      <c r="D330" s="66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5"/>
      <c r="P330" s="38"/>
    </row>
    <row r="331" spans="1:16">
      <c r="A331" s="52">
        <v>93444</v>
      </c>
      <c r="B331" s="65"/>
      <c r="C331" s="65"/>
      <c r="D331" s="66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5"/>
      <c r="P331" s="38"/>
    </row>
    <row r="332" spans="1:16">
      <c r="A332" s="52">
        <v>93446</v>
      </c>
      <c r="B332" s="65"/>
      <c r="C332" s="65"/>
      <c r="D332" s="66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5"/>
      <c r="P332" s="38"/>
    </row>
    <row r="333" spans="1:16">
      <c r="A333" s="52">
        <v>93448</v>
      </c>
      <c r="B333" s="65"/>
      <c r="C333" s="65"/>
      <c r="D333" s="66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5"/>
      <c r="P333" s="38"/>
    </row>
    <row r="334" spans="1:16">
      <c r="A334" s="52">
        <v>93450</v>
      </c>
      <c r="B334" s="65"/>
      <c r="C334" s="65"/>
      <c r="D334" s="66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5"/>
      <c r="P334" s="38"/>
    </row>
    <row r="335" spans="1:16">
      <c r="A335" s="52">
        <v>93452</v>
      </c>
      <c r="B335" s="65"/>
      <c r="C335" s="65"/>
      <c r="D335" s="66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5"/>
      <c r="P335" s="38"/>
    </row>
    <row r="336" spans="1:16">
      <c r="A336" s="52">
        <v>93454</v>
      </c>
      <c r="B336" s="65"/>
      <c r="C336" s="65"/>
      <c r="D336" s="66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5"/>
      <c r="P336" s="38"/>
    </row>
    <row r="337" spans="1:16">
      <c r="A337" s="52">
        <v>93456</v>
      </c>
      <c r="B337" s="65"/>
      <c r="C337" s="65"/>
      <c r="D337" s="66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5"/>
      <c r="P337" s="38"/>
    </row>
    <row r="338" spans="1:16">
      <c r="A338" s="52">
        <v>93458</v>
      </c>
      <c r="B338" s="65"/>
      <c r="C338" s="65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5"/>
      <c r="P338" s="38"/>
    </row>
    <row r="339" spans="1:16">
      <c r="A339" s="52">
        <v>93460</v>
      </c>
      <c r="B339" s="65"/>
      <c r="C339" s="65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5"/>
      <c r="P339" s="38"/>
    </row>
    <row r="340" spans="1:16">
      <c r="A340" s="52">
        <v>93462</v>
      </c>
      <c r="B340" s="65"/>
      <c r="C340" s="65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5"/>
      <c r="P340" s="38"/>
    </row>
    <row r="341" spans="1:16">
      <c r="A341" s="52">
        <v>93464</v>
      </c>
      <c r="B341" s="65"/>
      <c r="C341" s="65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5"/>
      <c r="P341" s="38"/>
    </row>
  </sheetData>
  <mergeCells count="1">
    <mergeCell ref="R2:U2"/>
  </mergeCells>
  <conditionalFormatting sqref="A2:A71">
    <cfRule type="expression" dxfId="153" priority="10" stopIfTrue="1">
      <formula>#REF!=1</formula>
    </cfRule>
    <cfRule type="expression" dxfId="152" priority="11" stopIfTrue="1">
      <formula>#REF!=2</formula>
    </cfRule>
  </conditionalFormatting>
  <conditionalFormatting sqref="A2:A169">
    <cfRule type="expression" dxfId="151" priority="7" stopIfTrue="1">
      <formula>#REF!="w"</formula>
    </cfRule>
  </conditionalFormatting>
  <conditionalFormatting sqref="A72:A169">
    <cfRule type="expression" dxfId="150" priority="8" stopIfTrue="1">
      <formula>#REF!=1</formula>
    </cfRule>
    <cfRule type="expression" dxfId="149" priority="9" stopIfTrue="1">
      <formula>#REF!=2</formula>
    </cfRule>
  </conditionalFormatting>
  <conditionalFormatting sqref="A171:A225">
    <cfRule type="expression" dxfId="148" priority="4" stopIfTrue="1">
      <formula>#REF!="w"</formula>
    </cfRule>
    <cfRule type="expression" dxfId="147" priority="5" stopIfTrue="1">
      <formula>#REF!=1</formula>
    </cfRule>
    <cfRule type="expression" dxfId="146" priority="6" stopIfTrue="1">
      <formula>#REF!=2</formula>
    </cfRule>
  </conditionalFormatting>
  <conditionalFormatting sqref="A227:A341">
    <cfRule type="expression" dxfId="145" priority="1" stopIfTrue="1">
      <formula>#REF!="w"</formula>
    </cfRule>
    <cfRule type="expression" dxfId="144" priority="2" stopIfTrue="1">
      <formula>#REF!=1</formula>
    </cfRule>
    <cfRule type="expression" dxfId="143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282F8-DB3C-4F43-A611-C7DEDEE3735E}">
  <dimension ref="A1:U341"/>
  <sheetViews>
    <sheetView workbookViewId="0">
      <selection activeCell="N243" sqref="N243"/>
    </sheetView>
  </sheetViews>
  <sheetFormatPr defaultColWidth="9.42578125" defaultRowHeight="15" customHeight="1"/>
  <cols>
    <col min="1" max="1" width="9.7109375" style="2" bestFit="1" customWidth="1"/>
    <col min="2" max="3" width="11.5703125" style="2" customWidth="1"/>
    <col min="4" max="4" width="16.85546875" style="2" bestFit="1" customWidth="1"/>
    <col min="5" max="5" width="12.85546875" style="2" bestFit="1" customWidth="1"/>
    <col min="6" max="6" width="12.7109375" style="2" bestFit="1" customWidth="1"/>
    <col min="7" max="12" width="15.7109375" style="2" bestFit="1" customWidth="1"/>
    <col min="13" max="13" width="12.85546875" style="2" bestFit="1" customWidth="1"/>
    <col min="14" max="14" width="16.7109375" style="2" bestFit="1" customWidth="1"/>
    <col min="15" max="15" width="15.7109375" style="2" bestFit="1" customWidth="1"/>
    <col min="16" max="16" width="16.85546875" style="2" bestFit="1" customWidth="1"/>
    <col min="17" max="17" width="2" style="2" customWidth="1"/>
    <col min="18" max="18" width="12.42578125" style="2" customWidth="1"/>
    <col min="19" max="19" width="11.42578125" style="2" customWidth="1"/>
    <col min="20" max="20" width="16.42578125" style="2" customWidth="1"/>
    <col min="21" max="21" width="13" style="2" customWidth="1"/>
    <col min="22" max="16384" width="9.42578125" style="2"/>
  </cols>
  <sheetData>
    <row r="1" spans="1:21" ht="99.6" customHeight="1">
      <c r="A1" s="1" t="s">
        <v>0</v>
      </c>
      <c r="B1" s="44" t="s">
        <v>1</v>
      </c>
      <c r="C1" s="44" t="s">
        <v>2</v>
      </c>
      <c r="D1" s="45" t="s">
        <v>3</v>
      </c>
      <c r="E1" s="45" t="s">
        <v>4</v>
      </c>
      <c r="F1" s="45" t="s">
        <v>5</v>
      </c>
      <c r="G1" s="45" t="s">
        <v>6</v>
      </c>
      <c r="H1" s="45" t="s">
        <v>7</v>
      </c>
      <c r="I1" s="46" t="s">
        <v>8</v>
      </c>
      <c r="J1" s="46" t="s">
        <v>9</v>
      </c>
      <c r="K1" s="47" t="s">
        <v>10</v>
      </c>
      <c r="L1" s="47" t="s">
        <v>11</v>
      </c>
      <c r="M1" s="48" t="s">
        <v>12</v>
      </c>
      <c r="N1" s="49" t="s">
        <v>13</v>
      </c>
      <c r="O1" s="50" t="s">
        <v>14</v>
      </c>
      <c r="P1" s="51" t="s">
        <v>15</v>
      </c>
    </row>
    <row r="2" spans="1:21" ht="15" customHeight="1">
      <c r="A2" s="52">
        <v>91001</v>
      </c>
      <c r="B2" s="37"/>
      <c r="C2" s="37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R2" s="11"/>
      <c r="S2" s="12"/>
      <c r="T2" s="12"/>
      <c r="U2" s="13"/>
    </row>
    <row r="3" spans="1:21" ht="15" customHeight="1">
      <c r="A3" s="52">
        <v>91003</v>
      </c>
      <c r="B3" s="37"/>
      <c r="C3" s="37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R3" s="10" t="s">
        <v>21</v>
      </c>
      <c r="S3" s="3" t="s">
        <v>22</v>
      </c>
      <c r="T3" s="4" t="s">
        <v>23</v>
      </c>
      <c r="U3" s="5" t="s">
        <v>24</v>
      </c>
    </row>
    <row r="4" spans="1:21" ht="15" customHeight="1">
      <c r="A4" s="52">
        <v>91005</v>
      </c>
      <c r="B4" s="37"/>
      <c r="C4" s="37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R4" s="7">
        <v>85</v>
      </c>
      <c r="S4" s="8">
        <f>COUNTA(A:A)-1</f>
        <v>340</v>
      </c>
      <c r="T4" s="8">
        <f>COUNTA(O:O)-1</f>
        <v>3</v>
      </c>
      <c r="U4" s="9">
        <f>T4/S4</f>
        <v>8.8235294117647058E-3</v>
      </c>
    </row>
    <row r="5" spans="1:21" ht="15" customHeight="1">
      <c r="A5" s="52">
        <v>91007</v>
      </c>
      <c r="B5" s="37"/>
      <c r="C5" s="37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</row>
    <row r="6" spans="1:21" ht="15" customHeight="1">
      <c r="A6" s="52">
        <v>91009</v>
      </c>
      <c r="B6" s="37"/>
      <c r="C6" s="37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</row>
    <row r="7" spans="1:21" ht="15" customHeight="1">
      <c r="A7" s="52">
        <v>91011</v>
      </c>
      <c r="B7" s="39"/>
      <c r="C7" s="39"/>
      <c r="D7" s="38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</row>
    <row r="8" spans="1:21" ht="15" customHeight="1">
      <c r="A8" s="52">
        <v>91013</v>
      </c>
      <c r="B8" s="37"/>
      <c r="C8" s="37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</row>
    <row r="9" spans="1:21" ht="15" customHeight="1">
      <c r="A9" s="52">
        <v>91015</v>
      </c>
      <c r="B9" s="37"/>
      <c r="C9" s="37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</row>
    <row r="10" spans="1:21" ht="15" customHeight="1">
      <c r="A10" s="52">
        <v>91017</v>
      </c>
      <c r="B10" s="37"/>
      <c r="C10" s="37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</row>
    <row r="11" spans="1:21" ht="15" customHeight="1">
      <c r="A11" s="52">
        <v>91019</v>
      </c>
      <c r="B11" s="37"/>
      <c r="C11" s="37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</row>
    <row r="12" spans="1:21" ht="15" customHeight="1">
      <c r="A12" s="52">
        <v>91021</v>
      </c>
      <c r="B12" s="37"/>
      <c r="C12" s="37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</row>
    <row r="13" spans="1:21" ht="15" customHeight="1">
      <c r="A13" s="52">
        <v>91023</v>
      </c>
      <c r="B13" s="37"/>
      <c r="C13" s="37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</row>
    <row r="14" spans="1:21" ht="15" customHeight="1">
      <c r="A14" s="52">
        <v>91025</v>
      </c>
      <c r="B14" s="37"/>
      <c r="C14" s="37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</row>
    <row r="15" spans="1:21" ht="15" customHeight="1">
      <c r="A15" s="52">
        <v>91027</v>
      </c>
      <c r="B15" s="37"/>
      <c r="C15" s="37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</row>
    <row r="16" spans="1:21" ht="15" customHeight="1">
      <c r="A16" s="52">
        <v>91029</v>
      </c>
      <c r="B16" s="37"/>
      <c r="C16" s="37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</row>
    <row r="17" spans="1:16" ht="15" customHeight="1">
      <c r="A17" s="52">
        <v>91031</v>
      </c>
      <c r="B17" s="37"/>
      <c r="C17" s="37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</row>
    <row r="18" spans="1:16" ht="15" customHeight="1">
      <c r="A18" s="52">
        <v>91033</v>
      </c>
      <c r="B18" s="37"/>
      <c r="C18" s="37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</row>
    <row r="19" spans="1:16" ht="15" customHeight="1">
      <c r="A19" s="52">
        <v>91035</v>
      </c>
      <c r="B19" s="37"/>
      <c r="C19" s="37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</row>
    <row r="20" spans="1:16" ht="15" customHeight="1">
      <c r="A20" s="52">
        <v>91037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53"/>
      <c r="N20" s="54"/>
      <c r="O20" s="53"/>
      <c r="P20" s="38"/>
    </row>
    <row r="21" spans="1:16" ht="15" customHeight="1">
      <c r="A21" s="52">
        <v>91039</v>
      </c>
      <c r="B21" s="37"/>
      <c r="C21" s="37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</row>
    <row r="22" spans="1:16" ht="15" customHeight="1">
      <c r="A22" s="52">
        <v>91041</v>
      </c>
      <c r="B22" s="37"/>
      <c r="C22" s="37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</row>
    <row r="23" spans="1:16" ht="15" customHeight="1">
      <c r="A23" s="52">
        <v>91043</v>
      </c>
      <c r="B23" s="40"/>
      <c r="C23" s="40"/>
      <c r="D23" s="40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</row>
    <row r="24" spans="1:16" ht="15" customHeight="1">
      <c r="A24" s="52">
        <v>91045</v>
      </c>
      <c r="B24" s="37"/>
      <c r="C24" s="37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</row>
    <row r="25" spans="1:16" ht="15" customHeight="1">
      <c r="A25" s="52">
        <v>91047</v>
      </c>
      <c r="B25" s="37"/>
      <c r="C25" s="37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</row>
    <row r="26" spans="1:16" ht="15" customHeight="1">
      <c r="A26" s="52">
        <v>91049</v>
      </c>
      <c r="B26" s="37"/>
      <c r="C26" s="37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</row>
    <row r="27" spans="1:16" ht="15" customHeight="1">
      <c r="A27" s="52">
        <v>91051</v>
      </c>
      <c r="B27" s="37"/>
      <c r="C27" s="37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</row>
    <row r="28" spans="1:16" ht="15" customHeight="1">
      <c r="A28" s="52">
        <v>91053</v>
      </c>
      <c r="B28" s="37"/>
      <c r="C28" s="37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</row>
    <row r="29" spans="1:16" ht="15" customHeight="1">
      <c r="A29" s="52">
        <v>91055</v>
      </c>
      <c r="B29" s="37"/>
      <c r="C29" s="37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</row>
    <row r="30" spans="1:16" ht="15" customHeight="1">
      <c r="A30" s="52">
        <v>91057</v>
      </c>
      <c r="B30" s="37"/>
      <c r="C30" s="37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</row>
    <row r="31" spans="1:16" ht="15" customHeight="1">
      <c r="A31" s="52">
        <v>91059</v>
      </c>
      <c r="B31" s="37"/>
      <c r="C31" s="37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</row>
    <row r="32" spans="1:16" ht="15" customHeight="1">
      <c r="A32" s="52">
        <v>91061</v>
      </c>
      <c r="B32" s="37"/>
      <c r="C32" s="37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</row>
    <row r="33" spans="1:16" ht="15" customHeight="1">
      <c r="A33" s="52">
        <v>91063</v>
      </c>
      <c r="B33" s="37"/>
      <c r="C33" s="37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</row>
    <row r="34" spans="1:16" ht="15" customHeight="1">
      <c r="A34" s="52">
        <v>91065</v>
      </c>
      <c r="B34" s="37"/>
      <c r="C34" s="37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</row>
    <row r="35" spans="1:16" ht="15" customHeight="1">
      <c r="A35" s="52">
        <v>91067</v>
      </c>
      <c r="B35" s="37"/>
      <c r="C35" s="37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</row>
    <row r="36" spans="1:16" ht="15" customHeight="1">
      <c r="A36" s="52">
        <v>91069</v>
      </c>
      <c r="B36" s="37"/>
      <c r="C36" s="37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</row>
    <row r="37" spans="1:16" ht="15" customHeight="1">
      <c r="A37" s="52">
        <v>91071</v>
      </c>
      <c r="B37" s="37"/>
      <c r="C37" s="37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</row>
    <row r="38" spans="1:16" ht="15" customHeight="1">
      <c r="A38" s="52">
        <v>91073</v>
      </c>
      <c r="B38" s="37"/>
      <c r="C38" s="37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</row>
    <row r="39" spans="1:16" ht="15" customHeight="1">
      <c r="A39" s="52">
        <v>91075</v>
      </c>
      <c r="B39" s="37"/>
      <c r="C39" s="37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</row>
    <row r="40" spans="1:16" ht="15" customHeight="1">
      <c r="A40" s="52">
        <v>91077</v>
      </c>
      <c r="B40" s="37"/>
      <c r="C40" s="37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</row>
    <row r="41" spans="1:16" ht="15" customHeight="1">
      <c r="A41" s="52">
        <v>91079</v>
      </c>
      <c r="B41" s="40"/>
      <c r="C41" s="40"/>
      <c r="D41" s="40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</row>
    <row r="42" spans="1:16" ht="15" customHeight="1">
      <c r="A42" s="52">
        <v>91081</v>
      </c>
      <c r="B42" s="37"/>
      <c r="C42" s="37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</row>
    <row r="43" spans="1:16" ht="15" customHeight="1">
      <c r="A43" s="52">
        <v>91083</v>
      </c>
      <c r="B43" s="37"/>
      <c r="C43" s="37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</row>
    <row r="44" spans="1:16" ht="15" customHeight="1">
      <c r="A44" s="52">
        <v>91085</v>
      </c>
      <c r="B44" s="37"/>
      <c r="C44" s="37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</row>
    <row r="45" spans="1:16" ht="15" customHeight="1">
      <c r="A45" s="52">
        <v>91087</v>
      </c>
      <c r="B45" s="37"/>
      <c r="C45" s="37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</row>
    <row r="46" spans="1:16" ht="15" customHeight="1">
      <c r="A46" s="52">
        <v>91089</v>
      </c>
      <c r="B46" s="37"/>
      <c r="C46" s="37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</row>
    <row r="47" spans="1:16" ht="15" customHeight="1">
      <c r="A47" s="52">
        <v>91091</v>
      </c>
      <c r="B47" s="37"/>
      <c r="C47" s="37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</row>
    <row r="48" spans="1:16" ht="15" customHeight="1">
      <c r="A48" s="52">
        <v>91093</v>
      </c>
      <c r="B48" s="37"/>
      <c r="C48" s="37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</row>
    <row r="49" spans="1:16" ht="15" customHeight="1">
      <c r="A49" s="52">
        <v>91095</v>
      </c>
      <c r="B49" s="37"/>
      <c r="C49" s="37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</row>
    <row r="50" spans="1:16" ht="15" customHeight="1">
      <c r="A50" s="52">
        <v>91097</v>
      </c>
      <c r="B50" s="37"/>
      <c r="C50" s="37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</row>
    <row r="51" spans="1:16" ht="15" customHeight="1">
      <c r="A51" s="52">
        <v>91099</v>
      </c>
      <c r="B51" s="37"/>
      <c r="C51" s="37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</row>
    <row r="52" spans="1:16" ht="15" customHeight="1">
      <c r="A52" s="52">
        <v>91101</v>
      </c>
      <c r="B52" s="37"/>
      <c r="C52" s="37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</row>
    <row r="53" spans="1:16" ht="15" customHeight="1">
      <c r="A53" s="52">
        <v>91103</v>
      </c>
      <c r="B53" s="37"/>
      <c r="C53" s="37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</row>
    <row r="54" spans="1:16" ht="15" customHeight="1">
      <c r="A54" s="52">
        <v>91105</v>
      </c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53"/>
      <c r="N54" s="54"/>
      <c r="O54" s="37"/>
      <c r="P54" s="37"/>
    </row>
    <row r="55" spans="1:16" ht="15" customHeight="1">
      <c r="A55" s="52">
        <v>91107</v>
      </c>
      <c r="B55" s="37"/>
      <c r="C55" s="37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</row>
    <row r="56" spans="1:16" ht="15" customHeight="1">
      <c r="A56" s="52">
        <v>91109</v>
      </c>
      <c r="B56" s="37"/>
      <c r="C56" s="37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</row>
    <row r="57" spans="1:16" ht="15" customHeight="1">
      <c r="A57" s="52">
        <v>91111</v>
      </c>
      <c r="B57" s="37"/>
      <c r="C57" s="37"/>
      <c r="D57" s="37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</row>
    <row r="58" spans="1:16" ht="15" customHeight="1">
      <c r="A58" s="52">
        <v>91113</v>
      </c>
      <c r="B58" s="37"/>
      <c r="C58" s="37"/>
      <c r="D58" s="37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</row>
    <row r="59" spans="1:16" ht="15" customHeight="1">
      <c r="A59" s="52">
        <v>91115</v>
      </c>
      <c r="B59" s="37"/>
      <c r="C59" s="37"/>
      <c r="D59" s="37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</row>
    <row r="60" spans="1:16" ht="15" customHeight="1">
      <c r="A60" s="52">
        <v>91117</v>
      </c>
      <c r="B60" s="37"/>
      <c r="C60" s="37"/>
      <c r="D60" s="37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</row>
    <row r="61" spans="1:16" ht="15" customHeight="1">
      <c r="A61" s="52">
        <v>91119</v>
      </c>
      <c r="B61" s="37"/>
      <c r="C61" s="37"/>
      <c r="D61" s="37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</row>
    <row r="62" spans="1:16" ht="15" customHeight="1">
      <c r="A62" s="52">
        <v>91121</v>
      </c>
      <c r="B62" s="37"/>
      <c r="C62" s="37"/>
      <c r="D62" s="37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</row>
    <row r="63" spans="1:16" ht="15" customHeight="1">
      <c r="A63" s="52">
        <v>91123</v>
      </c>
      <c r="B63" s="37"/>
      <c r="C63" s="37"/>
      <c r="D63" s="37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</row>
    <row r="64" spans="1:16" ht="15" customHeight="1">
      <c r="A64" s="52">
        <v>91125</v>
      </c>
      <c r="B64" s="37"/>
      <c r="C64" s="37"/>
      <c r="D64" s="37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</row>
    <row r="65" spans="1:16" ht="15" customHeight="1">
      <c r="A65" s="52">
        <v>91127</v>
      </c>
      <c r="B65" s="37"/>
      <c r="C65" s="37"/>
      <c r="D65" s="37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</row>
    <row r="66" spans="1:16" ht="15" customHeight="1">
      <c r="A66" s="52">
        <v>91129</v>
      </c>
      <c r="B66" s="37"/>
      <c r="C66" s="37"/>
      <c r="D66" s="37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</row>
    <row r="67" spans="1:16" ht="15" customHeight="1">
      <c r="A67" s="52">
        <v>91131</v>
      </c>
      <c r="B67" s="37"/>
      <c r="C67" s="37"/>
      <c r="D67" s="37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</row>
    <row r="68" spans="1:16">
      <c r="A68" s="52">
        <v>91133</v>
      </c>
      <c r="B68" s="37"/>
      <c r="C68" s="37"/>
      <c r="D68" s="37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</row>
    <row r="69" spans="1:16">
      <c r="A69" s="52">
        <v>91135</v>
      </c>
      <c r="B69" s="37"/>
      <c r="C69" s="37"/>
      <c r="D69" s="37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</row>
    <row r="70" spans="1:16">
      <c r="A70" s="52">
        <v>91137</v>
      </c>
      <c r="B70" s="37"/>
      <c r="C70" s="37"/>
      <c r="D70" s="37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</row>
    <row r="71" spans="1:16">
      <c r="A71" s="52">
        <v>91139</v>
      </c>
      <c r="B71" s="37"/>
      <c r="C71" s="37"/>
      <c r="D71" s="37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</row>
    <row r="72" spans="1:16">
      <c r="A72" s="52">
        <v>91141</v>
      </c>
      <c r="B72" s="37"/>
      <c r="C72" s="37"/>
      <c r="D72" s="37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</row>
    <row r="73" spans="1:16">
      <c r="A73" s="52">
        <v>91143</v>
      </c>
      <c r="B73" s="37"/>
      <c r="C73" s="37"/>
      <c r="D73" s="37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</row>
    <row r="74" spans="1:16">
      <c r="A74" s="52">
        <v>91145</v>
      </c>
      <c r="B74" s="37"/>
      <c r="C74" s="37"/>
      <c r="D74" s="37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</row>
    <row r="75" spans="1:16">
      <c r="A75" s="52">
        <v>91147</v>
      </c>
      <c r="B75" s="37"/>
      <c r="C75" s="37"/>
      <c r="D75" s="37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</row>
    <row r="76" spans="1:16">
      <c r="A76" s="52">
        <v>91149</v>
      </c>
      <c r="B76" s="37"/>
      <c r="C76" s="37"/>
      <c r="D76" s="37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</row>
    <row r="77" spans="1:16">
      <c r="A77" s="52">
        <v>91151</v>
      </c>
      <c r="B77" s="37"/>
      <c r="C77" s="37"/>
      <c r="D77" s="37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</row>
    <row r="78" spans="1:16">
      <c r="A78" s="52">
        <v>91153</v>
      </c>
      <c r="B78" s="37"/>
      <c r="C78" s="37"/>
      <c r="D78" s="37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</row>
    <row r="79" spans="1:16">
      <c r="A79" s="52">
        <v>91155</v>
      </c>
      <c r="B79" s="37"/>
      <c r="C79" s="37"/>
      <c r="D79" s="37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</row>
    <row r="80" spans="1:16">
      <c r="A80" s="52">
        <v>91157</v>
      </c>
      <c r="B80" s="37"/>
      <c r="C80" s="37"/>
      <c r="D80" s="37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</row>
    <row r="81" spans="1:16">
      <c r="A81" s="52">
        <v>91159</v>
      </c>
      <c r="B81" s="37"/>
      <c r="C81" s="37"/>
      <c r="D81" s="37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</row>
    <row r="82" spans="1:16">
      <c r="A82" s="52">
        <v>91161</v>
      </c>
      <c r="B82" s="37"/>
      <c r="C82" s="37"/>
      <c r="D82" s="37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</row>
    <row r="83" spans="1:16">
      <c r="A83" s="52">
        <v>91163</v>
      </c>
      <c r="B83" s="37"/>
      <c r="C83" s="37"/>
      <c r="D83" s="37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</row>
    <row r="84" spans="1:16">
      <c r="A84" s="52">
        <v>91165</v>
      </c>
      <c r="B84" s="37"/>
      <c r="C84" s="37"/>
      <c r="D84" s="37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</row>
    <row r="85" spans="1:16">
      <c r="A85" s="52">
        <v>91167</v>
      </c>
      <c r="B85" s="37"/>
      <c r="C85" s="37"/>
      <c r="D85" s="37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</row>
    <row r="86" spans="1:16">
      <c r="A86" s="52">
        <v>91169</v>
      </c>
      <c r="B86" s="37"/>
      <c r="C86" s="37"/>
      <c r="D86" s="37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</row>
    <row r="87" spans="1:16">
      <c r="A87" s="52">
        <v>91171</v>
      </c>
      <c r="B87" s="37"/>
      <c r="C87" s="37"/>
      <c r="D87" s="37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</row>
    <row r="88" spans="1:16">
      <c r="A88" s="52">
        <v>91173</v>
      </c>
      <c r="B88" s="37"/>
      <c r="C88" s="37"/>
      <c r="D88" s="37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</row>
    <row r="89" spans="1:16">
      <c r="A89" s="52">
        <v>91175</v>
      </c>
      <c r="B89" s="37"/>
      <c r="C89" s="37"/>
      <c r="D89" s="37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</row>
    <row r="90" spans="1:16">
      <c r="A90" s="52">
        <v>91177</v>
      </c>
      <c r="B90" s="37"/>
      <c r="C90" s="37"/>
      <c r="D90" s="37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</row>
    <row r="91" spans="1:16">
      <c r="A91" s="52">
        <v>91179</v>
      </c>
      <c r="B91" s="37"/>
      <c r="C91" s="37"/>
      <c r="D91" s="37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</row>
    <row r="92" spans="1:16">
      <c r="A92" s="52" t="s">
        <v>38</v>
      </c>
      <c r="B92" s="37"/>
      <c r="C92" s="37"/>
      <c r="D92" s="37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</row>
    <row r="93" spans="1:16">
      <c r="A93" s="52" t="s">
        <v>40</v>
      </c>
      <c r="B93" s="37"/>
      <c r="C93" s="37"/>
      <c r="D93" s="37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</row>
    <row r="94" spans="1:16">
      <c r="A94" s="52" t="s">
        <v>41</v>
      </c>
      <c r="B94" s="37"/>
      <c r="C94" s="37"/>
      <c r="D94" s="37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</row>
    <row r="95" spans="1:16">
      <c r="A95" s="52" t="s">
        <v>42</v>
      </c>
      <c r="B95" s="37"/>
      <c r="C95" s="37"/>
      <c r="D95" s="37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</row>
    <row r="96" spans="1:16">
      <c r="A96" s="52" t="s">
        <v>43</v>
      </c>
      <c r="B96" s="37"/>
      <c r="C96" s="37"/>
      <c r="D96" s="37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</row>
    <row r="97" spans="1:16">
      <c r="A97" s="52" t="s">
        <v>44</v>
      </c>
      <c r="B97" s="37"/>
      <c r="C97" s="37"/>
      <c r="D97" s="37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</row>
    <row r="98" spans="1:16">
      <c r="A98" s="52" t="s">
        <v>45</v>
      </c>
      <c r="B98" s="37"/>
      <c r="C98" s="37"/>
      <c r="D98" s="37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</row>
    <row r="99" spans="1:16">
      <c r="A99" s="52" t="s">
        <v>46</v>
      </c>
      <c r="B99" s="37"/>
      <c r="C99" s="37"/>
      <c r="D99" s="37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</row>
    <row r="100" spans="1:16">
      <c r="A100" s="52" t="s">
        <v>47</v>
      </c>
      <c r="B100" s="37"/>
      <c r="C100" s="37"/>
      <c r="D100" s="37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</row>
    <row r="101" spans="1:16">
      <c r="A101" s="52" t="s">
        <v>48</v>
      </c>
      <c r="B101" s="37"/>
      <c r="C101" s="37"/>
      <c r="D101" s="37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</row>
    <row r="102" spans="1:16">
      <c r="A102" s="52" t="s">
        <v>50</v>
      </c>
      <c r="B102" s="37"/>
      <c r="C102" s="37"/>
      <c r="D102" s="37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</row>
    <row r="103" spans="1:16">
      <c r="A103" s="52" t="s">
        <v>51</v>
      </c>
      <c r="B103" s="37"/>
      <c r="C103" s="37"/>
      <c r="D103" s="37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</row>
    <row r="104" spans="1:16">
      <c r="A104" s="52" t="s">
        <v>52</v>
      </c>
      <c r="B104" s="37"/>
      <c r="C104" s="37"/>
      <c r="D104" s="37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</row>
    <row r="105" spans="1:16">
      <c r="A105" s="52" t="s">
        <v>54</v>
      </c>
      <c r="B105" s="37"/>
      <c r="C105" s="37"/>
      <c r="D105" s="37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</row>
    <row r="106" spans="1:16">
      <c r="A106" s="52">
        <v>91209</v>
      </c>
      <c r="B106" s="37"/>
      <c r="C106" s="37"/>
      <c r="D106" s="37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</row>
    <row r="107" spans="1:16">
      <c r="A107" s="52" t="s">
        <v>55</v>
      </c>
      <c r="B107" s="37"/>
      <c r="C107" s="37"/>
      <c r="D107" s="37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</row>
    <row r="108" spans="1:16">
      <c r="A108" s="52" t="s">
        <v>56</v>
      </c>
      <c r="B108" s="37"/>
      <c r="C108" s="37"/>
      <c r="D108" s="37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</row>
    <row r="109" spans="1:16">
      <c r="A109" s="52" t="s">
        <v>57</v>
      </c>
      <c r="B109" s="37"/>
      <c r="C109" s="37"/>
      <c r="D109" s="37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</row>
    <row r="110" spans="1:16">
      <c r="A110" s="52" t="s">
        <v>58</v>
      </c>
      <c r="B110" s="37"/>
      <c r="C110" s="37"/>
      <c r="D110" s="37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</row>
    <row r="111" spans="1:16">
      <c r="A111" s="52" t="s">
        <v>59</v>
      </c>
      <c r="B111" s="37"/>
      <c r="C111" s="37"/>
      <c r="D111" s="37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</row>
    <row r="112" spans="1:16">
      <c r="A112" s="52" t="s">
        <v>60</v>
      </c>
      <c r="B112" s="37"/>
      <c r="C112" s="37"/>
      <c r="D112" s="37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</row>
    <row r="113" spans="1:16">
      <c r="A113" s="52" t="s">
        <v>61</v>
      </c>
      <c r="B113" s="37"/>
      <c r="C113" s="37"/>
      <c r="D113" s="37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</row>
    <row r="114" spans="1:16">
      <c r="A114" s="52" t="s">
        <v>62</v>
      </c>
      <c r="B114" s="37"/>
      <c r="C114" s="37"/>
      <c r="D114" s="37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</row>
    <row r="115" spans="1:16">
      <c r="A115" s="52" t="s">
        <v>64</v>
      </c>
      <c r="B115" s="37"/>
      <c r="C115" s="37"/>
      <c r="D115" s="37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</row>
    <row r="116" spans="1:16">
      <c r="A116" s="52" t="s">
        <v>65</v>
      </c>
      <c r="B116" s="37"/>
      <c r="C116" s="37"/>
      <c r="D116" s="37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</row>
    <row r="117" spans="1:16">
      <c r="A117" s="52" t="s">
        <v>66</v>
      </c>
      <c r="B117" s="37"/>
      <c r="C117" s="37"/>
      <c r="D117" s="37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</row>
    <row r="118" spans="1:16">
      <c r="A118" s="52" t="s">
        <v>67</v>
      </c>
      <c r="B118" s="37"/>
      <c r="C118" s="37"/>
      <c r="D118" s="37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</row>
    <row r="119" spans="1:16">
      <c r="A119" s="52" t="s">
        <v>69</v>
      </c>
      <c r="B119" s="37"/>
      <c r="C119" s="37"/>
      <c r="D119" s="37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</row>
    <row r="120" spans="1:16">
      <c r="A120" s="52" t="s">
        <v>70</v>
      </c>
      <c r="B120" s="37"/>
      <c r="C120" s="37"/>
      <c r="D120" s="37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</row>
    <row r="121" spans="1:16">
      <c r="A121" s="52" t="s">
        <v>71</v>
      </c>
      <c r="B121" s="37"/>
      <c r="C121" s="37"/>
      <c r="D121" s="37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</row>
    <row r="122" spans="1:16">
      <c r="A122" s="52" t="s">
        <v>72</v>
      </c>
      <c r="B122" s="37"/>
      <c r="C122" s="37"/>
      <c r="D122" s="37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</row>
    <row r="123" spans="1:16">
      <c r="A123" s="52" t="s">
        <v>73</v>
      </c>
      <c r="B123" s="37"/>
      <c r="C123" s="37"/>
      <c r="D123" s="37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</row>
    <row r="124" spans="1:16">
      <c r="A124" s="52" t="s">
        <v>74</v>
      </c>
      <c r="B124" s="37"/>
      <c r="C124" s="37"/>
      <c r="D124" s="37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</row>
    <row r="125" spans="1:16">
      <c r="A125" s="52" t="s">
        <v>75</v>
      </c>
      <c r="B125" s="37"/>
      <c r="C125" s="37"/>
      <c r="D125" s="37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</row>
    <row r="126" spans="1:16">
      <c r="A126" s="52" t="s">
        <v>76</v>
      </c>
      <c r="B126" s="37"/>
      <c r="C126" s="37"/>
      <c r="D126" s="37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</row>
    <row r="127" spans="1:16">
      <c r="A127" s="52" t="s">
        <v>77</v>
      </c>
      <c r="B127" s="37"/>
      <c r="C127" s="37"/>
      <c r="D127" s="37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</row>
    <row r="128" spans="1:16">
      <c r="A128" s="52" t="s">
        <v>78</v>
      </c>
      <c r="B128" s="37"/>
      <c r="C128" s="37"/>
      <c r="D128" s="37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</row>
    <row r="129" spans="1:16">
      <c r="A129" s="52">
        <v>91255</v>
      </c>
      <c r="B129" s="37"/>
      <c r="C129" s="37"/>
      <c r="D129" s="37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</row>
    <row r="130" spans="1:16">
      <c r="A130" s="52" t="s">
        <v>80</v>
      </c>
      <c r="B130" s="37"/>
      <c r="C130" s="37"/>
      <c r="D130" s="37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</row>
    <row r="131" spans="1:16">
      <c r="A131" s="52" t="s">
        <v>81</v>
      </c>
      <c r="B131" s="37"/>
      <c r="C131" s="37"/>
      <c r="D131" s="37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</row>
    <row r="132" spans="1:16">
      <c r="A132" s="52" t="s">
        <v>82</v>
      </c>
      <c r="B132" s="37"/>
      <c r="C132" s="37"/>
      <c r="D132" s="37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</row>
    <row r="133" spans="1:16">
      <c r="A133" s="52" t="s">
        <v>83</v>
      </c>
      <c r="B133" s="37"/>
      <c r="C133" s="37"/>
      <c r="D133" s="37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</row>
    <row r="134" spans="1:16">
      <c r="A134" s="52" t="s">
        <v>84</v>
      </c>
      <c r="B134" s="37"/>
      <c r="C134" s="37"/>
      <c r="D134" s="37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</row>
    <row r="135" spans="1:16">
      <c r="A135" s="52" t="s">
        <v>85</v>
      </c>
      <c r="B135" s="37"/>
      <c r="C135" s="37"/>
      <c r="D135" s="37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</row>
    <row r="136" spans="1:16">
      <c r="A136" s="52" t="s">
        <v>86</v>
      </c>
      <c r="B136" s="37"/>
      <c r="C136" s="37"/>
      <c r="D136" s="37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</row>
    <row r="137" spans="1:16">
      <c r="A137" s="52" t="s">
        <v>87</v>
      </c>
      <c r="B137" s="37"/>
      <c r="C137" s="37"/>
      <c r="D137" s="37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</row>
    <row r="138" spans="1:16">
      <c r="A138" s="52">
        <v>91273</v>
      </c>
      <c r="B138" s="37"/>
      <c r="C138" s="37"/>
      <c r="D138" s="37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</row>
    <row r="139" spans="1:16">
      <c r="A139" s="52" t="s">
        <v>88</v>
      </c>
      <c r="B139" s="37"/>
      <c r="C139" s="37"/>
      <c r="D139" s="37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</row>
    <row r="140" spans="1:16">
      <c r="A140" s="52" t="s">
        <v>89</v>
      </c>
      <c r="B140" s="37"/>
      <c r="C140" s="37"/>
      <c r="D140" s="37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</row>
    <row r="141" spans="1:16">
      <c r="A141" s="52">
        <v>91279</v>
      </c>
      <c r="B141" s="37"/>
      <c r="C141" s="37"/>
      <c r="D141" s="37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</row>
    <row r="142" spans="1:16">
      <c r="A142" s="52" t="s">
        <v>90</v>
      </c>
      <c r="B142" s="37"/>
      <c r="C142" s="37"/>
      <c r="D142" s="37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</row>
    <row r="143" spans="1:16">
      <c r="A143" s="52" t="s">
        <v>92</v>
      </c>
      <c r="B143" s="37"/>
      <c r="C143" s="37"/>
      <c r="D143" s="37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</row>
    <row r="144" spans="1:16">
      <c r="A144" s="52" t="s">
        <v>93</v>
      </c>
      <c r="B144" s="37"/>
      <c r="C144" s="37"/>
      <c r="D144" s="37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</row>
    <row r="145" spans="1:16">
      <c r="A145" s="52" t="s">
        <v>95</v>
      </c>
      <c r="B145" s="37"/>
      <c r="C145" s="37"/>
      <c r="D145" s="37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</row>
    <row r="146" spans="1:16">
      <c r="A146" s="52" t="s">
        <v>96</v>
      </c>
      <c r="B146" s="37"/>
      <c r="C146" s="37"/>
      <c r="D146" s="37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</row>
    <row r="147" spans="1:16">
      <c r="A147" s="52" t="s">
        <v>97</v>
      </c>
      <c r="B147" s="37"/>
      <c r="C147" s="37"/>
      <c r="D147" s="37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</row>
    <row r="148" spans="1:16">
      <c r="A148" s="52" t="s">
        <v>98</v>
      </c>
      <c r="B148" s="37"/>
      <c r="C148" s="37"/>
      <c r="D148" s="37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</row>
    <row r="149" spans="1:16">
      <c r="A149" s="52" t="s">
        <v>99</v>
      </c>
      <c r="B149" s="37"/>
      <c r="C149" s="37"/>
      <c r="D149" s="37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</row>
    <row r="150" spans="1:16">
      <c r="A150" s="52" t="s">
        <v>100</v>
      </c>
      <c r="B150" s="37"/>
      <c r="C150" s="37"/>
      <c r="D150" s="37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</row>
    <row r="151" spans="1:16">
      <c r="A151" s="52" t="s">
        <v>101</v>
      </c>
      <c r="B151" s="37"/>
      <c r="C151" s="37"/>
      <c r="D151" s="37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</row>
    <row r="152" spans="1:16">
      <c r="A152" s="52">
        <v>91301</v>
      </c>
      <c r="B152" s="37"/>
      <c r="C152" s="37"/>
      <c r="D152" s="37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</row>
    <row r="153" spans="1:16">
      <c r="A153" s="52">
        <v>91303</v>
      </c>
      <c r="B153" s="37"/>
      <c r="C153" s="37"/>
      <c r="D153" s="37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</row>
    <row r="154" spans="1:16">
      <c r="A154" s="52" t="s">
        <v>103</v>
      </c>
      <c r="B154" s="37"/>
      <c r="C154" s="37"/>
      <c r="D154" s="37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</row>
    <row r="155" spans="1:16">
      <c r="A155" s="52" t="s">
        <v>104</v>
      </c>
      <c r="B155" s="37"/>
      <c r="C155" s="37"/>
      <c r="D155" s="37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</row>
    <row r="156" spans="1:16">
      <c r="A156" s="52" t="s">
        <v>105</v>
      </c>
      <c r="B156" s="37"/>
      <c r="C156" s="37"/>
      <c r="D156" s="37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</row>
    <row r="157" spans="1:16">
      <c r="A157" s="52" t="s">
        <v>107</v>
      </c>
      <c r="B157" s="37"/>
      <c r="C157" s="37"/>
      <c r="D157" s="37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</row>
    <row r="158" spans="1:16">
      <c r="A158" s="52" t="s">
        <v>108</v>
      </c>
      <c r="B158" s="37"/>
      <c r="C158" s="37"/>
      <c r="D158" s="37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</row>
    <row r="159" spans="1:16">
      <c r="A159" s="52" t="s">
        <v>109</v>
      </c>
      <c r="B159" s="37"/>
      <c r="C159" s="37"/>
      <c r="D159" s="37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</row>
    <row r="160" spans="1:16">
      <c r="A160" s="52" t="s">
        <v>110</v>
      </c>
      <c r="B160" s="65">
        <v>45858</v>
      </c>
      <c r="C160" s="65"/>
      <c r="D160" s="66">
        <v>2</v>
      </c>
      <c r="E160" s="67">
        <v>200</v>
      </c>
      <c r="F160" s="67">
        <v>200</v>
      </c>
      <c r="G160" s="67">
        <v>0</v>
      </c>
      <c r="H160" s="67">
        <v>0</v>
      </c>
      <c r="I160" s="67"/>
      <c r="J160" s="67"/>
      <c r="K160" s="67"/>
      <c r="L160" s="67"/>
      <c r="M160" s="67" t="s">
        <v>17</v>
      </c>
      <c r="N160" s="68" t="s">
        <v>25</v>
      </c>
      <c r="O160" s="65">
        <v>45858</v>
      </c>
      <c r="P160" s="38"/>
    </row>
    <row r="161" spans="1:16">
      <c r="A161" s="52" t="s">
        <v>112</v>
      </c>
      <c r="B161" s="37"/>
      <c r="C161" s="37"/>
      <c r="D161" s="37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</row>
    <row r="162" spans="1:16">
      <c r="A162" s="52" t="s">
        <v>113</v>
      </c>
      <c r="B162" s="37"/>
      <c r="C162" s="37"/>
      <c r="D162" s="37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</row>
    <row r="163" spans="1:16">
      <c r="A163" s="52" t="s">
        <v>114</v>
      </c>
      <c r="B163" s="37"/>
      <c r="C163" s="37"/>
      <c r="D163" s="37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</row>
    <row r="164" spans="1:16">
      <c r="A164" s="52" t="s">
        <v>115</v>
      </c>
      <c r="B164" s="37"/>
      <c r="C164" s="37"/>
      <c r="D164" s="37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</row>
    <row r="165" spans="1:16">
      <c r="A165" s="52" t="s">
        <v>116</v>
      </c>
      <c r="B165" s="37"/>
      <c r="C165" s="37"/>
      <c r="D165" s="37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</row>
    <row r="166" spans="1:16">
      <c r="A166" s="52">
        <v>91329</v>
      </c>
      <c r="B166" s="37"/>
      <c r="C166" s="37"/>
      <c r="D166" s="37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</row>
    <row r="167" spans="1:16">
      <c r="A167" s="52" t="s">
        <v>117</v>
      </c>
      <c r="B167" s="37"/>
      <c r="C167" s="37"/>
      <c r="D167" s="37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</row>
    <row r="168" spans="1:16">
      <c r="A168" s="52" t="s">
        <v>118</v>
      </c>
      <c r="B168" s="37"/>
      <c r="C168" s="37"/>
      <c r="D168" s="37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</row>
    <row r="169" spans="1:16">
      <c r="A169" s="52" t="s">
        <v>120</v>
      </c>
      <c r="B169" s="37"/>
      <c r="C169" s="37"/>
      <c r="D169" s="37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</row>
    <row r="170" spans="1:16">
      <c r="A170" s="57">
        <v>91337</v>
      </c>
      <c r="B170" s="37"/>
      <c r="C170" s="37"/>
      <c r="D170" s="37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</row>
    <row r="171" spans="1:16">
      <c r="A171" s="52" t="s">
        <v>121</v>
      </c>
      <c r="B171" s="37"/>
      <c r="C171" s="37"/>
      <c r="D171" s="37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</row>
    <row r="172" spans="1:16">
      <c r="A172" s="52">
        <v>91341</v>
      </c>
      <c r="B172" s="37"/>
      <c r="C172" s="37"/>
      <c r="D172" s="37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</row>
    <row r="173" spans="1:16">
      <c r="A173" s="52">
        <v>91343</v>
      </c>
      <c r="B173" s="37"/>
      <c r="C173" s="37"/>
      <c r="D173" s="37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</row>
    <row r="174" spans="1:16">
      <c r="A174" s="52">
        <v>91345</v>
      </c>
      <c r="B174" s="37"/>
      <c r="C174" s="37"/>
      <c r="D174" s="37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</row>
    <row r="175" spans="1:16">
      <c r="A175" s="52">
        <v>91347</v>
      </c>
      <c r="B175" s="37"/>
      <c r="C175" s="37"/>
      <c r="D175" s="37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</row>
    <row r="176" spans="1:16">
      <c r="A176" s="52">
        <v>91349</v>
      </c>
      <c r="B176" s="37"/>
      <c r="C176" s="37"/>
      <c r="D176" s="37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</row>
    <row r="177" spans="1:16">
      <c r="A177" s="52">
        <v>93002</v>
      </c>
      <c r="B177" s="37"/>
      <c r="C177" s="37"/>
      <c r="D177" s="37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</row>
    <row r="178" spans="1:16">
      <c r="A178" s="52">
        <v>93004</v>
      </c>
      <c r="B178" s="37"/>
      <c r="C178" s="37"/>
      <c r="D178" s="37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</row>
    <row r="179" spans="1:16">
      <c r="A179" s="52">
        <v>93006</v>
      </c>
      <c r="B179" s="37"/>
      <c r="C179" s="37"/>
      <c r="D179" s="37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</row>
    <row r="180" spans="1:16">
      <c r="A180" s="52">
        <v>93008</v>
      </c>
      <c r="B180" s="37"/>
      <c r="C180" s="37"/>
      <c r="D180" s="37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</row>
    <row r="181" spans="1:16">
      <c r="A181" s="52">
        <v>93010</v>
      </c>
      <c r="B181" s="37"/>
      <c r="C181" s="37"/>
      <c r="D181" s="37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</row>
    <row r="182" spans="1:16">
      <c r="A182" s="52">
        <v>93012</v>
      </c>
      <c r="B182" s="37"/>
      <c r="C182" s="37"/>
      <c r="D182" s="37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</row>
    <row r="183" spans="1:16">
      <c r="A183" s="52">
        <v>93014</v>
      </c>
      <c r="B183" s="37"/>
      <c r="C183" s="37"/>
      <c r="D183" s="37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</row>
    <row r="184" spans="1:16">
      <c r="A184" s="52">
        <v>93016</v>
      </c>
      <c r="B184" s="37"/>
      <c r="C184" s="37"/>
      <c r="D184" s="37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</row>
    <row r="185" spans="1:16">
      <c r="A185" s="52">
        <v>93018</v>
      </c>
      <c r="B185" s="37"/>
      <c r="C185" s="37"/>
      <c r="D185" s="37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</row>
    <row r="186" spans="1:16">
      <c r="A186" s="52">
        <v>93020</v>
      </c>
      <c r="B186" s="37"/>
      <c r="C186" s="37"/>
      <c r="D186" s="37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</row>
    <row r="187" spans="1:16">
      <c r="A187" s="52">
        <v>93022</v>
      </c>
      <c r="B187" s="37"/>
      <c r="C187" s="37"/>
      <c r="D187" s="37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</row>
    <row r="188" spans="1:16">
      <c r="A188" s="52">
        <v>93024</v>
      </c>
      <c r="B188" s="37"/>
      <c r="C188" s="37"/>
      <c r="D188" s="37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</row>
    <row r="189" spans="1:16">
      <c r="A189" s="52">
        <v>93026</v>
      </c>
      <c r="B189" s="37"/>
      <c r="C189" s="37"/>
      <c r="D189" s="37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</row>
    <row r="190" spans="1:16">
      <c r="A190" s="52">
        <v>93028</v>
      </c>
      <c r="B190" s="37"/>
      <c r="C190" s="37"/>
      <c r="D190" s="37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</row>
    <row r="191" spans="1:16">
      <c r="A191" s="52">
        <v>93030</v>
      </c>
      <c r="B191" s="37"/>
      <c r="C191" s="37"/>
      <c r="D191" s="37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</row>
    <row r="192" spans="1:16">
      <c r="A192" s="52">
        <v>93032</v>
      </c>
      <c r="B192" s="37"/>
      <c r="C192" s="37"/>
      <c r="D192" s="37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</row>
    <row r="193" spans="1:16">
      <c r="A193" s="52">
        <v>93034</v>
      </c>
      <c r="B193" s="37"/>
      <c r="C193" s="37"/>
      <c r="D193" s="37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</row>
    <row r="194" spans="1:16">
      <c r="A194" s="52">
        <v>93036</v>
      </c>
      <c r="B194" s="37"/>
      <c r="C194" s="37"/>
      <c r="D194" s="37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</row>
    <row r="195" spans="1:16">
      <c r="A195" s="52">
        <v>93038</v>
      </c>
      <c r="B195" s="37"/>
      <c r="C195" s="37"/>
      <c r="D195" s="37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</row>
    <row r="196" spans="1:16">
      <c r="A196" s="52">
        <v>93040</v>
      </c>
      <c r="B196" s="37"/>
      <c r="C196" s="37"/>
      <c r="D196" s="37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</row>
    <row r="197" spans="1:16">
      <c r="A197" s="52">
        <v>93042</v>
      </c>
      <c r="B197" s="37"/>
      <c r="C197" s="37"/>
      <c r="D197" s="37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</row>
    <row r="198" spans="1:16">
      <c r="A198" s="52">
        <v>93044</v>
      </c>
      <c r="B198" s="37"/>
      <c r="C198" s="37"/>
      <c r="D198" s="37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</row>
    <row r="199" spans="1:16">
      <c r="A199" s="52">
        <v>93046</v>
      </c>
      <c r="B199" s="37"/>
      <c r="C199" s="37"/>
      <c r="D199" s="37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</row>
    <row r="200" spans="1:16">
      <c r="A200" s="52">
        <v>93048</v>
      </c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53"/>
      <c r="N200" s="54"/>
      <c r="O200" s="37"/>
      <c r="P200" s="37"/>
    </row>
    <row r="201" spans="1:16">
      <c r="A201" s="52">
        <v>93050</v>
      </c>
      <c r="B201" s="37"/>
      <c r="C201" s="37"/>
      <c r="D201" s="40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</row>
    <row r="202" spans="1:16">
      <c r="A202" s="52">
        <v>93052</v>
      </c>
      <c r="B202" s="37"/>
      <c r="C202" s="37"/>
      <c r="D202" s="37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</row>
    <row r="203" spans="1:16">
      <c r="A203" s="52">
        <v>93054</v>
      </c>
      <c r="B203" s="37"/>
      <c r="C203" s="37"/>
      <c r="D203" s="37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</row>
    <row r="204" spans="1:16">
      <c r="A204" s="52">
        <v>93056</v>
      </c>
      <c r="B204" s="37"/>
      <c r="C204" s="37"/>
      <c r="D204" s="37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</row>
    <row r="205" spans="1:16">
      <c r="A205" s="52">
        <v>93058</v>
      </c>
      <c r="B205" s="37"/>
      <c r="C205" s="37"/>
      <c r="D205" s="37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</row>
    <row r="206" spans="1:16">
      <c r="A206" s="52">
        <v>93060</v>
      </c>
      <c r="B206" s="37"/>
      <c r="C206" s="37"/>
      <c r="D206" s="37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</row>
    <row r="207" spans="1:16">
      <c r="A207" s="52">
        <v>93062</v>
      </c>
      <c r="B207" s="37"/>
      <c r="C207" s="37"/>
      <c r="D207" s="37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</row>
    <row r="208" spans="1:16">
      <c r="A208" s="52">
        <v>93064</v>
      </c>
      <c r="B208" s="37"/>
      <c r="C208" s="37"/>
      <c r="D208" s="37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</row>
    <row r="209" spans="1:16">
      <c r="A209" s="52">
        <v>93066</v>
      </c>
      <c r="B209" s="37"/>
      <c r="C209" s="37"/>
      <c r="D209" s="37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</row>
    <row r="210" spans="1:16">
      <c r="A210" s="52">
        <v>93068</v>
      </c>
      <c r="B210" s="37"/>
      <c r="C210" s="37"/>
      <c r="D210" s="37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</row>
    <row r="211" spans="1:16">
      <c r="A211" s="52">
        <v>93070</v>
      </c>
      <c r="B211" s="37"/>
      <c r="C211" s="37"/>
      <c r="D211" s="37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</row>
    <row r="212" spans="1:16">
      <c r="A212" s="52">
        <v>93072</v>
      </c>
      <c r="B212" s="37"/>
      <c r="C212" s="37"/>
      <c r="D212" s="37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</row>
    <row r="213" spans="1:16">
      <c r="A213" s="52">
        <v>93074</v>
      </c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53"/>
      <c r="N213" s="54"/>
      <c r="O213" s="53"/>
      <c r="P213" s="38"/>
    </row>
    <row r="214" spans="1:16">
      <c r="A214" s="52">
        <v>93076</v>
      </c>
      <c r="B214" s="37"/>
      <c r="C214" s="37"/>
      <c r="D214" s="37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</row>
    <row r="215" spans="1:16">
      <c r="A215" s="52">
        <v>93078</v>
      </c>
      <c r="B215" s="37"/>
      <c r="C215" s="37"/>
      <c r="D215" s="37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</row>
    <row r="216" spans="1:16">
      <c r="A216" s="52">
        <v>93080</v>
      </c>
      <c r="B216" s="37"/>
      <c r="C216" s="37"/>
      <c r="D216" s="37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</row>
    <row r="217" spans="1:16">
      <c r="A217" s="52">
        <v>93082</v>
      </c>
      <c r="B217" s="37"/>
      <c r="C217" s="37"/>
      <c r="D217" s="37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</row>
    <row r="218" spans="1:16">
      <c r="A218" s="52">
        <v>93084</v>
      </c>
      <c r="B218" s="37"/>
      <c r="C218" s="37"/>
      <c r="D218" s="37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</row>
    <row r="219" spans="1:16">
      <c r="A219" s="52">
        <v>93086</v>
      </c>
      <c r="B219" s="37"/>
      <c r="C219" s="37"/>
      <c r="D219" s="37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</row>
    <row r="220" spans="1:16">
      <c r="A220" s="52">
        <v>93088</v>
      </c>
      <c r="B220" s="37"/>
      <c r="C220" s="37"/>
      <c r="D220" s="37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</row>
    <row r="221" spans="1:16">
      <c r="A221" s="52">
        <v>93090</v>
      </c>
      <c r="B221" s="37"/>
      <c r="C221" s="37"/>
      <c r="D221" s="37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</row>
    <row r="222" spans="1:16">
      <c r="A222" s="52">
        <v>93092</v>
      </c>
      <c r="B222" s="37"/>
      <c r="C222" s="37"/>
      <c r="D222" s="37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</row>
    <row r="223" spans="1:16">
      <c r="A223" s="52">
        <v>93094</v>
      </c>
      <c r="B223" s="37"/>
      <c r="C223" s="37"/>
      <c r="D223" s="37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</row>
    <row r="224" spans="1:16">
      <c r="A224" s="52">
        <v>93096</v>
      </c>
      <c r="B224" s="37"/>
      <c r="C224" s="37"/>
      <c r="D224" s="37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</row>
    <row r="225" spans="1:16">
      <c r="A225" s="52">
        <v>93098</v>
      </c>
      <c r="B225" s="37"/>
      <c r="C225" s="37"/>
      <c r="D225" s="37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</row>
    <row r="226" spans="1:16">
      <c r="A226" s="57">
        <v>93100</v>
      </c>
      <c r="B226" s="37"/>
      <c r="C226" s="37"/>
      <c r="D226" s="37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</row>
    <row r="227" spans="1:16">
      <c r="A227" s="52">
        <v>93102</v>
      </c>
      <c r="B227" s="37"/>
      <c r="C227" s="37"/>
      <c r="D227" s="37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</row>
    <row r="228" spans="1:16">
      <c r="A228" s="52">
        <v>93104</v>
      </c>
      <c r="B228" s="37"/>
      <c r="C228" s="37"/>
      <c r="D228" s="37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</row>
    <row r="229" spans="1:16">
      <c r="A229" s="52">
        <v>93106</v>
      </c>
      <c r="B229" s="37"/>
      <c r="C229" s="37"/>
      <c r="D229" s="37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</row>
    <row r="230" spans="1:16">
      <c r="A230" s="52">
        <v>93108</v>
      </c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53"/>
      <c r="N230" s="54"/>
      <c r="O230" s="37"/>
      <c r="P230" s="37"/>
    </row>
    <row r="231" spans="1:16">
      <c r="A231" s="52">
        <v>93110</v>
      </c>
      <c r="B231" s="37"/>
      <c r="C231" s="37"/>
      <c r="D231" s="37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</row>
    <row r="232" spans="1:16">
      <c r="A232" s="52">
        <v>93112</v>
      </c>
      <c r="B232" s="37"/>
      <c r="C232" s="37"/>
      <c r="D232" s="37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</row>
    <row r="233" spans="1:16">
      <c r="A233" s="52">
        <v>93114</v>
      </c>
      <c r="B233" s="37"/>
      <c r="C233" s="37"/>
      <c r="D233" s="37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</row>
    <row r="234" spans="1:16">
      <c r="A234" s="52">
        <v>93116</v>
      </c>
      <c r="B234" s="37"/>
      <c r="C234" s="37"/>
      <c r="D234" s="37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</row>
    <row r="235" spans="1:16">
      <c r="A235" s="52">
        <v>93118</v>
      </c>
      <c r="B235" s="37"/>
      <c r="C235" s="37"/>
      <c r="D235" s="37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</row>
    <row r="236" spans="1:16">
      <c r="A236" s="52">
        <v>93120</v>
      </c>
      <c r="B236" s="37"/>
      <c r="C236" s="37"/>
      <c r="D236" s="37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</row>
    <row r="237" spans="1:16">
      <c r="A237" s="52">
        <v>93122</v>
      </c>
      <c r="B237" s="37"/>
      <c r="C237" s="37"/>
      <c r="D237" s="37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</row>
    <row r="238" spans="1:16">
      <c r="A238" s="52">
        <v>93124</v>
      </c>
      <c r="B238" s="37"/>
      <c r="C238" s="37"/>
      <c r="D238" s="37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</row>
    <row r="239" spans="1:16">
      <c r="A239" s="52">
        <v>93126</v>
      </c>
      <c r="B239" s="37"/>
      <c r="C239" s="37"/>
      <c r="D239" s="37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</row>
    <row r="240" spans="1:16">
      <c r="A240" s="52">
        <v>93128</v>
      </c>
      <c r="B240" s="37"/>
      <c r="C240" s="37"/>
      <c r="D240" s="37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</row>
    <row r="241" spans="1:16">
      <c r="A241" s="52">
        <v>93130</v>
      </c>
      <c r="B241" s="37"/>
      <c r="C241" s="37"/>
      <c r="D241" s="37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</row>
    <row r="242" spans="1:16">
      <c r="A242" s="52">
        <v>93132</v>
      </c>
      <c r="B242" s="37"/>
      <c r="C242" s="37"/>
      <c r="D242" s="37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</row>
    <row r="243" spans="1:16">
      <c r="A243" s="52">
        <v>93134</v>
      </c>
      <c r="B243" s="37"/>
      <c r="C243" s="37"/>
      <c r="D243" s="37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</row>
    <row r="244" spans="1:16">
      <c r="A244" s="52">
        <v>93136</v>
      </c>
      <c r="B244" s="37"/>
      <c r="C244" s="37"/>
      <c r="D244" s="37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</row>
    <row r="245" spans="1:16">
      <c r="A245" s="52">
        <v>93138</v>
      </c>
      <c r="B245" s="37"/>
      <c r="C245" s="37"/>
      <c r="D245" s="37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</row>
    <row r="246" spans="1:16">
      <c r="A246" s="52">
        <v>93140</v>
      </c>
      <c r="B246" s="37"/>
      <c r="C246" s="37"/>
      <c r="D246" s="37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</row>
    <row r="247" spans="1:16">
      <c r="A247" s="52">
        <v>93142</v>
      </c>
      <c r="B247" s="37"/>
      <c r="C247" s="37"/>
      <c r="D247" s="37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</row>
    <row r="248" spans="1:16">
      <c r="A248" s="52">
        <v>93144</v>
      </c>
      <c r="B248" s="37"/>
      <c r="C248" s="37"/>
      <c r="D248" s="37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</row>
    <row r="249" spans="1:16">
      <c r="A249" s="52">
        <v>93146</v>
      </c>
      <c r="B249" s="37"/>
      <c r="C249" s="37"/>
      <c r="D249" s="37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</row>
    <row r="250" spans="1:16">
      <c r="A250" s="52">
        <v>93148</v>
      </c>
      <c r="B250" s="37"/>
      <c r="C250" s="37"/>
      <c r="D250" s="37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</row>
    <row r="251" spans="1:16">
      <c r="A251" s="52">
        <v>93150</v>
      </c>
      <c r="B251" s="37"/>
      <c r="C251" s="37"/>
      <c r="D251" s="37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</row>
    <row r="252" spans="1:16">
      <c r="A252" s="52">
        <v>93152</v>
      </c>
      <c r="B252" s="37"/>
      <c r="C252" s="37"/>
      <c r="D252" s="37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</row>
    <row r="253" spans="1:16">
      <c r="A253" s="52">
        <v>93154</v>
      </c>
      <c r="B253" s="37"/>
      <c r="C253" s="37"/>
      <c r="D253" s="37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</row>
    <row r="254" spans="1:16">
      <c r="A254" s="52">
        <v>93156</v>
      </c>
      <c r="B254" s="37"/>
      <c r="C254" s="37"/>
      <c r="D254" s="37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</row>
    <row r="255" spans="1:16">
      <c r="A255" s="52">
        <v>93158</v>
      </c>
      <c r="B255" s="37"/>
      <c r="C255" s="37"/>
      <c r="D255" s="37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</row>
    <row r="256" spans="1:16">
      <c r="A256" s="52">
        <v>93160</v>
      </c>
      <c r="B256" s="37"/>
      <c r="C256" s="37"/>
      <c r="D256" s="37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</row>
    <row r="257" spans="1:16">
      <c r="A257" s="52">
        <v>93162</v>
      </c>
      <c r="B257" s="37"/>
      <c r="C257" s="37"/>
      <c r="D257" s="37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</row>
    <row r="258" spans="1:16">
      <c r="A258" s="52">
        <v>93164</v>
      </c>
      <c r="B258" s="37"/>
      <c r="C258" s="37"/>
      <c r="D258" s="37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</row>
    <row r="259" spans="1:16">
      <c r="A259" s="52">
        <v>93166</v>
      </c>
      <c r="B259" s="37"/>
      <c r="C259" s="37"/>
      <c r="D259" s="37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</row>
    <row r="260" spans="1:16">
      <c r="A260" s="52">
        <v>93168</v>
      </c>
      <c r="B260" s="37"/>
      <c r="C260" s="37"/>
      <c r="D260" s="37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</row>
    <row r="261" spans="1:16">
      <c r="A261" s="52">
        <v>93170</v>
      </c>
      <c r="B261" s="37"/>
      <c r="C261" s="37"/>
      <c r="D261" s="37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</row>
    <row r="262" spans="1:16">
      <c r="A262" s="52">
        <v>93172</v>
      </c>
      <c r="B262" s="37"/>
      <c r="C262" s="37"/>
      <c r="D262" s="37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</row>
    <row r="263" spans="1:16">
      <c r="A263" s="52">
        <v>93174</v>
      </c>
      <c r="B263" s="37"/>
      <c r="C263" s="37"/>
      <c r="D263" s="37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</row>
    <row r="264" spans="1:16">
      <c r="A264" s="52">
        <v>93176</v>
      </c>
      <c r="B264" s="37"/>
      <c r="C264" s="37"/>
      <c r="D264" s="37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</row>
    <row r="265" spans="1:16">
      <c r="A265" s="52">
        <v>93178</v>
      </c>
      <c r="B265" s="55">
        <v>45833</v>
      </c>
      <c r="C265" s="55"/>
      <c r="D265" s="66">
        <v>2</v>
      </c>
      <c r="E265" s="67">
        <v>66</v>
      </c>
      <c r="F265" s="67">
        <v>66</v>
      </c>
      <c r="G265" s="67">
        <v>0</v>
      </c>
      <c r="H265" s="67">
        <v>0</v>
      </c>
      <c r="I265" s="67"/>
      <c r="J265" s="67"/>
      <c r="K265" s="67"/>
      <c r="L265" s="67"/>
      <c r="M265" s="67" t="s">
        <v>19</v>
      </c>
      <c r="N265" s="67" t="s">
        <v>25</v>
      </c>
      <c r="O265" s="69">
        <v>45833</v>
      </c>
      <c r="P265" s="38"/>
    </row>
    <row r="266" spans="1:16">
      <c r="A266" s="52">
        <v>93180</v>
      </c>
      <c r="B266" s="37"/>
      <c r="C266" s="37"/>
      <c r="D266" s="37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</row>
    <row r="267" spans="1:16">
      <c r="A267" s="52">
        <v>93182</v>
      </c>
      <c r="B267" s="37"/>
      <c r="C267" s="37"/>
      <c r="D267" s="37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</row>
    <row r="268" spans="1:16">
      <c r="A268" s="52">
        <v>93184</v>
      </c>
      <c r="B268" s="37"/>
      <c r="C268" s="37"/>
      <c r="D268" s="37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</row>
    <row r="269" spans="1:16">
      <c r="A269" s="52">
        <v>93186</v>
      </c>
      <c r="B269" s="37"/>
      <c r="C269" s="37"/>
      <c r="D269" s="37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</row>
    <row r="270" spans="1:16">
      <c r="A270" s="52">
        <v>93188</v>
      </c>
      <c r="B270" s="37"/>
      <c r="C270" s="37"/>
      <c r="D270" s="37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</row>
    <row r="271" spans="1:16">
      <c r="A271" s="52">
        <v>93190</v>
      </c>
      <c r="B271" s="37"/>
      <c r="C271" s="37"/>
      <c r="D271" s="37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</row>
    <row r="272" spans="1:16">
      <c r="A272" s="52">
        <v>93192</v>
      </c>
      <c r="B272" s="37"/>
      <c r="C272" s="37"/>
      <c r="D272" s="37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</row>
    <row r="273" spans="1:16">
      <c r="A273" s="52">
        <v>93194</v>
      </c>
      <c r="B273" s="37"/>
      <c r="C273" s="37"/>
      <c r="D273" s="37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</row>
    <row r="274" spans="1:16">
      <c r="A274" s="52">
        <v>93196</v>
      </c>
      <c r="B274" s="55">
        <v>45858</v>
      </c>
      <c r="C274" s="55"/>
      <c r="D274" s="66">
        <v>1</v>
      </c>
      <c r="E274" s="67">
        <v>30</v>
      </c>
      <c r="F274" s="67">
        <v>30</v>
      </c>
      <c r="G274" s="67">
        <v>0</v>
      </c>
      <c r="H274" s="67">
        <v>0</v>
      </c>
      <c r="I274" s="67"/>
      <c r="J274" s="67"/>
      <c r="K274" s="67"/>
      <c r="L274" s="67"/>
      <c r="M274" s="67" t="s">
        <v>19</v>
      </c>
      <c r="N274" s="67" t="s">
        <v>25</v>
      </c>
      <c r="O274" s="69">
        <v>45858</v>
      </c>
      <c r="P274" s="38"/>
    </row>
    <row r="275" spans="1:16">
      <c r="A275" s="52">
        <v>93198</v>
      </c>
      <c r="B275" s="37"/>
      <c r="C275" s="37"/>
      <c r="D275" s="37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</row>
    <row r="276" spans="1:16">
      <c r="A276" s="52">
        <v>93200</v>
      </c>
      <c r="B276" s="37"/>
      <c r="C276" s="37"/>
      <c r="D276" s="37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</row>
    <row r="277" spans="1:16">
      <c r="A277" s="52">
        <v>93202</v>
      </c>
      <c r="B277" s="37"/>
      <c r="C277" s="37"/>
      <c r="D277" s="37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</row>
    <row r="278" spans="1:16">
      <c r="A278" s="52">
        <v>93204</v>
      </c>
      <c r="B278" s="37"/>
      <c r="C278" s="37"/>
      <c r="D278" s="37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</row>
    <row r="279" spans="1:16">
      <c r="A279" s="52">
        <v>93206</v>
      </c>
      <c r="B279" s="37"/>
      <c r="C279" s="37"/>
      <c r="D279" s="37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</row>
    <row r="280" spans="1:16">
      <c r="A280" s="52">
        <v>93208</v>
      </c>
      <c r="B280" s="37"/>
      <c r="C280" s="37"/>
      <c r="D280" s="37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</row>
    <row r="281" spans="1:16">
      <c r="A281" s="52">
        <v>93210</v>
      </c>
      <c r="B281" s="37"/>
      <c r="C281" s="37"/>
      <c r="D281" s="37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</row>
    <row r="282" spans="1:16">
      <c r="A282" s="52">
        <v>93212</v>
      </c>
      <c r="B282" s="37"/>
      <c r="C282" s="37"/>
      <c r="D282" s="37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</row>
    <row r="283" spans="1:16">
      <c r="A283" s="52">
        <v>93214</v>
      </c>
      <c r="B283" s="37"/>
      <c r="C283" s="37"/>
      <c r="D283" s="37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</row>
    <row r="284" spans="1:16">
      <c r="A284" s="52">
        <v>93216</v>
      </c>
      <c r="B284" s="37"/>
      <c r="C284" s="37"/>
      <c r="D284" s="37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</row>
    <row r="285" spans="1:16">
      <c r="A285" s="52">
        <v>93218</v>
      </c>
      <c r="B285" s="37"/>
      <c r="C285" s="37"/>
      <c r="D285" s="37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</row>
    <row r="286" spans="1:16">
      <c r="A286" s="52">
        <v>93220</v>
      </c>
      <c r="B286" s="37"/>
      <c r="C286" s="37"/>
      <c r="D286" s="37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</row>
    <row r="287" spans="1:16">
      <c r="A287" s="52">
        <v>93222</v>
      </c>
      <c r="B287" s="37"/>
      <c r="C287" s="37"/>
      <c r="D287" s="37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</row>
    <row r="288" spans="1:16">
      <c r="A288" s="52">
        <v>93224</v>
      </c>
      <c r="B288" s="37"/>
      <c r="C288" s="37"/>
      <c r="D288" s="37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</row>
    <row r="289" spans="1:16">
      <c r="A289" s="52">
        <v>93226</v>
      </c>
      <c r="B289" s="37"/>
      <c r="C289" s="37"/>
      <c r="D289" s="37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</row>
    <row r="290" spans="1:16">
      <c r="A290" s="52">
        <v>93228</v>
      </c>
      <c r="B290" s="37"/>
      <c r="C290" s="37"/>
      <c r="D290" s="37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</row>
    <row r="291" spans="1:16">
      <c r="A291" s="52">
        <v>93230</v>
      </c>
      <c r="B291" s="37"/>
      <c r="C291" s="37"/>
      <c r="D291" s="37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</row>
    <row r="292" spans="1:16">
      <c r="A292" s="52">
        <v>93232</v>
      </c>
      <c r="B292" s="37"/>
      <c r="C292" s="37"/>
      <c r="D292" s="37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</row>
    <row r="293" spans="1:16">
      <c r="A293" s="52">
        <v>93234</v>
      </c>
      <c r="B293" s="37"/>
      <c r="C293" s="37"/>
      <c r="D293" s="37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</row>
    <row r="294" spans="1:16">
      <c r="A294" s="52">
        <v>93236</v>
      </c>
      <c r="B294" s="37"/>
      <c r="C294" s="37"/>
      <c r="D294" s="37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</row>
    <row r="295" spans="1:16">
      <c r="A295" s="52">
        <v>93238</v>
      </c>
      <c r="B295" s="37"/>
      <c r="C295" s="37"/>
      <c r="D295" s="37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</row>
    <row r="296" spans="1:16">
      <c r="A296" s="52">
        <v>93240</v>
      </c>
      <c r="B296" s="37"/>
      <c r="C296" s="37"/>
      <c r="D296" s="37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</row>
    <row r="297" spans="1:16">
      <c r="A297" s="52">
        <v>93242</v>
      </c>
      <c r="B297" s="37"/>
      <c r="C297" s="37"/>
      <c r="D297" s="37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</row>
    <row r="298" spans="1:16">
      <c r="A298" s="52">
        <v>93244</v>
      </c>
      <c r="B298" s="37"/>
      <c r="C298" s="37"/>
      <c r="D298" s="37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</row>
    <row r="299" spans="1:16">
      <c r="A299" s="52">
        <v>93246</v>
      </c>
      <c r="B299" s="37"/>
      <c r="C299" s="37"/>
      <c r="D299" s="37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</row>
    <row r="300" spans="1:16">
      <c r="A300" s="52">
        <v>93248</v>
      </c>
      <c r="B300" s="37"/>
      <c r="C300" s="37"/>
      <c r="D300" s="37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</row>
    <row r="301" spans="1:16">
      <c r="A301" s="52">
        <v>93250</v>
      </c>
      <c r="B301" s="37"/>
      <c r="C301" s="37"/>
      <c r="D301" s="37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</row>
    <row r="302" spans="1:16">
      <c r="A302" s="52">
        <v>93252</v>
      </c>
      <c r="B302" s="37"/>
      <c r="C302" s="37"/>
      <c r="D302" s="37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</row>
    <row r="303" spans="1:16">
      <c r="A303" s="52">
        <v>93254</v>
      </c>
      <c r="B303" s="37"/>
      <c r="C303" s="37"/>
      <c r="D303" s="37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</row>
    <row r="304" spans="1:16">
      <c r="A304" s="52">
        <v>93256</v>
      </c>
      <c r="B304" s="37"/>
      <c r="C304" s="37"/>
      <c r="D304" s="37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</row>
    <row r="305" spans="1:16">
      <c r="A305" s="52">
        <v>93258</v>
      </c>
      <c r="B305" s="37"/>
      <c r="C305" s="37"/>
      <c r="D305" s="37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</row>
    <row r="306" spans="1:16">
      <c r="A306" s="52">
        <v>93260</v>
      </c>
      <c r="B306" s="37"/>
      <c r="C306" s="37"/>
      <c r="D306" s="37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</row>
    <row r="307" spans="1:16">
      <c r="A307" s="52">
        <v>93262</v>
      </c>
      <c r="B307" s="37"/>
      <c r="C307" s="37"/>
      <c r="D307" s="37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</row>
    <row r="308" spans="1:16">
      <c r="A308" s="52">
        <v>93264</v>
      </c>
      <c r="B308" s="37"/>
      <c r="C308" s="37"/>
      <c r="D308" s="37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</row>
    <row r="309" spans="1:16">
      <c r="A309" s="52">
        <v>93266</v>
      </c>
      <c r="B309" s="37"/>
      <c r="C309" s="37"/>
      <c r="D309" s="37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</row>
    <row r="310" spans="1:16">
      <c r="A310" s="52">
        <v>93402</v>
      </c>
      <c r="B310" s="37"/>
      <c r="C310" s="37"/>
      <c r="D310" s="37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</row>
    <row r="311" spans="1:16">
      <c r="A311" s="52">
        <v>93404</v>
      </c>
      <c r="B311" s="37"/>
      <c r="C311" s="37"/>
      <c r="D311" s="37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</row>
    <row r="312" spans="1:16">
      <c r="A312" s="52">
        <v>93406</v>
      </c>
      <c r="B312" s="37"/>
      <c r="C312" s="37"/>
      <c r="D312" s="37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</row>
    <row r="313" spans="1:16">
      <c r="A313" s="52">
        <v>93408</v>
      </c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53"/>
      <c r="N313" s="54"/>
      <c r="O313" s="37"/>
      <c r="P313" s="37"/>
    </row>
    <row r="314" spans="1:16">
      <c r="A314" s="52">
        <v>93410</v>
      </c>
      <c r="B314" s="37"/>
      <c r="C314" s="37"/>
      <c r="D314" s="37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</row>
    <row r="315" spans="1:16">
      <c r="A315" s="52">
        <v>93412</v>
      </c>
      <c r="B315" s="37"/>
      <c r="C315" s="37"/>
      <c r="D315" s="37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</row>
    <row r="316" spans="1:16">
      <c r="A316" s="52">
        <v>93414</v>
      </c>
      <c r="B316" s="37"/>
      <c r="C316" s="37"/>
      <c r="D316" s="37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</row>
    <row r="317" spans="1:16">
      <c r="A317" s="52">
        <v>93416</v>
      </c>
      <c r="B317" s="37"/>
      <c r="C317" s="37"/>
      <c r="D317" s="37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</row>
    <row r="318" spans="1:16">
      <c r="A318" s="52">
        <v>93418</v>
      </c>
      <c r="B318" s="37"/>
      <c r="C318" s="37"/>
      <c r="D318" s="37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</row>
    <row r="319" spans="1:16">
      <c r="A319" s="52">
        <v>93420</v>
      </c>
      <c r="B319" s="37"/>
      <c r="C319" s="37"/>
      <c r="D319" s="37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</row>
    <row r="320" spans="1:16">
      <c r="A320" s="52">
        <v>93422</v>
      </c>
      <c r="B320" s="37"/>
      <c r="C320" s="37"/>
      <c r="D320" s="37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</row>
    <row r="321" spans="1:16">
      <c r="A321" s="52">
        <v>93424</v>
      </c>
      <c r="B321" s="37"/>
      <c r="C321" s="37"/>
      <c r="D321" s="37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</row>
    <row r="322" spans="1:16">
      <c r="A322" s="52">
        <v>93426</v>
      </c>
      <c r="B322" s="37"/>
      <c r="C322" s="37"/>
      <c r="D322" s="37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</row>
    <row r="323" spans="1:16">
      <c r="A323" s="52">
        <v>93428</v>
      </c>
      <c r="B323" s="37"/>
      <c r="C323" s="37"/>
      <c r="D323" s="37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</row>
    <row r="324" spans="1:16">
      <c r="A324" s="52">
        <v>93430</v>
      </c>
      <c r="B324" s="37"/>
      <c r="C324" s="37"/>
      <c r="D324" s="37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</row>
    <row r="325" spans="1:16">
      <c r="A325" s="52">
        <v>93432</v>
      </c>
      <c r="B325" s="37"/>
      <c r="C325" s="37"/>
      <c r="D325" s="37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</row>
    <row r="326" spans="1:16">
      <c r="A326" s="52">
        <v>93434</v>
      </c>
      <c r="B326" s="37"/>
      <c r="C326" s="37"/>
      <c r="D326" s="37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</row>
    <row r="327" spans="1:16">
      <c r="A327" s="52">
        <v>93436</v>
      </c>
      <c r="B327" s="37"/>
      <c r="C327" s="37"/>
      <c r="D327" s="37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</row>
    <row r="328" spans="1:16">
      <c r="A328" s="52">
        <v>93438</v>
      </c>
      <c r="B328" s="37"/>
      <c r="C328" s="37"/>
      <c r="D328" s="37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</row>
    <row r="329" spans="1:16">
      <c r="A329" s="52">
        <v>93440</v>
      </c>
      <c r="B329" s="37"/>
      <c r="C329" s="37"/>
      <c r="D329" s="37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</row>
    <row r="330" spans="1:16">
      <c r="A330" s="52">
        <v>93442</v>
      </c>
      <c r="B330" s="37"/>
      <c r="C330" s="37"/>
      <c r="D330" s="37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</row>
    <row r="331" spans="1:16">
      <c r="A331" s="52">
        <v>93444</v>
      </c>
      <c r="B331" s="37"/>
      <c r="C331" s="37"/>
      <c r="D331" s="37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</row>
    <row r="332" spans="1:16">
      <c r="A332" s="52">
        <v>93446</v>
      </c>
      <c r="B332" s="37"/>
      <c r="C332" s="37"/>
      <c r="D332" s="37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</row>
    <row r="333" spans="1:16">
      <c r="A333" s="52">
        <v>93448</v>
      </c>
      <c r="B333" s="37"/>
      <c r="C333" s="37"/>
      <c r="D333" s="37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</row>
    <row r="334" spans="1:16">
      <c r="A334" s="52">
        <v>93450</v>
      </c>
      <c r="B334" s="37"/>
      <c r="C334" s="37"/>
      <c r="D334" s="37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</row>
    <row r="335" spans="1:16">
      <c r="A335" s="52">
        <v>93452</v>
      </c>
      <c r="B335" s="37"/>
      <c r="C335" s="37"/>
      <c r="D335" s="37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</row>
    <row r="336" spans="1:16">
      <c r="A336" s="52">
        <v>93454</v>
      </c>
      <c r="B336" s="37"/>
      <c r="C336" s="37"/>
      <c r="D336" s="37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</row>
    <row r="337" spans="1:16">
      <c r="A337" s="52">
        <v>93456</v>
      </c>
      <c r="B337" s="37"/>
      <c r="C337" s="37"/>
      <c r="D337" s="37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</row>
    <row r="338" spans="1:16">
      <c r="A338" s="52">
        <v>93458</v>
      </c>
      <c r="B338" s="37"/>
      <c r="C338" s="37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</row>
    <row r="339" spans="1:16">
      <c r="A339" s="52">
        <v>93460</v>
      </c>
      <c r="B339" s="37"/>
      <c r="C339" s="37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</row>
    <row r="340" spans="1:16">
      <c r="A340" s="52">
        <v>93462</v>
      </c>
      <c r="B340" s="37"/>
      <c r="C340" s="37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</row>
    <row r="341" spans="1:16">
      <c r="A341" s="52">
        <v>93464</v>
      </c>
      <c r="B341" s="37"/>
      <c r="C341" s="37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</row>
  </sheetData>
  <mergeCells count="1">
    <mergeCell ref="R2:U2"/>
  </mergeCells>
  <conditionalFormatting sqref="A2:A71">
    <cfRule type="expression" dxfId="123" priority="10" stopIfTrue="1">
      <formula>#REF!=1</formula>
    </cfRule>
    <cfRule type="expression" dxfId="122" priority="11" stopIfTrue="1">
      <formula>#REF!=2</formula>
    </cfRule>
  </conditionalFormatting>
  <conditionalFormatting sqref="A2:A169">
    <cfRule type="expression" dxfId="121" priority="7" stopIfTrue="1">
      <formula>#REF!="w"</formula>
    </cfRule>
  </conditionalFormatting>
  <conditionalFormatting sqref="A72:A169">
    <cfRule type="expression" dxfId="120" priority="8" stopIfTrue="1">
      <formula>#REF!=1</formula>
    </cfRule>
    <cfRule type="expression" dxfId="119" priority="9" stopIfTrue="1">
      <formula>#REF!=2</formula>
    </cfRule>
  </conditionalFormatting>
  <conditionalFormatting sqref="A171:A225">
    <cfRule type="expression" dxfId="118" priority="4" stopIfTrue="1">
      <formula>#REF!="w"</formula>
    </cfRule>
    <cfRule type="expression" dxfId="117" priority="5" stopIfTrue="1">
      <formula>#REF!=1</formula>
    </cfRule>
    <cfRule type="expression" dxfId="116" priority="6" stopIfTrue="1">
      <formula>#REF!=2</formula>
    </cfRule>
  </conditionalFormatting>
  <conditionalFormatting sqref="A227:A341">
    <cfRule type="expression" dxfId="115" priority="1" stopIfTrue="1">
      <formula>#REF!="w"</formula>
    </cfRule>
    <cfRule type="expression" dxfId="114" priority="2" stopIfTrue="1">
      <formula>#REF!=1</formula>
    </cfRule>
    <cfRule type="expression" dxfId="113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725F1-EBCF-48D2-8974-DDE4BF1751FB}">
  <dimension ref="A1:U341"/>
  <sheetViews>
    <sheetView workbookViewId="0">
      <selection activeCell="N345" sqref="N345"/>
    </sheetView>
  </sheetViews>
  <sheetFormatPr defaultColWidth="9.42578125" defaultRowHeight="15" customHeight="1"/>
  <cols>
    <col min="1" max="1" width="9.7109375" style="2" customWidth="1"/>
    <col min="2" max="3" width="11.5703125" style="2" customWidth="1"/>
    <col min="4" max="4" width="16.85546875" style="2" customWidth="1"/>
    <col min="5" max="5" width="12.85546875" style="2" customWidth="1"/>
    <col min="6" max="6" width="12.7109375" style="2" customWidth="1"/>
    <col min="7" max="12" width="15.7109375" style="2" customWidth="1"/>
    <col min="13" max="13" width="12.85546875" style="2" customWidth="1"/>
    <col min="14" max="14" width="18.7109375" style="2" customWidth="1"/>
    <col min="15" max="15" width="15.7109375" style="2" customWidth="1"/>
    <col min="16" max="16" width="16.85546875" style="2" customWidth="1"/>
    <col min="17" max="17" width="2" style="2" customWidth="1"/>
    <col min="18" max="18" width="12.42578125" style="2" customWidth="1"/>
    <col min="19" max="19" width="11.42578125" style="2" customWidth="1"/>
    <col min="20" max="20" width="16.42578125" style="2" customWidth="1"/>
    <col min="21" max="21" width="13" style="2" customWidth="1"/>
    <col min="22" max="16384" width="9.42578125" style="2"/>
  </cols>
  <sheetData>
    <row r="1" spans="1:21" ht="99.6" customHeight="1">
      <c r="A1" s="28" t="s">
        <v>0</v>
      </c>
      <c r="B1" s="32" t="s">
        <v>1</v>
      </c>
      <c r="C1" s="32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4" t="s">
        <v>8</v>
      </c>
      <c r="J1" s="34" t="s">
        <v>9</v>
      </c>
      <c r="K1" s="35" t="s">
        <v>10</v>
      </c>
      <c r="L1" s="35" t="s">
        <v>11</v>
      </c>
      <c r="M1" s="33" t="s">
        <v>12</v>
      </c>
      <c r="N1" s="33" t="s">
        <v>13</v>
      </c>
      <c r="O1" s="33" t="s">
        <v>14</v>
      </c>
      <c r="P1" s="36" t="s">
        <v>15</v>
      </c>
    </row>
    <row r="2" spans="1:21" ht="15" customHeight="1">
      <c r="A2" s="58">
        <v>91001</v>
      </c>
      <c r="B2" s="37"/>
      <c r="C2" s="37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59"/>
      <c r="R2" s="11"/>
      <c r="S2" s="12"/>
      <c r="T2" s="12"/>
      <c r="U2" s="13"/>
    </row>
    <row r="3" spans="1:21" ht="15" customHeight="1">
      <c r="A3" s="58">
        <v>91003</v>
      </c>
      <c r="B3" s="37"/>
      <c r="C3" s="37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59"/>
      <c r="R3" s="10" t="s">
        <v>21</v>
      </c>
      <c r="S3" s="3" t="s">
        <v>22</v>
      </c>
      <c r="T3" s="4" t="s">
        <v>23</v>
      </c>
      <c r="U3" s="5" t="s">
        <v>24</v>
      </c>
    </row>
    <row r="4" spans="1:21" ht="15" customHeight="1">
      <c r="A4" s="58">
        <v>91005</v>
      </c>
      <c r="B4" s="37"/>
      <c r="C4" s="37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59"/>
      <c r="R4" s="7">
        <v>85</v>
      </c>
      <c r="S4" s="8">
        <f>COUNTA(A:A)-1</f>
        <v>340</v>
      </c>
      <c r="T4" s="8">
        <f>COUNTA(O:O)-1</f>
        <v>1</v>
      </c>
      <c r="U4" s="9">
        <f>T4/S4</f>
        <v>2.9411764705882353E-3</v>
      </c>
    </row>
    <row r="5" spans="1:21" ht="15" customHeight="1">
      <c r="A5" s="58">
        <v>91007</v>
      </c>
      <c r="B5" s="37"/>
      <c r="C5" s="37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59"/>
    </row>
    <row r="6" spans="1:21" ht="15" customHeight="1">
      <c r="A6" s="58">
        <v>91009</v>
      </c>
      <c r="B6" s="37"/>
      <c r="C6" s="37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59"/>
    </row>
    <row r="7" spans="1:21" ht="15" customHeight="1">
      <c r="A7" s="58">
        <v>91011</v>
      </c>
      <c r="B7" s="39"/>
      <c r="C7" s="39"/>
      <c r="D7" s="38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60"/>
    </row>
    <row r="8" spans="1:21" ht="15" customHeight="1">
      <c r="A8" s="58">
        <v>91013</v>
      </c>
      <c r="B8" s="37"/>
      <c r="C8" s="37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59"/>
    </row>
    <row r="9" spans="1:21" ht="15" customHeight="1">
      <c r="A9" s="58">
        <v>91015</v>
      </c>
      <c r="B9" s="37"/>
      <c r="C9" s="37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59"/>
    </row>
    <row r="10" spans="1:21" ht="15" customHeight="1">
      <c r="A10" s="58">
        <v>91017</v>
      </c>
      <c r="B10" s="37"/>
      <c r="C10" s="37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59"/>
    </row>
    <row r="11" spans="1:21" ht="15" customHeight="1">
      <c r="A11" s="58">
        <v>91019</v>
      </c>
      <c r="B11" s="37"/>
      <c r="C11" s="37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59"/>
    </row>
    <row r="12" spans="1:21" ht="15" customHeight="1">
      <c r="A12" s="58">
        <v>91021</v>
      </c>
      <c r="B12" s="37"/>
      <c r="C12" s="37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59"/>
    </row>
    <row r="13" spans="1:21" ht="15" customHeight="1">
      <c r="A13" s="58">
        <v>91023</v>
      </c>
      <c r="B13" s="37"/>
      <c r="C13" s="37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59"/>
    </row>
    <row r="14" spans="1:21" ht="15" customHeight="1">
      <c r="A14" s="58">
        <v>91025</v>
      </c>
      <c r="B14" s="37"/>
      <c r="C14" s="37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59"/>
    </row>
    <row r="15" spans="1:21" ht="15" customHeight="1">
      <c r="A15" s="58">
        <v>91027</v>
      </c>
      <c r="B15" s="37"/>
      <c r="C15" s="37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59"/>
    </row>
    <row r="16" spans="1:21" ht="15" customHeight="1">
      <c r="A16" s="58">
        <v>91029</v>
      </c>
      <c r="B16" s="37"/>
      <c r="C16" s="37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59"/>
    </row>
    <row r="17" spans="1:16" ht="15" customHeight="1">
      <c r="A17" s="58">
        <v>91031</v>
      </c>
      <c r="B17" s="37"/>
      <c r="C17" s="37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59"/>
    </row>
    <row r="18" spans="1:16" ht="15" customHeight="1">
      <c r="A18" s="58">
        <v>91033</v>
      </c>
      <c r="B18" s="37"/>
      <c r="C18" s="37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59"/>
    </row>
    <row r="19" spans="1:16" ht="15" customHeight="1">
      <c r="A19" s="58">
        <v>91035</v>
      </c>
      <c r="B19" s="37"/>
      <c r="C19" s="37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59"/>
    </row>
    <row r="20" spans="1:16" ht="15" customHeight="1">
      <c r="A20" s="58">
        <v>91037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53"/>
      <c r="N20" s="54"/>
      <c r="O20" s="53"/>
      <c r="P20" s="59"/>
    </row>
    <row r="21" spans="1:16" ht="15" customHeight="1">
      <c r="A21" s="58">
        <v>91039</v>
      </c>
      <c r="B21" s="37"/>
      <c r="C21" s="37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59"/>
    </row>
    <row r="22" spans="1:16" ht="15" customHeight="1">
      <c r="A22" s="58">
        <v>91041</v>
      </c>
      <c r="B22" s="37"/>
      <c r="C22" s="37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59"/>
    </row>
    <row r="23" spans="1:16" ht="15" customHeight="1">
      <c r="A23" s="58">
        <v>91043</v>
      </c>
      <c r="B23" s="40"/>
      <c r="C23" s="40"/>
      <c r="D23" s="40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59"/>
    </row>
    <row r="24" spans="1:16" ht="15" customHeight="1">
      <c r="A24" s="58">
        <v>91045</v>
      </c>
      <c r="B24" s="37"/>
      <c r="C24" s="37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59"/>
    </row>
    <row r="25" spans="1:16" ht="15" customHeight="1">
      <c r="A25" s="58">
        <v>91047</v>
      </c>
      <c r="B25" s="37"/>
      <c r="C25" s="37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59"/>
    </row>
    <row r="26" spans="1:16" ht="15" customHeight="1">
      <c r="A26" s="58">
        <v>91049</v>
      </c>
      <c r="B26" s="37"/>
      <c r="C26" s="37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59"/>
    </row>
    <row r="27" spans="1:16" ht="15" customHeight="1">
      <c r="A27" s="58">
        <v>91051</v>
      </c>
      <c r="B27" s="37"/>
      <c r="C27" s="37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59"/>
    </row>
    <row r="28" spans="1:16" ht="15" customHeight="1">
      <c r="A28" s="58">
        <v>91053</v>
      </c>
      <c r="B28" s="37"/>
      <c r="C28" s="37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59"/>
    </row>
    <row r="29" spans="1:16" ht="15" customHeight="1">
      <c r="A29" s="58">
        <v>91055</v>
      </c>
      <c r="B29" s="37"/>
      <c r="C29" s="37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59"/>
    </row>
    <row r="30" spans="1:16" ht="15" customHeight="1">
      <c r="A30" s="58">
        <v>91057</v>
      </c>
      <c r="B30" s="37"/>
      <c r="C30" s="37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59"/>
    </row>
    <row r="31" spans="1:16" ht="15" customHeight="1">
      <c r="A31" s="58">
        <v>91059</v>
      </c>
      <c r="B31" s="37"/>
      <c r="C31" s="37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59"/>
    </row>
    <row r="32" spans="1:16" ht="15" customHeight="1">
      <c r="A32" s="58">
        <v>91061</v>
      </c>
      <c r="B32" s="37"/>
      <c r="C32" s="37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59"/>
    </row>
    <row r="33" spans="1:16" ht="15" customHeight="1">
      <c r="A33" s="58">
        <v>91063</v>
      </c>
      <c r="B33" s="37"/>
      <c r="C33" s="37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59"/>
    </row>
    <row r="34" spans="1:16" ht="15" customHeight="1">
      <c r="A34" s="58">
        <v>91065</v>
      </c>
      <c r="B34" s="37"/>
      <c r="C34" s="37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59"/>
    </row>
    <row r="35" spans="1:16" ht="15" customHeight="1">
      <c r="A35" s="58">
        <v>91067</v>
      </c>
      <c r="B35" s="37"/>
      <c r="C35" s="37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59"/>
    </row>
    <row r="36" spans="1:16" ht="15" customHeight="1">
      <c r="A36" s="58">
        <v>91069</v>
      </c>
      <c r="B36" s="37"/>
      <c r="C36" s="37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59"/>
    </row>
    <row r="37" spans="1:16" ht="15" customHeight="1">
      <c r="A37" s="58">
        <v>91071</v>
      </c>
      <c r="B37" s="37"/>
      <c r="C37" s="37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59"/>
    </row>
    <row r="38" spans="1:16" ht="15" customHeight="1">
      <c r="A38" s="58">
        <v>91073</v>
      </c>
      <c r="B38" s="37"/>
      <c r="C38" s="37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59"/>
    </row>
    <row r="39" spans="1:16" ht="15" customHeight="1">
      <c r="A39" s="58">
        <v>91075</v>
      </c>
      <c r="B39" s="37"/>
      <c r="C39" s="37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59"/>
    </row>
    <row r="40" spans="1:16" ht="15" customHeight="1">
      <c r="A40" s="58">
        <v>91077</v>
      </c>
      <c r="B40" s="37"/>
      <c r="C40" s="37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59"/>
    </row>
    <row r="41" spans="1:16" ht="15" customHeight="1">
      <c r="A41" s="58">
        <v>91079</v>
      </c>
      <c r="B41" s="40"/>
      <c r="C41" s="40"/>
      <c r="D41" s="40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59"/>
    </row>
    <row r="42" spans="1:16" ht="15" customHeight="1">
      <c r="A42" s="58">
        <v>91081</v>
      </c>
      <c r="B42" s="37"/>
      <c r="C42" s="37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59"/>
    </row>
    <row r="43" spans="1:16" ht="15" customHeight="1">
      <c r="A43" s="58">
        <v>91083</v>
      </c>
      <c r="B43" s="37"/>
      <c r="C43" s="37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59"/>
    </row>
    <row r="44" spans="1:16" ht="15" customHeight="1">
      <c r="A44" s="58">
        <v>91085</v>
      </c>
      <c r="B44" s="37"/>
      <c r="C44" s="37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59"/>
    </row>
    <row r="45" spans="1:16" ht="15" customHeight="1">
      <c r="A45" s="58">
        <v>91087</v>
      </c>
      <c r="B45" s="37"/>
      <c r="C45" s="37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59"/>
    </row>
    <row r="46" spans="1:16" ht="15" customHeight="1">
      <c r="A46" s="58">
        <v>91089</v>
      </c>
      <c r="B46" s="37"/>
      <c r="C46" s="37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59"/>
    </row>
    <row r="47" spans="1:16" ht="15" customHeight="1">
      <c r="A47" s="58">
        <v>91091</v>
      </c>
      <c r="B47" s="37"/>
      <c r="C47" s="37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59"/>
    </row>
    <row r="48" spans="1:16" ht="15" customHeight="1">
      <c r="A48" s="58">
        <v>91093</v>
      </c>
      <c r="B48" s="37"/>
      <c r="C48" s="37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59"/>
    </row>
    <row r="49" spans="1:16" ht="15" customHeight="1">
      <c r="A49" s="58">
        <v>91095</v>
      </c>
      <c r="B49" s="37"/>
      <c r="C49" s="37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59"/>
    </row>
    <row r="50" spans="1:16" ht="15" customHeight="1">
      <c r="A50" s="58">
        <v>91097</v>
      </c>
      <c r="B50" s="37"/>
      <c r="C50" s="37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59"/>
    </row>
    <row r="51" spans="1:16" ht="15" customHeight="1">
      <c r="A51" s="58">
        <v>91099</v>
      </c>
      <c r="B51" s="37"/>
      <c r="C51" s="37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59"/>
    </row>
    <row r="52" spans="1:16" ht="15" customHeight="1">
      <c r="A52" s="58">
        <v>91101</v>
      </c>
      <c r="B52" s="37"/>
      <c r="C52" s="37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59"/>
    </row>
    <row r="53" spans="1:16" ht="15" customHeight="1">
      <c r="A53" s="58">
        <v>91103</v>
      </c>
      <c r="B53" s="37"/>
      <c r="C53" s="37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59"/>
    </row>
    <row r="54" spans="1:16" ht="15" customHeight="1">
      <c r="A54" s="58">
        <v>91105</v>
      </c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53"/>
      <c r="N54" s="54"/>
      <c r="O54" s="37"/>
      <c r="P54" s="61"/>
    </row>
    <row r="55" spans="1:16" ht="15" customHeight="1">
      <c r="A55" s="58">
        <v>91107</v>
      </c>
      <c r="B55" s="37"/>
      <c r="C55" s="37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59"/>
    </row>
    <row r="56" spans="1:16" ht="15" customHeight="1">
      <c r="A56" s="58">
        <v>91109</v>
      </c>
      <c r="B56" s="37"/>
      <c r="C56" s="37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59"/>
    </row>
    <row r="57" spans="1:16" ht="15" customHeight="1">
      <c r="A57" s="58">
        <v>91111</v>
      </c>
      <c r="B57" s="37"/>
      <c r="C57" s="37"/>
      <c r="D57" s="37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59"/>
    </row>
    <row r="58" spans="1:16" ht="15" customHeight="1">
      <c r="A58" s="58">
        <v>91113</v>
      </c>
      <c r="B58" s="37"/>
      <c r="C58" s="37"/>
      <c r="D58" s="37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59"/>
    </row>
    <row r="59" spans="1:16" ht="15" customHeight="1">
      <c r="A59" s="58">
        <v>91115</v>
      </c>
      <c r="B59" s="37"/>
      <c r="C59" s="37"/>
      <c r="D59" s="37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59"/>
    </row>
    <row r="60" spans="1:16" ht="15" customHeight="1">
      <c r="A60" s="58">
        <v>91117</v>
      </c>
      <c r="B60" s="37"/>
      <c r="C60" s="37"/>
      <c r="D60" s="37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59"/>
    </row>
    <row r="61" spans="1:16" ht="15" customHeight="1">
      <c r="A61" s="58">
        <v>91119</v>
      </c>
      <c r="B61" s="37"/>
      <c r="C61" s="37"/>
      <c r="D61" s="37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59"/>
    </row>
    <row r="62" spans="1:16" ht="15" customHeight="1">
      <c r="A62" s="58">
        <v>91121</v>
      </c>
      <c r="B62" s="37"/>
      <c r="C62" s="37"/>
      <c r="D62" s="37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59"/>
    </row>
    <row r="63" spans="1:16" ht="15" customHeight="1">
      <c r="A63" s="58">
        <v>91123</v>
      </c>
      <c r="B63" s="37"/>
      <c r="C63" s="37"/>
      <c r="D63" s="37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59"/>
    </row>
    <row r="64" spans="1:16" ht="15" customHeight="1">
      <c r="A64" s="58">
        <v>91125</v>
      </c>
      <c r="B64" s="37"/>
      <c r="C64" s="37"/>
      <c r="D64" s="37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59"/>
    </row>
    <row r="65" spans="1:16" ht="15" customHeight="1">
      <c r="A65" s="58">
        <v>91127</v>
      </c>
      <c r="B65" s="37"/>
      <c r="C65" s="37"/>
      <c r="D65" s="37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59"/>
    </row>
    <row r="66" spans="1:16" ht="15" customHeight="1">
      <c r="A66" s="58">
        <v>91129</v>
      </c>
      <c r="B66" s="37"/>
      <c r="C66" s="37"/>
      <c r="D66" s="37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59"/>
    </row>
    <row r="67" spans="1:16" ht="15" customHeight="1">
      <c r="A67" s="58">
        <v>91131</v>
      </c>
      <c r="B67" s="37"/>
      <c r="C67" s="37"/>
      <c r="D67" s="37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59"/>
    </row>
    <row r="68" spans="1:16">
      <c r="A68" s="58">
        <v>91133</v>
      </c>
      <c r="B68" s="37"/>
      <c r="C68" s="37"/>
      <c r="D68" s="37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59"/>
    </row>
    <row r="69" spans="1:16">
      <c r="A69" s="58">
        <v>91135</v>
      </c>
      <c r="B69" s="37"/>
      <c r="C69" s="37"/>
      <c r="D69" s="37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59"/>
    </row>
    <row r="70" spans="1:16">
      <c r="A70" s="58">
        <v>91137</v>
      </c>
      <c r="B70" s="37"/>
      <c r="C70" s="37"/>
      <c r="D70" s="37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59"/>
    </row>
    <row r="71" spans="1:16">
      <c r="A71" s="58">
        <v>91139</v>
      </c>
      <c r="B71" s="37"/>
      <c r="C71" s="37"/>
      <c r="D71" s="37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59"/>
    </row>
    <row r="72" spans="1:16">
      <c r="A72" s="58">
        <v>91141</v>
      </c>
      <c r="B72" s="37"/>
      <c r="C72" s="37"/>
      <c r="D72" s="37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59"/>
    </row>
    <row r="73" spans="1:16">
      <c r="A73" s="58">
        <v>91143</v>
      </c>
      <c r="B73" s="37"/>
      <c r="C73" s="37"/>
      <c r="D73" s="37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59"/>
    </row>
    <row r="74" spans="1:16">
      <c r="A74" s="58">
        <v>91145</v>
      </c>
      <c r="B74" s="37"/>
      <c r="C74" s="37"/>
      <c r="D74" s="37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59"/>
    </row>
    <row r="75" spans="1:16">
      <c r="A75" s="58">
        <v>91147</v>
      </c>
      <c r="B75" s="37"/>
      <c r="C75" s="37"/>
      <c r="D75" s="37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59"/>
    </row>
    <row r="76" spans="1:16">
      <c r="A76" s="58">
        <v>91149</v>
      </c>
      <c r="B76" s="37"/>
      <c r="C76" s="37"/>
      <c r="D76" s="37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59"/>
    </row>
    <row r="77" spans="1:16">
      <c r="A77" s="58">
        <v>91151</v>
      </c>
      <c r="B77" s="37"/>
      <c r="C77" s="37"/>
      <c r="D77" s="37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59"/>
    </row>
    <row r="78" spans="1:16">
      <c r="A78" s="58">
        <v>91153</v>
      </c>
      <c r="B78" s="37"/>
      <c r="C78" s="37"/>
      <c r="D78" s="37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59"/>
    </row>
    <row r="79" spans="1:16">
      <c r="A79" s="58">
        <v>91155</v>
      </c>
      <c r="B79" s="37"/>
      <c r="C79" s="37"/>
      <c r="D79" s="37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59"/>
    </row>
    <row r="80" spans="1:16">
      <c r="A80" s="58">
        <v>91157</v>
      </c>
      <c r="B80" s="37"/>
      <c r="C80" s="37"/>
      <c r="D80" s="37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59"/>
    </row>
    <row r="81" spans="1:16">
      <c r="A81" s="58">
        <v>91159</v>
      </c>
      <c r="B81" s="37"/>
      <c r="C81" s="37"/>
      <c r="D81" s="37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59"/>
    </row>
    <row r="82" spans="1:16">
      <c r="A82" s="58">
        <v>91161</v>
      </c>
      <c r="B82" s="37"/>
      <c r="C82" s="37"/>
      <c r="D82" s="37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59"/>
    </row>
    <row r="83" spans="1:16">
      <c r="A83" s="58">
        <v>91163</v>
      </c>
      <c r="B83" s="37"/>
      <c r="C83" s="37"/>
      <c r="D83" s="37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59"/>
    </row>
    <row r="84" spans="1:16">
      <c r="A84" s="58">
        <v>91165</v>
      </c>
      <c r="B84" s="37"/>
      <c r="C84" s="37"/>
      <c r="D84" s="37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59"/>
    </row>
    <row r="85" spans="1:16">
      <c r="A85" s="58">
        <v>91167</v>
      </c>
      <c r="B85" s="37"/>
      <c r="C85" s="37"/>
      <c r="D85" s="37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59"/>
    </row>
    <row r="86" spans="1:16">
      <c r="A86" s="58">
        <v>91169</v>
      </c>
      <c r="B86" s="37"/>
      <c r="C86" s="37"/>
      <c r="D86" s="37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59"/>
    </row>
    <row r="87" spans="1:16">
      <c r="A87" s="58">
        <v>91171</v>
      </c>
      <c r="B87" s="37"/>
      <c r="C87" s="37"/>
      <c r="D87" s="37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59"/>
    </row>
    <row r="88" spans="1:16">
      <c r="A88" s="58">
        <v>91173</v>
      </c>
      <c r="B88" s="37"/>
      <c r="C88" s="37"/>
      <c r="D88" s="37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59"/>
    </row>
    <row r="89" spans="1:16">
      <c r="A89" s="58">
        <v>91175</v>
      </c>
      <c r="B89" s="37"/>
      <c r="C89" s="37"/>
      <c r="D89" s="37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59"/>
    </row>
    <row r="90" spans="1:16">
      <c r="A90" s="58">
        <v>91177</v>
      </c>
      <c r="B90" s="37"/>
      <c r="C90" s="37"/>
      <c r="D90" s="37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59"/>
    </row>
    <row r="91" spans="1:16">
      <c r="A91" s="58">
        <v>91179</v>
      </c>
      <c r="B91" s="37"/>
      <c r="C91" s="37"/>
      <c r="D91" s="37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59"/>
    </row>
    <row r="92" spans="1:16">
      <c r="A92" s="58" t="s">
        <v>38</v>
      </c>
      <c r="B92" s="37"/>
      <c r="C92" s="37"/>
      <c r="D92" s="37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59"/>
    </row>
    <row r="93" spans="1:16">
      <c r="A93" s="58" t="s">
        <v>40</v>
      </c>
      <c r="B93" s="37"/>
      <c r="C93" s="37"/>
      <c r="D93" s="37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59"/>
    </row>
    <row r="94" spans="1:16">
      <c r="A94" s="58" t="s">
        <v>41</v>
      </c>
      <c r="B94" s="37"/>
      <c r="C94" s="37"/>
      <c r="D94" s="37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59"/>
    </row>
    <row r="95" spans="1:16">
      <c r="A95" s="58" t="s">
        <v>42</v>
      </c>
      <c r="B95" s="37"/>
      <c r="C95" s="37"/>
      <c r="D95" s="37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59"/>
    </row>
    <row r="96" spans="1:16">
      <c r="A96" s="58" t="s">
        <v>43</v>
      </c>
      <c r="B96" s="37"/>
      <c r="C96" s="37"/>
      <c r="D96" s="37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59"/>
    </row>
    <row r="97" spans="1:16">
      <c r="A97" s="58" t="s">
        <v>44</v>
      </c>
      <c r="B97" s="37"/>
      <c r="C97" s="37"/>
      <c r="D97" s="37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59"/>
    </row>
    <row r="98" spans="1:16">
      <c r="A98" s="58" t="s">
        <v>45</v>
      </c>
      <c r="B98" s="37"/>
      <c r="C98" s="37"/>
      <c r="D98" s="37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59"/>
    </row>
    <row r="99" spans="1:16">
      <c r="A99" s="58" t="s">
        <v>46</v>
      </c>
      <c r="B99" s="37"/>
      <c r="C99" s="37"/>
      <c r="D99" s="37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59"/>
    </row>
    <row r="100" spans="1:16">
      <c r="A100" s="58" t="s">
        <v>47</v>
      </c>
      <c r="B100" s="37"/>
      <c r="C100" s="37"/>
      <c r="D100" s="37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59"/>
    </row>
    <row r="101" spans="1:16">
      <c r="A101" s="58" t="s">
        <v>48</v>
      </c>
      <c r="B101" s="37"/>
      <c r="C101" s="37"/>
      <c r="D101" s="37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59"/>
    </row>
    <row r="102" spans="1:16">
      <c r="A102" s="58" t="s">
        <v>50</v>
      </c>
      <c r="B102" s="37"/>
      <c r="C102" s="37"/>
      <c r="D102" s="37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59"/>
    </row>
    <row r="103" spans="1:16">
      <c r="A103" s="58" t="s">
        <v>51</v>
      </c>
      <c r="B103" s="37"/>
      <c r="C103" s="37"/>
      <c r="D103" s="37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59"/>
    </row>
    <row r="104" spans="1:16">
      <c r="A104" s="58" t="s">
        <v>52</v>
      </c>
      <c r="B104" s="37"/>
      <c r="C104" s="37"/>
      <c r="D104" s="37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59"/>
    </row>
    <row r="105" spans="1:16">
      <c r="A105" s="58" t="s">
        <v>54</v>
      </c>
      <c r="B105" s="37"/>
      <c r="C105" s="37"/>
      <c r="D105" s="37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59"/>
    </row>
    <row r="106" spans="1:16">
      <c r="A106" s="58">
        <v>91209</v>
      </c>
      <c r="B106" s="37"/>
      <c r="C106" s="37"/>
      <c r="D106" s="37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59"/>
    </row>
    <row r="107" spans="1:16">
      <c r="A107" s="58" t="s">
        <v>55</v>
      </c>
      <c r="B107" s="37"/>
      <c r="C107" s="37"/>
      <c r="D107" s="37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59"/>
    </row>
    <row r="108" spans="1:16">
      <c r="A108" s="58" t="s">
        <v>56</v>
      </c>
      <c r="B108" s="37"/>
      <c r="C108" s="37"/>
      <c r="D108" s="37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59"/>
    </row>
    <row r="109" spans="1:16">
      <c r="A109" s="58" t="s">
        <v>57</v>
      </c>
      <c r="B109" s="37"/>
      <c r="C109" s="37"/>
      <c r="D109" s="37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59"/>
    </row>
    <row r="110" spans="1:16">
      <c r="A110" s="58" t="s">
        <v>58</v>
      </c>
      <c r="B110" s="37"/>
      <c r="C110" s="37"/>
      <c r="D110" s="37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59"/>
    </row>
    <row r="111" spans="1:16">
      <c r="A111" s="58" t="s">
        <v>59</v>
      </c>
      <c r="B111" s="37"/>
      <c r="C111" s="37"/>
      <c r="D111" s="37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59"/>
    </row>
    <row r="112" spans="1:16">
      <c r="A112" s="58" t="s">
        <v>60</v>
      </c>
      <c r="B112" s="37"/>
      <c r="C112" s="37"/>
      <c r="D112" s="37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59"/>
    </row>
    <row r="113" spans="1:16">
      <c r="A113" s="58" t="s">
        <v>61</v>
      </c>
      <c r="B113" s="37"/>
      <c r="C113" s="37"/>
      <c r="D113" s="37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59"/>
    </row>
    <row r="114" spans="1:16">
      <c r="A114" s="58" t="s">
        <v>62</v>
      </c>
      <c r="B114" s="37"/>
      <c r="C114" s="37"/>
      <c r="D114" s="37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59"/>
    </row>
    <row r="115" spans="1:16">
      <c r="A115" s="58" t="s">
        <v>64</v>
      </c>
      <c r="B115" s="37"/>
      <c r="C115" s="37"/>
      <c r="D115" s="37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59"/>
    </row>
    <row r="116" spans="1:16">
      <c r="A116" s="58" t="s">
        <v>65</v>
      </c>
      <c r="B116" s="37"/>
      <c r="C116" s="37"/>
      <c r="D116" s="37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59"/>
    </row>
    <row r="117" spans="1:16">
      <c r="A117" s="58" t="s">
        <v>66</v>
      </c>
      <c r="B117" s="37"/>
      <c r="C117" s="37"/>
      <c r="D117" s="37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59"/>
    </row>
    <row r="118" spans="1:16">
      <c r="A118" s="58" t="s">
        <v>67</v>
      </c>
      <c r="B118" s="37"/>
      <c r="C118" s="37"/>
      <c r="D118" s="37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59"/>
    </row>
    <row r="119" spans="1:16">
      <c r="A119" s="58" t="s">
        <v>69</v>
      </c>
      <c r="B119" s="37"/>
      <c r="C119" s="37"/>
      <c r="D119" s="37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59"/>
    </row>
    <row r="120" spans="1:16">
      <c r="A120" s="58" t="s">
        <v>70</v>
      </c>
      <c r="B120" s="37"/>
      <c r="C120" s="37"/>
      <c r="D120" s="37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59"/>
    </row>
    <row r="121" spans="1:16">
      <c r="A121" s="58" t="s">
        <v>71</v>
      </c>
      <c r="B121" s="37"/>
      <c r="C121" s="37"/>
      <c r="D121" s="37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59"/>
    </row>
    <row r="122" spans="1:16">
      <c r="A122" s="58" t="s">
        <v>72</v>
      </c>
      <c r="B122" s="37"/>
      <c r="C122" s="37"/>
      <c r="D122" s="37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59"/>
    </row>
    <row r="123" spans="1:16">
      <c r="A123" s="58" t="s">
        <v>73</v>
      </c>
      <c r="B123" s="37"/>
      <c r="C123" s="37"/>
      <c r="D123" s="37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59"/>
    </row>
    <row r="124" spans="1:16">
      <c r="A124" s="58" t="s">
        <v>74</v>
      </c>
      <c r="B124" s="37"/>
      <c r="C124" s="37"/>
      <c r="D124" s="37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59"/>
    </row>
    <row r="125" spans="1:16">
      <c r="A125" s="58" t="s">
        <v>75</v>
      </c>
      <c r="B125" s="37"/>
      <c r="C125" s="37"/>
      <c r="D125" s="37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59"/>
    </row>
    <row r="126" spans="1:16">
      <c r="A126" s="58" t="s">
        <v>76</v>
      </c>
      <c r="B126" s="37"/>
      <c r="C126" s="37"/>
      <c r="D126" s="37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59"/>
    </row>
    <row r="127" spans="1:16">
      <c r="A127" s="58" t="s">
        <v>77</v>
      </c>
      <c r="B127" s="37"/>
      <c r="C127" s="37"/>
      <c r="D127" s="37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59"/>
    </row>
    <row r="128" spans="1:16">
      <c r="A128" s="58" t="s">
        <v>78</v>
      </c>
      <c r="B128" s="37"/>
      <c r="C128" s="37"/>
      <c r="D128" s="37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59"/>
    </row>
    <row r="129" spans="1:16">
      <c r="A129" s="58">
        <v>91255</v>
      </c>
      <c r="B129" s="55">
        <v>45848</v>
      </c>
      <c r="C129" s="55"/>
      <c r="D129" s="37">
        <v>2</v>
      </c>
      <c r="E129" s="53">
        <v>120</v>
      </c>
      <c r="F129" s="53">
        <v>120</v>
      </c>
      <c r="G129" s="53">
        <v>0</v>
      </c>
      <c r="H129" s="53">
        <v>0</v>
      </c>
      <c r="I129" s="53"/>
      <c r="J129" s="53"/>
      <c r="K129" s="53"/>
      <c r="L129" s="53"/>
      <c r="M129" s="53" t="s">
        <v>17</v>
      </c>
      <c r="N129" s="54" t="s">
        <v>25</v>
      </c>
      <c r="O129" s="56">
        <v>45848</v>
      </c>
      <c r="P129" s="59"/>
    </row>
    <row r="130" spans="1:16">
      <c r="A130" s="58" t="s">
        <v>80</v>
      </c>
      <c r="B130" s="37"/>
      <c r="C130" s="37"/>
      <c r="D130" s="37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59"/>
    </row>
    <row r="131" spans="1:16">
      <c r="A131" s="58" t="s">
        <v>81</v>
      </c>
      <c r="B131" s="37"/>
      <c r="C131" s="37"/>
      <c r="D131" s="37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59"/>
    </row>
    <row r="132" spans="1:16">
      <c r="A132" s="58" t="s">
        <v>82</v>
      </c>
      <c r="B132" s="37"/>
      <c r="C132" s="37"/>
      <c r="D132" s="37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59"/>
    </row>
    <row r="133" spans="1:16">
      <c r="A133" s="58" t="s">
        <v>83</v>
      </c>
      <c r="B133" s="37"/>
      <c r="C133" s="37"/>
      <c r="D133" s="37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59"/>
    </row>
    <row r="134" spans="1:16">
      <c r="A134" s="58" t="s">
        <v>84</v>
      </c>
      <c r="B134" s="37"/>
      <c r="C134" s="37"/>
      <c r="D134" s="37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59"/>
    </row>
    <row r="135" spans="1:16">
      <c r="A135" s="58" t="s">
        <v>85</v>
      </c>
      <c r="B135" s="37"/>
      <c r="C135" s="37"/>
      <c r="D135" s="37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59"/>
    </row>
    <row r="136" spans="1:16">
      <c r="A136" s="58" t="s">
        <v>86</v>
      </c>
      <c r="B136" s="37"/>
      <c r="C136" s="37"/>
      <c r="D136" s="37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59"/>
    </row>
    <row r="137" spans="1:16">
      <c r="A137" s="58" t="s">
        <v>87</v>
      </c>
      <c r="B137" s="37"/>
      <c r="C137" s="37"/>
      <c r="D137" s="37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59"/>
    </row>
    <row r="138" spans="1:16">
      <c r="A138" s="58">
        <v>91273</v>
      </c>
      <c r="B138" s="37"/>
      <c r="C138" s="37"/>
      <c r="D138" s="37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59"/>
    </row>
    <row r="139" spans="1:16">
      <c r="A139" s="58" t="s">
        <v>88</v>
      </c>
      <c r="B139" s="37"/>
      <c r="C139" s="37"/>
      <c r="D139" s="37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59"/>
    </row>
    <row r="140" spans="1:16">
      <c r="A140" s="58" t="s">
        <v>89</v>
      </c>
      <c r="B140" s="37"/>
      <c r="C140" s="37"/>
      <c r="D140" s="37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59"/>
    </row>
    <row r="141" spans="1:16">
      <c r="A141" s="58">
        <v>91279</v>
      </c>
      <c r="B141" s="37"/>
      <c r="C141" s="37"/>
      <c r="D141" s="37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59"/>
    </row>
    <row r="142" spans="1:16">
      <c r="A142" s="58" t="s">
        <v>90</v>
      </c>
      <c r="B142" s="37"/>
      <c r="C142" s="37"/>
      <c r="D142" s="37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59"/>
    </row>
    <row r="143" spans="1:16">
      <c r="A143" s="58" t="s">
        <v>92</v>
      </c>
      <c r="B143" s="37"/>
      <c r="C143" s="37"/>
      <c r="D143" s="37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59"/>
    </row>
    <row r="144" spans="1:16">
      <c r="A144" s="58" t="s">
        <v>93</v>
      </c>
      <c r="B144" s="37"/>
      <c r="C144" s="37"/>
      <c r="D144" s="37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59"/>
    </row>
    <row r="145" spans="1:16">
      <c r="A145" s="58" t="s">
        <v>95</v>
      </c>
      <c r="B145" s="37"/>
      <c r="C145" s="37"/>
      <c r="D145" s="37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59"/>
    </row>
    <row r="146" spans="1:16">
      <c r="A146" s="58" t="s">
        <v>96</v>
      </c>
      <c r="B146" s="37"/>
      <c r="C146" s="37"/>
      <c r="D146" s="37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59"/>
    </row>
    <row r="147" spans="1:16">
      <c r="A147" s="58" t="s">
        <v>97</v>
      </c>
      <c r="B147" s="37"/>
      <c r="C147" s="37"/>
      <c r="D147" s="37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59"/>
    </row>
    <row r="148" spans="1:16">
      <c r="A148" s="58" t="s">
        <v>98</v>
      </c>
      <c r="B148" s="37"/>
      <c r="C148" s="37"/>
      <c r="D148" s="37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59"/>
    </row>
    <row r="149" spans="1:16">
      <c r="A149" s="58" t="s">
        <v>99</v>
      </c>
      <c r="B149" s="37"/>
      <c r="C149" s="37"/>
      <c r="D149" s="37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59"/>
    </row>
    <row r="150" spans="1:16">
      <c r="A150" s="58" t="s">
        <v>100</v>
      </c>
      <c r="B150" s="37"/>
      <c r="C150" s="37"/>
      <c r="D150" s="37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59"/>
    </row>
    <row r="151" spans="1:16">
      <c r="A151" s="58" t="s">
        <v>101</v>
      </c>
      <c r="B151" s="37"/>
      <c r="C151" s="37"/>
      <c r="D151" s="37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59"/>
    </row>
    <row r="152" spans="1:16">
      <c r="A152" s="58">
        <v>91301</v>
      </c>
      <c r="B152" s="37"/>
      <c r="C152" s="37"/>
      <c r="D152" s="37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59"/>
    </row>
    <row r="153" spans="1:16">
      <c r="A153" s="58">
        <v>91303</v>
      </c>
      <c r="B153" s="37"/>
      <c r="C153" s="37"/>
      <c r="D153" s="37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59"/>
    </row>
    <row r="154" spans="1:16">
      <c r="A154" s="58" t="s">
        <v>103</v>
      </c>
      <c r="B154" s="37"/>
      <c r="C154" s="37"/>
      <c r="D154" s="37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59"/>
    </row>
    <row r="155" spans="1:16">
      <c r="A155" s="58" t="s">
        <v>104</v>
      </c>
      <c r="B155" s="37"/>
      <c r="C155" s="37"/>
      <c r="D155" s="37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59"/>
    </row>
    <row r="156" spans="1:16">
      <c r="A156" s="58" t="s">
        <v>105</v>
      </c>
      <c r="B156" s="37"/>
      <c r="C156" s="37"/>
      <c r="D156" s="37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59"/>
    </row>
    <row r="157" spans="1:16">
      <c r="A157" s="58" t="s">
        <v>107</v>
      </c>
      <c r="B157" s="37"/>
      <c r="C157" s="37"/>
      <c r="D157" s="37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59"/>
    </row>
    <row r="158" spans="1:16">
      <c r="A158" s="58" t="s">
        <v>108</v>
      </c>
      <c r="B158" s="37"/>
      <c r="C158" s="37"/>
      <c r="D158" s="37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59"/>
    </row>
    <row r="159" spans="1:16">
      <c r="A159" s="58" t="s">
        <v>109</v>
      </c>
      <c r="B159" s="37"/>
      <c r="C159" s="37"/>
      <c r="D159" s="37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59"/>
    </row>
    <row r="160" spans="1:16">
      <c r="A160" s="58" t="s">
        <v>110</v>
      </c>
      <c r="B160" s="37"/>
      <c r="C160" s="37"/>
      <c r="D160" s="37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59"/>
    </row>
    <row r="161" spans="1:16">
      <c r="A161" s="58" t="s">
        <v>112</v>
      </c>
      <c r="B161" s="37"/>
      <c r="C161" s="37"/>
      <c r="D161" s="37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59"/>
    </row>
    <row r="162" spans="1:16">
      <c r="A162" s="58" t="s">
        <v>113</v>
      </c>
      <c r="B162" s="37"/>
      <c r="C162" s="37"/>
      <c r="D162" s="37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59"/>
    </row>
    <row r="163" spans="1:16">
      <c r="A163" s="58" t="s">
        <v>114</v>
      </c>
      <c r="B163" s="37"/>
      <c r="C163" s="37"/>
      <c r="D163" s="37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59"/>
    </row>
    <row r="164" spans="1:16">
      <c r="A164" s="58" t="s">
        <v>115</v>
      </c>
      <c r="B164" s="37"/>
      <c r="C164" s="37"/>
      <c r="D164" s="37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59"/>
    </row>
    <row r="165" spans="1:16">
      <c r="A165" s="58" t="s">
        <v>116</v>
      </c>
      <c r="B165" s="37"/>
      <c r="C165" s="37"/>
      <c r="D165" s="37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59"/>
    </row>
    <row r="166" spans="1:16">
      <c r="A166" s="58">
        <v>91329</v>
      </c>
      <c r="B166" s="37"/>
      <c r="C166" s="37"/>
      <c r="D166" s="37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59"/>
    </row>
    <row r="167" spans="1:16">
      <c r="A167" s="58" t="s">
        <v>117</v>
      </c>
      <c r="B167" s="37"/>
      <c r="C167" s="37"/>
      <c r="D167" s="37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59"/>
    </row>
    <row r="168" spans="1:16">
      <c r="A168" s="58" t="s">
        <v>118</v>
      </c>
      <c r="B168" s="37"/>
      <c r="C168" s="37"/>
      <c r="D168" s="37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59"/>
    </row>
    <row r="169" spans="1:16">
      <c r="A169" s="58" t="s">
        <v>120</v>
      </c>
      <c r="B169" s="37"/>
      <c r="C169" s="37"/>
      <c r="D169" s="37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59"/>
    </row>
    <row r="170" spans="1:16">
      <c r="A170" s="62">
        <v>91337</v>
      </c>
      <c r="B170" s="37"/>
      <c r="C170" s="37"/>
      <c r="D170" s="37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59"/>
    </row>
    <row r="171" spans="1:16">
      <c r="A171" s="58" t="s">
        <v>121</v>
      </c>
      <c r="B171" s="37"/>
      <c r="C171" s="37"/>
      <c r="D171" s="37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59"/>
    </row>
    <row r="172" spans="1:16">
      <c r="A172" s="58">
        <v>91341</v>
      </c>
      <c r="B172" s="37"/>
      <c r="C172" s="37"/>
      <c r="D172" s="37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59"/>
    </row>
    <row r="173" spans="1:16">
      <c r="A173" s="58">
        <v>91343</v>
      </c>
      <c r="B173" s="37"/>
      <c r="C173" s="37"/>
      <c r="D173" s="37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59"/>
    </row>
    <row r="174" spans="1:16">
      <c r="A174" s="58">
        <v>91345</v>
      </c>
      <c r="B174" s="37"/>
      <c r="C174" s="37"/>
      <c r="D174" s="37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59"/>
    </row>
    <row r="175" spans="1:16">
      <c r="A175" s="58">
        <v>91347</v>
      </c>
      <c r="B175" s="37"/>
      <c r="C175" s="37"/>
      <c r="D175" s="37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59"/>
    </row>
    <row r="176" spans="1:16">
      <c r="A176" s="58">
        <v>91349</v>
      </c>
      <c r="B176" s="37"/>
      <c r="C176" s="37"/>
      <c r="D176" s="37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59"/>
    </row>
    <row r="177" spans="1:16">
      <c r="A177" s="58">
        <v>93002</v>
      </c>
      <c r="B177" s="37"/>
      <c r="C177" s="37"/>
      <c r="D177" s="37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59"/>
    </row>
    <row r="178" spans="1:16">
      <c r="A178" s="58">
        <v>93004</v>
      </c>
      <c r="B178" s="37"/>
      <c r="C178" s="37"/>
      <c r="D178" s="37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59"/>
    </row>
    <row r="179" spans="1:16">
      <c r="A179" s="58">
        <v>93006</v>
      </c>
      <c r="B179" s="37"/>
      <c r="C179" s="37"/>
      <c r="D179" s="37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59"/>
    </row>
    <row r="180" spans="1:16">
      <c r="A180" s="58">
        <v>93008</v>
      </c>
      <c r="B180" s="37"/>
      <c r="C180" s="37"/>
      <c r="D180" s="37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59"/>
    </row>
    <row r="181" spans="1:16">
      <c r="A181" s="58">
        <v>93010</v>
      </c>
      <c r="B181" s="37"/>
      <c r="C181" s="37"/>
      <c r="D181" s="37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59"/>
    </row>
    <row r="182" spans="1:16">
      <c r="A182" s="58">
        <v>93012</v>
      </c>
      <c r="B182" s="37"/>
      <c r="C182" s="37"/>
      <c r="D182" s="37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59"/>
    </row>
    <row r="183" spans="1:16">
      <c r="A183" s="58">
        <v>93014</v>
      </c>
      <c r="B183" s="37"/>
      <c r="C183" s="37"/>
      <c r="D183" s="37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59"/>
    </row>
    <row r="184" spans="1:16">
      <c r="A184" s="58">
        <v>93016</v>
      </c>
      <c r="B184" s="37"/>
      <c r="C184" s="37"/>
      <c r="D184" s="37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59"/>
    </row>
    <row r="185" spans="1:16">
      <c r="A185" s="58">
        <v>93018</v>
      </c>
      <c r="B185" s="37"/>
      <c r="C185" s="37"/>
      <c r="D185" s="37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59"/>
    </row>
    <row r="186" spans="1:16">
      <c r="A186" s="58">
        <v>93020</v>
      </c>
      <c r="B186" s="37"/>
      <c r="C186" s="37"/>
      <c r="D186" s="37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59"/>
    </row>
    <row r="187" spans="1:16">
      <c r="A187" s="58">
        <v>93022</v>
      </c>
      <c r="B187" s="37"/>
      <c r="C187" s="37"/>
      <c r="D187" s="37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59"/>
    </row>
    <row r="188" spans="1:16">
      <c r="A188" s="58">
        <v>93024</v>
      </c>
      <c r="B188" s="37"/>
      <c r="C188" s="37"/>
      <c r="D188" s="37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59"/>
    </row>
    <row r="189" spans="1:16">
      <c r="A189" s="58">
        <v>93026</v>
      </c>
      <c r="B189" s="37"/>
      <c r="C189" s="37"/>
      <c r="D189" s="37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59"/>
    </row>
    <row r="190" spans="1:16">
      <c r="A190" s="58">
        <v>93028</v>
      </c>
      <c r="B190" s="37"/>
      <c r="C190" s="37"/>
      <c r="D190" s="37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59"/>
    </row>
    <row r="191" spans="1:16">
      <c r="A191" s="58">
        <v>93030</v>
      </c>
      <c r="B191" s="37"/>
      <c r="C191" s="37"/>
      <c r="D191" s="37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59"/>
    </row>
    <row r="192" spans="1:16">
      <c r="A192" s="58">
        <v>93032</v>
      </c>
      <c r="B192" s="37"/>
      <c r="C192" s="37"/>
      <c r="D192" s="37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59"/>
    </row>
    <row r="193" spans="1:16">
      <c r="A193" s="58">
        <v>93034</v>
      </c>
      <c r="B193" s="37"/>
      <c r="C193" s="37"/>
      <c r="D193" s="37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59"/>
    </row>
    <row r="194" spans="1:16">
      <c r="A194" s="58">
        <v>93036</v>
      </c>
      <c r="B194" s="37"/>
      <c r="C194" s="37"/>
      <c r="D194" s="37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59"/>
    </row>
    <row r="195" spans="1:16">
      <c r="A195" s="58">
        <v>93038</v>
      </c>
      <c r="B195" s="37"/>
      <c r="C195" s="37"/>
      <c r="D195" s="37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59"/>
    </row>
    <row r="196" spans="1:16">
      <c r="A196" s="58">
        <v>93040</v>
      </c>
      <c r="B196" s="37"/>
      <c r="C196" s="37"/>
      <c r="D196" s="37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59"/>
    </row>
    <row r="197" spans="1:16">
      <c r="A197" s="58">
        <v>93042</v>
      </c>
      <c r="B197" s="37"/>
      <c r="C197" s="37"/>
      <c r="D197" s="37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59"/>
    </row>
    <row r="198" spans="1:16">
      <c r="A198" s="58">
        <v>93044</v>
      </c>
      <c r="B198" s="37"/>
      <c r="C198" s="37"/>
      <c r="D198" s="37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59"/>
    </row>
    <row r="199" spans="1:16">
      <c r="A199" s="58">
        <v>93046</v>
      </c>
      <c r="B199" s="37"/>
      <c r="C199" s="37"/>
      <c r="D199" s="37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59"/>
    </row>
    <row r="200" spans="1:16">
      <c r="A200" s="58">
        <v>93048</v>
      </c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53"/>
      <c r="N200" s="54"/>
      <c r="O200" s="37"/>
      <c r="P200" s="61"/>
    </row>
    <row r="201" spans="1:16">
      <c r="A201" s="58">
        <v>93050</v>
      </c>
      <c r="B201" s="37"/>
      <c r="C201" s="37"/>
      <c r="D201" s="40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59"/>
    </row>
    <row r="202" spans="1:16">
      <c r="A202" s="58">
        <v>93052</v>
      </c>
      <c r="B202" s="37"/>
      <c r="C202" s="37"/>
      <c r="D202" s="37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59"/>
    </row>
    <row r="203" spans="1:16">
      <c r="A203" s="58">
        <v>93054</v>
      </c>
      <c r="B203" s="37"/>
      <c r="C203" s="37"/>
      <c r="D203" s="37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59"/>
    </row>
    <row r="204" spans="1:16">
      <c r="A204" s="58">
        <v>93056</v>
      </c>
      <c r="B204" s="37"/>
      <c r="C204" s="37"/>
      <c r="D204" s="37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59"/>
    </row>
    <row r="205" spans="1:16">
      <c r="A205" s="58">
        <v>93058</v>
      </c>
      <c r="B205" s="37"/>
      <c r="C205" s="37"/>
      <c r="D205" s="37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59"/>
    </row>
    <row r="206" spans="1:16">
      <c r="A206" s="58">
        <v>93060</v>
      </c>
      <c r="B206" s="37"/>
      <c r="C206" s="37"/>
      <c r="D206" s="37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59"/>
    </row>
    <row r="207" spans="1:16">
      <c r="A207" s="58">
        <v>93062</v>
      </c>
      <c r="B207" s="37"/>
      <c r="C207" s="37"/>
      <c r="D207" s="37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59"/>
    </row>
    <row r="208" spans="1:16">
      <c r="A208" s="58">
        <v>93064</v>
      </c>
      <c r="B208" s="37"/>
      <c r="C208" s="37"/>
      <c r="D208" s="37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59"/>
    </row>
    <row r="209" spans="1:16">
      <c r="A209" s="58">
        <v>93066</v>
      </c>
      <c r="B209" s="37"/>
      <c r="C209" s="37"/>
      <c r="D209" s="37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59"/>
    </row>
    <row r="210" spans="1:16">
      <c r="A210" s="58">
        <v>93068</v>
      </c>
      <c r="B210" s="37"/>
      <c r="C210" s="37"/>
      <c r="D210" s="37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59"/>
    </row>
    <row r="211" spans="1:16">
      <c r="A211" s="58">
        <v>93070</v>
      </c>
      <c r="B211" s="37"/>
      <c r="C211" s="37"/>
      <c r="D211" s="37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59"/>
    </row>
    <row r="212" spans="1:16">
      <c r="A212" s="58">
        <v>93072</v>
      </c>
      <c r="B212" s="37"/>
      <c r="C212" s="37"/>
      <c r="D212" s="37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59"/>
    </row>
    <row r="213" spans="1:16">
      <c r="A213" s="58">
        <v>93074</v>
      </c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53"/>
      <c r="N213" s="54"/>
      <c r="O213" s="53"/>
      <c r="P213" s="59"/>
    </row>
    <row r="214" spans="1:16">
      <c r="A214" s="58">
        <v>93076</v>
      </c>
      <c r="B214" s="37"/>
      <c r="C214" s="37"/>
      <c r="D214" s="37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59"/>
    </row>
    <row r="215" spans="1:16">
      <c r="A215" s="58">
        <v>93078</v>
      </c>
      <c r="B215" s="37"/>
      <c r="C215" s="37"/>
      <c r="D215" s="37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59"/>
    </row>
    <row r="216" spans="1:16">
      <c r="A216" s="58">
        <v>93080</v>
      </c>
      <c r="B216" s="37"/>
      <c r="C216" s="37"/>
      <c r="D216" s="37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59"/>
    </row>
    <row r="217" spans="1:16">
      <c r="A217" s="58">
        <v>93082</v>
      </c>
      <c r="B217" s="37"/>
      <c r="C217" s="37"/>
      <c r="D217" s="37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59"/>
    </row>
    <row r="218" spans="1:16">
      <c r="A218" s="58">
        <v>93084</v>
      </c>
      <c r="B218" s="37"/>
      <c r="C218" s="37"/>
      <c r="D218" s="37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59"/>
    </row>
    <row r="219" spans="1:16">
      <c r="A219" s="58">
        <v>93086</v>
      </c>
      <c r="B219" s="37"/>
      <c r="C219" s="37"/>
      <c r="D219" s="37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59"/>
    </row>
    <row r="220" spans="1:16">
      <c r="A220" s="58">
        <v>93088</v>
      </c>
      <c r="B220" s="37"/>
      <c r="C220" s="37"/>
      <c r="D220" s="37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59"/>
    </row>
    <row r="221" spans="1:16">
      <c r="A221" s="58">
        <v>93090</v>
      </c>
      <c r="B221" s="37"/>
      <c r="C221" s="37"/>
      <c r="D221" s="37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59"/>
    </row>
    <row r="222" spans="1:16">
      <c r="A222" s="58">
        <v>93092</v>
      </c>
      <c r="B222" s="37"/>
      <c r="C222" s="37"/>
      <c r="D222" s="37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59"/>
    </row>
    <row r="223" spans="1:16">
      <c r="A223" s="58">
        <v>93094</v>
      </c>
      <c r="B223" s="37"/>
      <c r="C223" s="37"/>
      <c r="D223" s="37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59"/>
    </row>
    <row r="224" spans="1:16">
      <c r="A224" s="58">
        <v>93096</v>
      </c>
      <c r="B224" s="37"/>
      <c r="C224" s="37"/>
      <c r="D224" s="37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59"/>
    </row>
    <row r="225" spans="1:16">
      <c r="A225" s="58">
        <v>93098</v>
      </c>
      <c r="B225" s="37"/>
      <c r="C225" s="37"/>
      <c r="D225" s="37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59"/>
    </row>
    <row r="226" spans="1:16">
      <c r="A226" s="62">
        <v>93100</v>
      </c>
      <c r="B226" s="37"/>
      <c r="C226" s="37"/>
      <c r="D226" s="37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59"/>
    </row>
    <row r="227" spans="1:16">
      <c r="A227" s="58">
        <v>93102</v>
      </c>
      <c r="B227" s="37"/>
      <c r="C227" s="37"/>
      <c r="D227" s="37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59"/>
    </row>
    <row r="228" spans="1:16">
      <c r="A228" s="58">
        <v>93104</v>
      </c>
      <c r="B228" s="37"/>
      <c r="C228" s="37"/>
      <c r="D228" s="37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59"/>
    </row>
    <row r="229" spans="1:16">
      <c r="A229" s="58">
        <v>93106</v>
      </c>
      <c r="B229" s="37"/>
      <c r="C229" s="37"/>
      <c r="D229" s="37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59"/>
    </row>
    <row r="230" spans="1:16">
      <c r="A230" s="58">
        <v>93108</v>
      </c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53"/>
      <c r="N230" s="54"/>
      <c r="O230" s="37"/>
      <c r="P230" s="61"/>
    </row>
    <row r="231" spans="1:16">
      <c r="A231" s="58">
        <v>93110</v>
      </c>
      <c r="B231" s="37"/>
      <c r="C231" s="37"/>
      <c r="D231" s="37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59"/>
    </row>
    <row r="232" spans="1:16">
      <c r="A232" s="58">
        <v>93112</v>
      </c>
      <c r="B232" s="37"/>
      <c r="C232" s="37"/>
      <c r="D232" s="37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59"/>
    </row>
    <row r="233" spans="1:16">
      <c r="A233" s="58">
        <v>93114</v>
      </c>
      <c r="B233" s="37"/>
      <c r="C233" s="37"/>
      <c r="D233" s="37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59"/>
    </row>
    <row r="234" spans="1:16">
      <c r="A234" s="58">
        <v>93116</v>
      </c>
      <c r="B234" s="37"/>
      <c r="C234" s="37"/>
      <c r="D234" s="37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59"/>
    </row>
    <row r="235" spans="1:16">
      <c r="A235" s="58">
        <v>93118</v>
      </c>
      <c r="B235" s="37"/>
      <c r="C235" s="37"/>
      <c r="D235" s="37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59"/>
    </row>
    <row r="236" spans="1:16">
      <c r="A236" s="58">
        <v>93120</v>
      </c>
      <c r="B236" s="37"/>
      <c r="C236" s="37"/>
      <c r="D236" s="37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59"/>
    </row>
    <row r="237" spans="1:16">
      <c r="A237" s="58">
        <v>93122</v>
      </c>
      <c r="B237" s="37"/>
      <c r="C237" s="37"/>
      <c r="D237" s="37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59"/>
    </row>
    <row r="238" spans="1:16">
      <c r="A238" s="58">
        <v>93124</v>
      </c>
      <c r="B238" s="37"/>
      <c r="C238" s="37"/>
      <c r="D238" s="37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59"/>
    </row>
    <row r="239" spans="1:16">
      <c r="A239" s="58">
        <v>93126</v>
      </c>
      <c r="B239" s="37"/>
      <c r="C239" s="37"/>
      <c r="D239" s="37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59"/>
    </row>
    <row r="240" spans="1:16">
      <c r="A240" s="58">
        <v>93128</v>
      </c>
      <c r="B240" s="37"/>
      <c r="C240" s="37"/>
      <c r="D240" s="37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59"/>
    </row>
    <row r="241" spans="1:16">
      <c r="A241" s="58">
        <v>93130</v>
      </c>
      <c r="B241" s="37"/>
      <c r="C241" s="37"/>
      <c r="D241" s="37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59"/>
    </row>
    <row r="242" spans="1:16">
      <c r="A242" s="58">
        <v>93132</v>
      </c>
      <c r="B242" s="37"/>
      <c r="C242" s="37"/>
      <c r="D242" s="37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59"/>
    </row>
    <row r="243" spans="1:16">
      <c r="A243" s="58">
        <v>93134</v>
      </c>
      <c r="B243" s="37"/>
      <c r="C243" s="37"/>
      <c r="D243" s="37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59"/>
    </row>
    <row r="244" spans="1:16">
      <c r="A244" s="58">
        <v>93136</v>
      </c>
      <c r="B244" s="37"/>
      <c r="C244" s="37"/>
      <c r="D244" s="37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59"/>
    </row>
    <row r="245" spans="1:16">
      <c r="A245" s="58">
        <v>93138</v>
      </c>
      <c r="B245" s="37"/>
      <c r="C245" s="37"/>
      <c r="D245" s="37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59"/>
    </row>
    <row r="246" spans="1:16">
      <c r="A246" s="58">
        <v>93140</v>
      </c>
      <c r="B246" s="37"/>
      <c r="C246" s="37"/>
      <c r="D246" s="37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59"/>
    </row>
    <row r="247" spans="1:16">
      <c r="A247" s="58">
        <v>93142</v>
      </c>
      <c r="B247" s="37"/>
      <c r="C247" s="37"/>
      <c r="D247" s="37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59"/>
    </row>
    <row r="248" spans="1:16">
      <c r="A248" s="58">
        <v>93144</v>
      </c>
      <c r="B248" s="37"/>
      <c r="C248" s="37"/>
      <c r="D248" s="37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59"/>
    </row>
    <row r="249" spans="1:16">
      <c r="A249" s="58">
        <v>93146</v>
      </c>
      <c r="B249" s="37"/>
      <c r="C249" s="37"/>
      <c r="D249" s="37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59"/>
    </row>
    <row r="250" spans="1:16">
      <c r="A250" s="58">
        <v>93148</v>
      </c>
      <c r="B250" s="37"/>
      <c r="C250" s="37"/>
      <c r="D250" s="37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59"/>
    </row>
    <row r="251" spans="1:16">
      <c r="A251" s="58">
        <v>93150</v>
      </c>
      <c r="B251" s="37"/>
      <c r="C251" s="37"/>
      <c r="D251" s="37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59"/>
    </row>
    <row r="252" spans="1:16">
      <c r="A252" s="58">
        <v>93152</v>
      </c>
      <c r="B252" s="37"/>
      <c r="C252" s="37"/>
      <c r="D252" s="37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59"/>
    </row>
    <row r="253" spans="1:16">
      <c r="A253" s="58">
        <v>93154</v>
      </c>
      <c r="B253" s="37"/>
      <c r="C253" s="37"/>
      <c r="D253" s="37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59"/>
    </row>
    <row r="254" spans="1:16">
      <c r="A254" s="58">
        <v>93156</v>
      </c>
      <c r="B254" s="37"/>
      <c r="C254" s="37"/>
      <c r="D254" s="37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59"/>
    </row>
    <row r="255" spans="1:16">
      <c r="A255" s="58">
        <v>93158</v>
      </c>
      <c r="B255" s="37"/>
      <c r="C255" s="37"/>
      <c r="D255" s="37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59"/>
    </row>
    <row r="256" spans="1:16">
      <c r="A256" s="58">
        <v>93160</v>
      </c>
      <c r="B256" s="37"/>
      <c r="C256" s="37"/>
      <c r="D256" s="37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59"/>
    </row>
    <row r="257" spans="1:16">
      <c r="A257" s="58">
        <v>93162</v>
      </c>
      <c r="B257" s="37"/>
      <c r="C257" s="37"/>
      <c r="D257" s="37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59"/>
    </row>
    <row r="258" spans="1:16">
      <c r="A258" s="58">
        <v>93164</v>
      </c>
      <c r="B258" s="37"/>
      <c r="C258" s="37"/>
      <c r="D258" s="37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59"/>
    </row>
    <row r="259" spans="1:16">
      <c r="A259" s="58">
        <v>93166</v>
      </c>
      <c r="B259" s="37"/>
      <c r="C259" s="37"/>
      <c r="D259" s="37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59"/>
    </row>
    <row r="260" spans="1:16">
      <c r="A260" s="58">
        <v>93168</v>
      </c>
      <c r="B260" s="37"/>
      <c r="C260" s="37"/>
      <c r="D260" s="37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59"/>
    </row>
    <row r="261" spans="1:16">
      <c r="A261" s="58">
        <v>93170</v>
      </c>
      <c r="B261" s="37"/>
      <c r="C261" s="37"/>
      <c r="D261" s="37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59"/>
    </row>
    <row r="262" spans="1:16">
      <c r="A262" s="58">
        <v>93172</v>
      </c>
      <c r="B262" s="37"/>
      <c r="C262" s="37"/>
      <c r="D262" s="37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59"/>
    </row>
    <row r="263" spans="1:16">
      <c r="A263" s="58">
        <v>93174</v>
      </c>
      <c r="B263" s="37"/>
      <c r="C263" s="37"/>
      <c r="D263" s="37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59"/>
    </row>
    <row r="264" spans="1:16">
      <c r="A264" s="58">
        <v>93176</v>
      </c>
      <c r="B264" s="37"/>
      <c r="C264" s="37"/>
      <c r="D264" s="37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59"/>
    </row>
    <row r="265" spans="1:16">
      <c r="A265" s="58">
        <v>93178</v>
      </c>
      <c r="B265" s="37"/>
      <c r="C265" s="37"/>
      <c r="D265" s="37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59"/>
    </row>
    <row r="266" spans="1:16">
      <c r="A266" s="58">
        <v>93180</v>
      </c>
      <c r="B266" s="37"/>
      <c r="C266" s="37"/>
      <c r="D266" s="37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59"/>
    </row>
    <row r="267" spans="1:16">
      <c r="A267" s="58">
        <v>93182</v>
      </c>
      <c r="B267" s="37"/>
      <c r="C267" s="37"/>
      <c r="D267" s="37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59"/>
    </row>
    <row r="268" spans="1:16">
      <c r="A268" s="58">
        <v>93184</v>
      </c>
      <c r="B268" s="37"/>
      <c r="C268" s="37"/>
      <c r="D268" s="37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59"/>
    </row>
    <row r="269" spans="1:16">
      <c r="A269" s="58">
        <v>93186</v>
      </c>
      <c r="B269" s="37"/>
      <c r="C269" s="37"/>
      <c r="D269" s="37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59"/>
    </row>
    <row r="270" spans="1:16">
      <c r="A270" s="58">
        <v>93188</v>
      </c>
      <c r="B270" s="37"/>
      <c r="C270" s="37"/>
      <c r="D270" s="37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59"/>
    </row>
    <row r="271" spans="1:16">
      <c r="A271" s="58">
        <v>93190</v>
      </c>
      <c r="B271" s="37"/>
      <c r="C271" s="37"/>
      <c r="D271" s="37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59"/>
    </row>
    <row r="272" spans="1:16">
      <c r="A272" s="58">
        <v>93192</v>
      </c>
      <c r="B272" s="37"/>
      <c r="C272" s="37"/>
      <c r="D272" s="37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59"/>
    </row>
    <row r="273" spans="1:16">
      <c r="A273" s="58">
        <v>93194</v>
      </c>
      <c r="B273" s="37"/>
      <c r="C273" s="37"/>
      <c r="D273" s="37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59"/>
    </row>
    <row r="274" spans="1:16">
      <c r="A274" s="58">
        <v>93196</v>
      </c>
      <c r="B274" s="37"/>
      <c r="C274" s="37"/>
      <c r="D274" s="37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59"/>
    </row>
    <row r="275" spans="1:16">
      <c r="A275" s="58">
        <v>93198</v>
      </c>
      <c r="B275" s="37"/>
      <c r="C275" s="37"/>
      <c r="D275" s="37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59"/>
    </row>
    <row r="276" spans="1:16">
      <c r="A276" s="58">
        <v>93200</v>
      </c>
      <c r="B276" s="37"/>
      <c r="C276" s="37"/>
      <c r="D276" s="37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59"/>
    </row>
    <row r="277" spans="1:16">
      <c r="A277" s="58">
        <v>93202</v>
      </c>
      <c r="B277" s="37"/>
      <c r="C277" s="37"/>
      <c r="D277" s="37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59"/>
    </row>
    <row r="278" spans="1:16">
      <c r="A278" s="58">
        <v>93204</v>
      </c>
      <c r="B278" s="37"/>
      <c r="C278" s="37"/>
      <c r="D278" s="37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59"/>
    </row>
    <row r="279" spans="1:16">
      <c r="A279" s="58">
        <v>93206</v>
      </c>
      <c r="B279" s="37"/>
      <c r="C279" s="37"/>
      <c r="D279" s="37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59"/>
    </row>
    <row r="280" spans="1:16">
      <c r="A280" s="58">
        <v>93208</v>
      </c>
      <c r="B280" s="37"/>
      <c r="C280" s="37"/>
      <c r="D280" s="37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59"/>
    </row>
    <row r="281" spans="1:16">
      <c r="A281" s="58">
        <v>93210</v>
      </c>
      <c r="B281" s="37"/>
      <c r="C281" s="37"/>
      <c r="D281" s="37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59"/>
    </row>
    <row r="282" spans="1:16">
      <c r="A282" s="58">
        <v>93212</v>
      </c>
      <c r="B282" s="37"/>
      <c r="C282" s="37"/>
      <c r="D282" s="37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59"/>
    </row>
    <row r="283" spans="1:16">
      <c r="A283" s="58">
        <v>93214</v>
      </c>
      <c r="B283" s="37"/>
      <c r="C283" s="37"/>
      <c r="D283" s="37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59"/>
    </row>
    <row r="284" spans="1:16">
      <c r="A284" s="58">
        <v>93216</v>
      </c>
      <c r="B284" s="37"/>
      <c r="C284" s="37"/>
      <c r="D284" s="37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59"/>
    </row>
    <row r="285" spans="1:16">
      <c r="A285" s="58">
        <v>93218</v>
      </c>
      <c r="B285" s="37"/>
      <c r="C285" s="37"/>
      <c r="D285" s="37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59"/>
    </row>
    <row r="286" spans="1:16">
      <c r="A286" s="58">
        <v>93220</v>
      </c>
      <c r="B286" s="37"/>
      <c r="C286" s="37"/>
      <c r="D286" s="37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59"/>
    </row>
    <row r="287" spans="1:16">
      <c r="A287" s="58">
        <v>93222</v>
      </c>
      <c r="B287" s="37"/>
      <c r="C287" s="37"/>
      <c r="D287" s="37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59"/>
    </row>
    <row r="288" spans="1:16">
      <c r="A288" s="58">
        <v>93224</v>
      </c>
      <c r="B288" s="37"/>
      <c r="C288" s="37"/>
      <c r="D288" s="37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59"/>
    </row>
    <row r="289" spans="1:16">
      <c r="A289" s="58">
        <v>93226</v>
      </c>
      <c r="B289" s="37"/>
      <c r="C289" s="37"/>
      <c r="D289" s="37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59"/>
    </row>
    <row r="290" spans="1:16">
      <c r="A290" s="58">
        <v>93228</v>
      </c>
      <c r="B290" s="37"/>
      <c r="C290" s="37"/>
      <c r="D290" s="37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59"/>
    </row>
    <row r="291" spans="1:16">
      <c r="A291" s="58">
        <v>93230</v>
      </c>
      <c r="B291" s="37"/>
      <c r="C291" s="37"/>
      <c r="D291" s="37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59"/>
    </row>
    <row r="292" spans="1:16">
      <c r="A292" s="58">
        <v>93232</v>
      </c>
      <c r="B292" s="37"/>
      <c r="C292" s="37"/>
      <c r="D292" s="37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59"/>
    </row>
    <row r="293" spans="1:16">
      <c r="A293" s="58">
        <v>93234</v>
      </c>
      <c r="B293" s="37"/>
      <c r="C293" s="37"/>
      <c r="D293" s="37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59"/>
    </row>
    <row r="294" spans="1:16">
      <c r="A294" s="58">
        <v>93236</v>
      </c>
      <c r="B294" s="37"/>
      <c r="C294" s="37"/>
      <c r="D294" s="37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59"/>
    </row>
    <row r="295" spans="1:16">
      <c r="A295" s="58">
        <v>93238</v>
      </c>
      <c r="B295" s="37"/>
      <c r="C295" s="37"/>
      <c r="D295" s="37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59"/>
    </row>
    <row r="296" spans="1:16">
      <c r="A296" s="58">
        <v>93240</v>
      </c>
      <c r="B296" s="37"/>
      <c r="C296" s="37"/>
      <c r="D296" s="37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59"/>
    </row>
    <row r="297" spans="1:16">
      <c r="A297" s="58">
        <v>93242</v>
      </c>
      <c r="B297" s="37"/>
      <c r="C297" s="37"/>
      <c r="D297" s="37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59"/>
    </row>
    <row r="298" spans="1:16">
      <c r="A298" s="58">
        <v>93244</v>
      </c>
      <c r="B298" s="37"/>
      <c r="C298" s="37"/>
      <c r="D298" s="37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59"/>
    </row>
    <row r="299" spans="1:16">
      <c r="A299" s="58">
        <v>93246</v>
      </c>
      <c r="B299" s="37"/>
      <c r="C299" s="37"/>
      <c r="D299" s="37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59"/>
    </row>
    <row r="300" spans="1:16">
      <c r="A300" s="58">
        <v>93248</v>
      </c>
      <c r="B300" s="37"/>
      <c r="C300" s="37"/>
      <c r="D300" s="37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59"/>
    </row>
    <row r="301" spans="1:16">
      <c r="A301" s="58">
        <v>93250</v>
      </c>
      <c r="B301" s="37"/>
      <c r="C301" s="37"/>
      <c r="D301" s="37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59"/>
    </row>
    <row r="302" spans="1:16">
      <c r="A302" s="58">
        <v>93252</v>
      </c>
      <c r="B302" s="37"/>
      <c r="C302" s="37"/>
      <c r="D302" s="37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59"/>
    </row>
    <row r="303" spans="1:16">
      <c r="A303" s="58">
        <v>93254</v>
      </c>
      <c r="B303" s="37"/>
      <c r="C303" s="37"/>
      <c r="D303" s="37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59"/>
    </row>
    <row r="304" spans="1:16">
      <c r="A304" s="58">
        <v>93256</v>
      </c>
      <c r="B304" s="37"/>
      <c r="C304" s="37"/>
      <c r="D304" s="37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59"/>
    </row>
    <row r="305" spans="1:16">
      <c r="A305" s="58">
        <v>93258</v>
      </c>
      <c r="B305" s="37"/>
      <c r="C305" s="37"/>
      <c r="D305" s="37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59"/>
    </row>
    <row r="306" spans="1:16">
      <c r="A306" s="58">
        <v>93260</v>
      </c>
      <c r="B306" s="37"/>
      <c r="C306" s="37"/>
      <c r="D306" s="37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59"/>
    </row>
    <row r="307" spans="1:16">
      <c r="A307" s="58">
        <v>93262</v>
      </c>
      <c r="B307" s="37"/>
      <c r="C307" s="37"/>
      <c r="D307" s="37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59"/>
    </row>
    <row r="308" spans="1:16">
      <c r="A308" s="58">
        <v>93264</v>
      </c>
      <c r="B308" s="37"/>
      <c r="C308" s="37"/>
      <c r="D308" s="37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59"/>
    </row>
    <row r="309" spans="1:16">
      <c r="A309" s="58">
        <v>93266</v>
      </c>
      <c r="B309" s="37"/>
      <c r="C309" s="37"/>
      <c r="D309" s="37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59"/>
    </row>
    <row r="310" spans="1:16">
      <c r="A310" s="58">
        <v>93402</v>
      </c>
      <c r="B310" s="37"/>
      <c r="C310" s="37"/>
      <c r="D310" s="37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59"/>
    </row>
    <row r="311" spans="1:16">
      <c r="A311" s="58">
        <v>93404</v>
      </c>
      <c r="B311" s="37"/>
      <c r="C311" s="37"/>
      <c r="D311" s="37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59"/>
    </row>
    <row r="312" spans="1:16">
      <c r="A312" s="58">
        <v>93406</v>
      </c>
      <c r="B312" s="37"/>
      <c r="C312" s="37"/>
      <c r="D312" s="37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59"/>
    </row>
    <row r="313" spans="1:16">
      <c r="A313" s="58">
        <v>93408</v>
      </c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53"/>
      <c r="N313" s="54"/>
      <c r="O313" s="37"/>
      <c r="P313" s="61"/>
    </row>
    <row r="314" spans="1:16">
      <c r="A314" s="58">
        <v>93410</v>
      </c>
      <c r="B314" s="37"/>
      <c r="C314" s="37"/>
      <c r="D314" s="37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59"/>
    </row>
    <row r="315" spans="1:16">
      <c r="A315" s="58">
        <v>93412</v>
      </c>
      <c r="B315" s="37"/>
      <c r="C315" s="37"/>
      <c r="D315" s="37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59"/>
    </row>
    <row r="316" spans="1:16">
      <c r="A316" s="58">
        <v>93414</v>
      </c>
      <c r="B316" s="37"/>
      <c r="C316" s="37"/>
      <c r="D316" s="37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59"/>
    </row>
    <row r="317" spans="1:16">
      <c r="A317" s="58">
        <v>93416</v>
      </c>
      <c r="B317" s="37"/>
      <c r="C317" s="37"/>
      <c r="D317" s="37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59"/>
    </row>
    <row r="318" spans="1:16">
      <c r="A318" s="58">
        <v>93418</v>
      </c>
      <c r="B318" s="37"/>
      <c r="C318" s="37"/>
      <c r="D318" s="37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59"/>
    </row>
    <row r="319" spans="1:16">
      <c r="A319" s="58">
        <v>93420</v>
      </c>
      <c r="B319" s="37"/>
      <c r="C319" s="37"/>
      <c r="D319" s="37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59"/>
    </row>
    <row r="320" spans="1:16">
      <c r="A320" s="58">
        <v>93422</v>
      </c>
      <c r="B320" s="37"/>
      <c r="C320" s="37"/>
      <c r="D320" s="37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59"/>
    </row>
    <row r="321" spans="1:16">
      <c r="A321" s="58">
        <v>93424</v>
      </c>
      <c r="B321" s="37"/>
      <c r="C321" s="37"/>
      <c r="D321" s="37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59"/>
    </row>
    <row r="322" spans="1:16">
      <c r="A322" s="58">
        <v>93426</v>
      </c>
      <c r="B322" s="37"/>
      <c r="C322" s="37"/>
      <c r="D322" s="37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59"/>
    </row>
    <row r="323" spans="1:16">
      <c r="A323" s="58">
        <v>93428</v>
      </c>
      <c r="B323" s="37"/>
      <c r="C323" s="37"/>
      <c r="D323" s="37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59"/>
    </row>
    <row r="324" spans="1:16">
      <c r="A324" s="58">
        <v>93430</v>
      </c>
      <c r="B324" s="37"/>
      <c r="C324" s="37"/>
      <c r="D324" s="37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59"/>
    </row>
    <row r="325" spans="1:16">
      <c r="A325" s="58">
        <v>93432</v>
      </c>
      <c r="B325" s="37"/>
      <c r="C325" s="37"/>
      <c r="D325" s="37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59"/>
    </row>
    <row r="326" spans="1:16">
      <c r="A326" s="58">
        <v>93434</v>
      </c>
      <c r="B326" s="37"/>
      <c r="C326" s="37"/>
      <c r="D326" s="37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59"/>
    </row>
    <row r="327" spans="1:16">
      <c r="A327" s="58">
        <v>93436</v>
      </c>
      <c r="B327" s="37"/>
      <c r="C327" s="37"/>
      <c r="D327" s="37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59"/>
    </row>
    <row r="328" spans="1:16">
      <c r="A328" s="58">
        <v>93438</v>
      </c>
      <c r="B328" s="37"/>
      <c r="C328" s="37"/>
      <c r="D328" s="37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59"/>
    </row>
    <row r="329" spans="1:16">
      <c r="A329" s="58">
        <v>93440</v>
      </c>
      <c r="B329" s="37"/>
      <c r="C329" s="37"/>
      <c r="D329" s="37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59"/>
    </row>
    <row r="330" spans="1:16">
      <c r="A330" s="58">
        <v>93442</v>
      </c>
      <c r="B330" s="37"/>
      <c r="C330" s="37"/>
      <c r="D330" s="37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59"/>
    </row>
    <row r="331" spans="1:16">
      <c r="A331" s="58">
        <v>93444</v>
      </c>
      <c r="B331" s="37"/>
      <c r="C331" s="37"/>
      <c r="D331" s="37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59"/>
    </row>
    <row r="332" spans="1:16">
      <c r="A332" s="58">
        <v>93446</v>
      </c>
      <c r="B332" s="37"/>
      <c r="C332" s="37"/>
      <c r="D332" s="37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59"/>
    </row>
    <row r="333" spans="1:16">
      <c r="A333" s="58">
        <v>93448</v>
      </c>
      <c r="B333" s="37"/>
      <c r="C333" s="37"/>
      <c r="D333" s="37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59"/>
    </row>
    <row r="334" spans="1:16">
      <c r="A334" s="58">
        <v>93450</v>
      </c>
      <c r="B334" s="37"/>
      <c r="C334" s="37"/>
      <c r="D334" s="37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59"/>
    </row>
    <row r="335" spans="1:16">
      <c r="A335" s="58">
        <v>93452</v>
      </c>
      <c r="B335" s="37"/>
      <c r="C335" s="37"/>
      <c r="D335" s="37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59"/>
    </row>
    <row r="336" spans="1:16">
      <c r="A336" s="58">
        <v>93454</v>
      </c>
      <c r="B336" s="37"/>
      <c r="C336" s="37"/>
      <c r="D336" s="37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59"/>
    </row>
    <row r="337" spans="1:16">
      <c r="A337" s="58">
        <v>93456</v>
      </c>
      <c r="B337" s="37"/>
      <c r="C337" s="37"/>
      <c r="D337" s="37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59"/>
    </row>
    <row r="338" spans="1:16">
      <c r="A338" s="58">
        <v>93458</v>
      </c>
      <c r="B338" s="37"/>
      <c r="C338" s="37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59"/>
    </row>
    <row r="339" spans="1:16">
      <c r="A339" s="58">
        <v>93460</v>
      </c>
      <c r="B339" s="37"/>
      <c r="C339" s="37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59"/>
    </row>
    <row r="340" spans="1:16">
      <c r="A340" s="58">
        <v>93462</v>
      </c>
      <c r="B340" s="37"/>
      <c r="C340" s="37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59"/>
    </row>
    <row r="341" spans="1:16">
      <c r="A341" s="63">
        <v>93464</v>
      </c>
      <c r="B341" s="41"/>
      <c r="C341" s="41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64"/>
    </row>
  </sheetData>
  <mergeCells count="1">
    <mergeCell ref="R2:U2"/>
  </mergeCells>
  <conditionalFormatting sqref="A2:A71">
    <cfRule type="expression" dxfId="93" priority="10" stopIfTrue="1">
      <formula>#REF!=1</formula>
    </cfRule>
    <cfRule type="expression" dxfId="92" priority="11" stopIfTrue="1">
      <formula>#REF!=2</formula>
    </cfRule>
  </conditionalFormatting>
  <conditionalFormatting sqref="A2:A169">
    <cfRule type="expression" dxfId="91" priority="7" stopIfTrue="1">
      <formula>#REF!="w"</formula>
    </cfRule>
  </conditionalFormatting>
  <conditionalFormatting sqref="A72:A169">
    <cfRule type="expression" dxfId="90" priority="8" stopIfTrue="1">
      <formula>#REF!=1</formula>
    </cfRule>
    <cfRule type="expression" dxfId="89" priority="9" stopIfTrue="1">
      <formula>#REF!=2</formula>
    </cfRule>
  </conditionalFormatting>
  <conditionalFormatting sqref="A171:A225">
    <cfRule type="expression" dxfId="88" priority="4" stopIfTrue="1">
      <formula>#REF!="w"</formula>
    </cfRule>
    <cfRule type="expression" dxfId="87" priority="5" stopIfTrue="1">
      <formula>#REF!=1</formula>
    </cfRule>
    <cfRule type="expression" dxfId="86" priority="6" stopIfTrue="1">
      <formula>#REF!=2</formula>
    </cfRule>
  </conditionalFormatting>
  <conditionalFormatting sqref="A227:A341">
    <cfRule type="expression" dxfId="85" priority="1" stopIfTrue="1">
      <formula>#REF!="w"</formula>
    </cfRule>
    <cfRule type="expression" dxfId="84" priority="2" stopIfTrue="1">
      <formula>#REF!=1</formula>
    </cfRule>
    <cfRule type="expression" dxfId="83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F24AC-646E-4DAA-8F56-DE19755F3D3B}">
  <dimension ref="A1:U341"/>
  <sheetViews>
    <sheetView workbookViewId="0">
      <selection activeCell="D1" sqref="D1"/>
    </sheetView>
  </sheetViews>
  <sheetFormatPr defaultColWidth="9.42578125" defaultRowHeight="15" customHeight="1"/>
  <cols>
    <col min="1" max="1" width="9.7109375" style="2" bestFit="1" customWidth="1"/>
    <col min="2" max="3" width="11.5703125" style="2" customWidth="1"/>
    <col min="4" max="4" width="16.85546875" style="2" bestFit="1" customWidth="1"/>
    <col min="5" max="5" width="12.85546875" style="2" bestFit="1" customWidth="1"/>
    <col min="6" max="6" width="12.7109375" style="2" bestFit="1" customWidth="1"/>
    <col min="7" max="12" width="15.7109375" style="2" bestFit="1" customWidth="1"/>
    <col min="13" max="13" width="12.85546875" style="2" bestFit="1" customWidth="1"/>
    <col min="14" max="14" width="13.7109375" style="2" bestFit="1" customWidth="1"/>
    <col min="15" max="15" width="15.7109375" style="2" bestFit="1" customWidth="1"/>
    <col min="16" max="16" width="16.85546875" style="2" bestFit="1" customWidth="1"/>
    <col min="17" max="17" width="2" style="2" customWidth="1"/>
    <col min="18" max="18" width="12.42578125" style="2" customWidth="1"/>
    <col min="19" max="19" width="11.42578125" style="2" customWidth="1"/>
    <col min="20" max="20" width="16.42578125" style="2" customWidth="1"/>
    <col min="21" max="21" width="13" style="2" customWidth="1"/>
    <col min="22" max="16384" width="9.42578125" style="2"/>
  </cols>
  <sheetData>
    <row r="1" spans="1:21" ht="99.6" customHeight="1">
      <c r="A1" s="1" t="s">
        <v>0</v>
      </c>
      <c r="B1" s="44" t="s">
        <v>1</v>
      </c>
      <c r="C1" s="44" t="s">
        <v>2</v>
      </c>
      <c r="D1" s="45" t="s">
        <v>3</v>
      </c>
      <c r="E1" s="45" t="s">
        <v>4</v>
      </c>
      <c r="F1" s="45" t="s">
        <v>5</v>
      </c>
      <c r="G1" s="45" t="s">
        <v>6</v>
      </c>
      <c r="H1" s="45" t="s">
        <v>7</v>
      </c>
      <c r="I1" s="46" t="s">
        <v>8</v>
      </c>
      <c r="J1" s="46" t="s">
        <v>9</v>
      </c>
      <c r="K1" s="47" t="s">
        <v>10</v>
      </c>
      <c r="L1" s="47" t="s">
        <v>11</v>
      </c>
      <c r="M1" s="48" t="s">
        <v>12</v>
      </c>
      <c r="N1" s="49" t="s">
        <v>13</v>
      </c>
      <c r="O1" s="50" t="s">
        <v>14</v>
      </c>
      <c r="P1" s="51" t="s">
        <v>15</v>
      </c>
    </row>
    <row r="2" spans="1:21" ht="15" customHeight="1">
      <c r="A2" s="15">
        <v>91001</v>
      </c>
      <c r="B2" s="37"/>
      <c r="C2" s="37"/>
      <c r="D2" s="38"/>
      <c r="E2" s="38"/>
      <c r="F2" s="16"/>
      <c r="G2" s="16"/>
      <c r="H2" s="16"/>
      <c r="I2" s="16"/>
      <c r="J2" s="16"/>
      <c r="K2" s="16"/>
      <c r="L2" s="16"/>
      <c r="M2" s="16"/>
      <c r="N2" s="16"/>
      <c r="O2" s="16"/>
      <c r="P2" s="17"/>
      <c r="R2" s="11"/>
      <c r="S2" s="12"/>
      <c r="T2" s="12"/>
      <c r="U2" s="13"/>
    </row>
    <row r="3" spans="1:21" ht="15" customHeight="1">
      <c r="A3" s="15">
        <v>91003</v>
      </c>
      <c r="B3" s="37"/>
      <c r="C3" s="37"/>
      <c r="D3" s="38"/>
      <c r="E3" s="38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  <c r="R3" s="10" t="s">
        <v>21</v>
      </c>
      <c r="S3" s="3" t="s">
        <v>22</v>
      </c>
      <c r="T3" s="4" t="s">
        <v>23</v>
      </c>
      <c r="U3" s="5" t="s">
        <v>24</v>
      </c>
    </row>
    <row r="4" spans="1:21" ht="15" customHeight="1">
      <c r="A4" s="15">
        <v>91005</v>
      </c>
      <c r="B4" s="37"/>
      <c r="C4" s="37"/>
      <c r="D4" s="38"/>
      <c r="E4" s="38"/>
      <c r="F4" s="16"/>
      <c r="G4" s="16"/>
      <c r="H4" s="16"/>
      <c r="I4" s="16"/>
      <c r="J4" s="16"/>
      <c r="K4" s="16"/>
      <c r="L4" s="16"/>
      <c r="M4" s="16"/>
      <c r="N4" s="16"/>
      <c r="O4" s="16"/>
      <c r="P4" s="17"/>
      <c r="R4" s="7">
        <v>85</v>
      </c>
      <c r="S4" s="8">
        <f>COUNTA(A:A)-1</f>
        <v>340</v>
      </c>
      <c r="T4" s="8">
        <f>COUNTA(O:O)-1</f>
        <v>0</v>
      </c>
      <c r="U4" s="9">
        <f>T4/S4</f>
        <v>0</v>
      </c>
    </row>
    <row r="5" spans="1:21" ht="15" customHeight="1">
      <c r="A5" s="15">
        <v>91007</v>
      </c>
      <c r="B5" s="37"/>
      <c r="C5" s="37"/>
      <c r="D5" s="38"/>
      <c r="E5" s="38"/>
      <c r="F5" s="16"/>
      <c r="G5" s="16"/>
      <c r="H5" s="16"/>
      <c r="I5" s="16"/>
      <c r="J5" s="16"/>
      <c r="K5" s="16"/>
      <c r="L5" s="16"/>
      <c r="M5" s="16"/>
      <c r="N5" s="16"/>
      <c r="O5" s="16"/>
      <c r="P5" s="17"/>
    </row>
    <row r="6" spans="1:21" ht="15" customHeight="1">
      <c r="A6" s="15">
        <v>91009</v>
      </c>
      <c r="B6" s="37"/>
      <c r="C6" s="37"/>
      <c r="D6" s="38"/>
      <c r="E6" s="38"/>
      <c r="F6" s="16"/>
      <c r="G6" s="16"/>
      <c r="H6" s="16"/>
      <c r="I6" s="16"/>
      <c r="J6" s="16"/>
      <c r="K6" s="16"/>
      <c r="L6" s="16"/>
      <c r="M6" s="16"/>
      <c r="N6" s="16"/>
      <c r="O6" s="16"/>
      <c r="P6" s="17"/>
    </row>
    <row r="7" spans="1:21" ht="15" customHeight="1">
      <c r="A7" s="15">
        <v>91011</v>
      </c>
      <c r="B7" s="39"/>
      <c r="C7" s="39"/>
      <c r="D7" s="38"/>
      <c r="E7" s="43"/>
      <c r="F7" s="6"/>
      <c r="G7" s="6"/>
      <c r="H7" s="6"/>
      <c r="I7" s="6"/>
      <c r="J7" s="6"/>
      <c r="K7" s="6"/>
      <c r="L7" s="6"/>
      <c r="M7" s="6"/>
      <c r="N7" s="6"/>
      <c r="O7" s="6"/>
      <c r="P7" s="18"/>
    </row>
    <row r="8" spans="1:21" ht="15" customHeight="1">
      <c r="A8" s="15">
        <v>91013</v>
      </c>
      <c r="B8" s="37"/>
      <c r="C8" s="37"/>
      <c r="D8" s="38"/>
      <c r="E8" s="38"/>
      <c r="F8" s="16"/>
      <c r="G8" s="16"/>
      <c r="H8" s="16"/>
      <c r="I8" s="16"/>
      <c r="J8" s="16"/>
      <c r="K8" s="16"/>
      <c r="L8" s="16"/>
      <c r="M8" s="16"/>
      <c r="N8" s="16"/>
      <c r="O8" s="16"/>
      <c r="P8" s="17"/>
    </row>
    <row r="9" spans="1:21" ht="15" customHeight="1">
      <c r="A9" s="15">
        <v>91015</v>
      </c>
      <c r="B9" s="37"/>
      <c r="C9" s="37"/>
      <c r="D9" s="38"/>
      <c r="E9" s="38"/>
      <c r="F9" s="16"/>
      <c r="G9" s="16"/>
      <c r="H9" s="16"/>
      <c r="I9" s="16"/>
      <c r="J9" s="16"/>
      <c r="K9" s="16"/>
      <c r="L9" s="16"/>
      <c r="M9" s="16"/>
      <c r="N9" s="16"/>
      <c r="O9" s="16"/>
      <c r="P9" s="17"/>
    </row>
    <row r="10" spans="1:21" ht="15" customHeight="1">
      <c r="A10" s="15">
        <v>91017</v>
      </c>
      <c r="B10" s="37"/>
      <c r="C10" s="37"/>
      <c r="D10" s="38"/>
      <c r="E10" s="38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7"/>
    </row>
    <row r="11" spans="1:21" ht="15" customHeight="1">
      <c r="A11" s="15">
        <v>91019</v>
      </c>
      <c r="B11" s="37"/>
      <c r="C11" s="37"/>
      <c r="D11" s="38"/>
      <c r="E11" s="38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7"/>
    </row>
    <row r="12" spans="1:21" ht="15" customHeight="1">
      <c r="A12" s="15">
        <v>91021</v>
      </c>
      <c r="B12" s="37"/>
      <c r="C12" s="37"/>
      <c r="D12" s="38"/>
      <c r="E12" s="38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7"/>
    </row>
    <row r="13" spans="1:21" ht="15" customHeight="1">
      <c r="A13" s="15">
        <v>91023</v>
      </c>
      <c r="B13" s="37"/>
      <c r="C13" s="37"/>
      <c r="D13" s="38"/>
      <c r="E13" s="38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7"/>
    </row>
    <row r="14" spans="1:21" ht="15" customHeight="1">
      <c r="A14" s="15">
        <v>91025</v>
      </c>
      <c r="B14" s="37"/>
      <c r="C14" s="37"/>
      <c r="D14" s="38"/>
      <c r="E14" s="38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7"/>
    </row>
    <row r="15" spans="1:21" ht="15" customHeight="1">
      <c r="A15" s="15">
        <v>91027</v>
      </c>
      <c r="B15" s="37"/>
      <c r="C15" s="37"/>
      <c r="D15" s="38"/>
      <c r="E15" s="38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7"/>
    </row>
    <row r="16" spans="1:21" ht="15" customHeight="1">
      <c r="A16" s="15">
        <v>91029</v>
      </c>
      <c r="B16" s="37"/>
      <c r="C16" s="37"/>
      <c r="D16" s="38"/>
      <c r="E16" s="38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7"/>
    </row>
    <row r="17" spans="1:16" ht="15" customHeight="1">
      <c r="A17" s="15">
        <v>91031</v>
      </c>
      <c r="B17" s="37"/>
      <c r="C17" s="37"/>
      <c r="D17" s="38"/>
      <c r="E17" s="38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7"/>
    </row>
    <row r="18" spans="1:16" ht="15" customHeight="1">
      <c r="A18" s="15">
        <v>91033</v>
      </c>
      <c r="B18" s="37"/>
      <c r="C18" s="37"/>
      <c r="D18" s="38"/>
      <c r="E18" s="38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7"/>
    </row>
    <row r="19" spans="1:16" ht="15" customHeight="1">
      <c r="A19" s="15">
        <v>91035</v>
      </c>
      <c r="B19" s="37"/>
      <c r="C19" s="37"/>
      <c r="D19" s="38"/>
      <c r="E19" s="38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7"/>
    </row>
    <row r="20" spans="1:16" ht="15" customHeight="1">
      <c r="A20" s="15">
        <v>91037</v>
      </c>
      <c r="B20" s="37"/>
      <c r="C20" s="37"/>
      <c r="D20" s="37"/>
      <c r="E20" s="37"/>
      <c r="F20" s="14"/>
      <c r="G20" s="14"/>
      <c r="H20" s="14"/>
      <c r="I20" s="14"/>
      <c r="J20" s="14"/>
      <c r="K20" s="14"/>
      <c r="L20" s="14"/>
      <c r="M20" s="19"/>
      <c r="N20" s="20"/>
      <c r="O20" s="19"/>
      <c r="P20" s="17"/>
    </row>
    <row r="21" spans="1:16" ht="15" customHeight="1">
      <c r="A21" s="15">
        <v>91039</v>
      </c>
      <c r="B21" s="37"/>
      <c r="C21" s="37"/>
      <c r="D21" s="38"/>
      <c r="E21" s="38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7"/>
    </row>
    <row r="22" spans="1:16" ht="15" customHeight="1">
      <c r="A22" s="15">
        <v>91041</v>
      </c>
      <c r="B22" s="37"/>
      <c r="C22" s="37"/>
      <c r="D22" s="38"/>
      <c r="E22" s="38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7"/>
    </row>
    <row r="23" spans="1:16" ht="15" customHeight="1">
      <c r="A23" s="15">
        <v>91043</v>
      </c>
      <c r="B23" s="40"/>
      <c r="C23" s="40"/>
      <c r="D23" s="40"/>
      <c r="E23" s="38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7"/>
    </row>
    <row r="24" spans="1:16" ht="15" customHeight="1">
      <c r="A24" s="15">
        <v>91045</v>
      </c>
      <c r="B24" s="37"/>
      <c r="C24" s="37"/>
      <c r="D24" s="38"/>
      <c r="E24" s="38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7"/>
    </row>
    <row r="25" spans="1:16" ht="15" customHeight="1">
      <c r="A25" s="15">
        <v>91047</v>
      </c>
      <c r="B25" s="37"/>
      <c r="C25" s="37"/>
      <c r="D25" s="38"/>
      <c r="E25" s="38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7"/>
    </row>
    <row r="26" spans="1:16" ht="15" customHeight="1">
      <c r="A26" s="15">
        <v>91049</v>
      </c>
      <c r="B26" s="37"/>
      <c r="C26" s="37"/>
      <c r="D26" s="38"/>
      <c r="E26" s="38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7"/>
    </row>
    <row r="27" spans="1:16" ht="15" customHeight="1">
      <c r="A27" s="15">
        <v>91051</v>
      </c>
      <c r="B27" s="37"/>
      <c r="C27" s="37"/>
      <c r="D27" s="38"/>
      <c r="E27" s="38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7"/>
    </row>
    <row r="28" spans="1:16" ht="15" customHeight="1">
      <c r="A28" s="15">
        <v>91053</v>
      </c>
      <c r="B28" s="37"/>
      <c r="C28" s="37"/>
      <c r="D28" s="38"/>
      <c r="E28" s="38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7"/>
    </row>
    <row r="29" spans="1:16" ht="15" customHeight="1">
      <c r="A29" s="15">
        <v>91055</v>
      </c>
      <c r="B29" s="37"/>
      <c r="C29" s="37"/>
      <c r="D29" s="38"/>
      <c r="E29" s="38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7"/>
    </row>
    <row r="30" spans="1:16" ht="15" customHeight="1">
      <c r="A30" s="15">
        <v>91057</v>
      </c>
      <c r="B30" s="37"/>
      <c r="C30" s="37"/>
      <c r="D30" s="38"/>
      <c r="E30" s="38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7"/>
    </row>
    <row r="31" spans="1:16" ht="15" customHeight="1">
      <c r="A31" s="15">
        <v>91059</v>
      </c>
      <c r="B31" s="37"/>
      <c r="C31" s="37"/>
      <c r="D31" s="38"/>
      <c r="E31" s="38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7"/>
    </row>
    <row r="32" spans="1:16" ht="15" customHeight="1">
      <c r="A32" s="15">
        <v>91061</v>
      </c>
      <c r="B32" s="37"/>
      <c r="C32" s="37"/>
      <c r="D32" s="38"/>
      <c r="E32" s="38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7"/>
    </row>
    <row r="33" spans="1:16" ht="15" customHeight="1">
      <c r="A33" s="15">
        <v>91063</v>
      </c>
      <c r="B33" s="37"/>
      <c r="C33" s="37"/>
      <c r="D33" s="38"/>
      <c r="E33" s="38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7"/>
    </row>
    <row r="34" spans="1:16" ht="15" customHeight="1">
      <c r="A34" s="15">
        <v>91065</v>
      </c>
      <c r="B34" s="37"/>
      <c r="C34" s="37"/>
      <c r="D34" s="38"/>
      <c r="E34" s="38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7"/>
    </row>
    <row r="35" spans="1:16" ht="15" customHeight="1">
      <c r="A35" s="15">
        <v>91067</v>
      </c>
      <c r="B35" s="37"/>
      <c r="C35" s="37"/>
      <c r="D35" s="38"/>
      <c r="E35" s="38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7"/>
    </row>
    <row r="36" spans="1:16" ht="15" customHeight="1">
      <c r="A36" s="15">
        <v>91069</v>
      </c>
      <c r="B36" s="37"/>
      <c r="C36" s="37"/>
      <c r="D36" s="38"/>
      <c r="E36" s="38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7"/>
    </row>
    <row r="37" spans="1:16" ht="15" customHeight="1">
      <c r="A37" s="15">
        <v>91071</v>
      </c>
      <c r="B37" s="37"/>
      <c r="C37" s="37"/>
      <c r="D37" s="38"/>
      <c r="E37" s="38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7"/>
    </row>
    <row r="38" spans="1:16" ht="15" customHeight="1">
      <c r="A38" s="15">
        <v>91073</v>
      </c>
      <c r="B38" s="37"/>
      <c r="C38" s="37"/>
      <c r="D38" s="38"/>
      <c r="E38" s="38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7"/>
    </row>
    <row r="39" spans="1:16" ht="15" customHeight="1">
      <c r="A39" s="15">
        <v>91075</v>
      </c>
      <c r="B39" s="37"/>
      <c r="C39" s="37"/>
      <c r="D39" s="38"/>
      <c r="E39" s="38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7"/>
    </row>
    <row r="40" spans="1:16" ht="15" customHeight="1">
      <c r="A40" s="15">
        <v>91077</v>
      </c>
      <c r="B40" s="37"/>
      <c r="C40" s="37"/>
      <c r="D40" s="38"/>
      <c r="E40" s="38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7"/>
    </row>
    <row r="41" spans="1:16" ht="15" customHeight="1">
      <c r="A41" s="15">
        <v>91079</v>
      </c>
      <c r="B41" s="40"/>
      <c r="C41" s="40"/>
      <c r="D41" s="40"/>
      <c r="E41" s="38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7"/>
    </row>
    <row r="42" spans="1:16" ht="15" customHeight="1">
      <c r="A42" s="15">
        <v>91081</v>
      </c>
      <c r="B42" s="37"/>
      <c r="C42" s="37"/>
      <c r="D42" s="38"/>
      <c r="E42" s="38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7"/>
    </row>
    <row r="43" spans="1:16" ht="15" customHeight="1">
      <c r="A43" s="15">
        <v>91083</v>
      </c>
      <c r="B43" s="37"/>
      <c r="C43" s="37"/>
      <c r="D43" s="38"/>
      <c r="E43" s="38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7"/>
    </row>
    <row r="44" spans="1:16" ht="15" customHeight="1">
      <c r="A44" s="15">
        <v>91085</v>
      </c>
      <c r="B44" s="37"/>
      <c r="C44" s="37"/>
      <c r="D44" s="38"/>
      <c r="E44" s="38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7"/>
    </row>
    <row r="45" spans="1:16" ht="15" customHeight="1">
      <c r="A45" s="15">
        <v>91087</v>
      </c>
      <c r="B45" s="37"/>
      <c r="C45" s="37"/>
      <c r="D45" s="38"/>
      <c r="E45" s="38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7"/>
    </row>
    <row r="46" spans="1:16" ht="15" customHeight="1">
      <c r="A46" s="15">
        <v>91089</v>
      </c>
      <c r="B46" s="37"/>
      <c r="C46" s="37"/>
      <c r="D46" s="38"/>
      <c r="E46" s="38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7"/>
    </row>
    <row r="47" spans="1:16" ht="15" customHeight="1">
      <c r="A47" s="15">
        <v>91091</v>
      </c>
      <c r="B47" s="37"/>
      <c r="C47" s="37"/>
      <c r="D47" s="38"/>
      <c r="E47" s="38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7"/>
    </row>
    <row r="48" spans="1:16" ht="15" customHeight="1">
      <c r="A48" s="15">
        <v>91093</v>
      </c>
      <c r="B48" s="37"/>
      <c r="C48" s="37"/>
      <c r="D48" s="38"/>
      <c r="E48" s="38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7"/>
    </row>
    <row r="49" spans="1:16" ht="15" customHeight="1">
      <c r="A49" s="15">
        <v>91095</v>
      </c>
      <c r="B49" s="37"/>
      <c r="C49" s="37"/>
      <c r="D49" s="38"/>
      <c r="E49" s="38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7"/>
    </row>
    <row r="50" spans="1:16" ht="15" customHeight="1">
      <c r="A50" s="15">
        <v>91097</v>
      </c>
      <c r="B50" s="37"/>
      <c r="C50" s="37"/>
      <c r="D50" s="38"/>
      <c r="E50" s="38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7"/>
    </row>
    <row r="51" spans="1:16" ht="15" customHeight="1">
      <c r="A51" s="15">
        <v>91099</v>
      </c>
      <c r="B51" s="37"/>
      <c r="C51" s="37"/>
      <c r="D51" s="38"/>
      <c r="E51" s="38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7"/>
    </row>
    <row r="52" spans="1:16" ht="15" customHeight="1">
      <c r="A52" s="15">
        <v>91101</v>
      </c>
      <c r="B52" s="37"/>
      <c r="C52" s="37"/>
      <c r="D52" s="38"/>
      <c r="E52" s="38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7"/>
    </row>
    <row r="53" spans="1:16" ht="15" customHeight="1">
      <c r="A53" s="15">
        <v>91103</v>
      </c>
      <c r="B53" s="37"/>
      <c r="C53" s="37"/>
      <c r="D53" s="38"/>
      <c r="E53" s="38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7"/>
    </row>
    <row r="54" spans="1:16" ht="15" customHeight="1">
      <c r="A54" s="15">
        <v>91105</v>
      </c>
      <c r="B54" s="37"/>
      <c r="C54" s="37"/>
      <c r="D54" s="37"/>
      <c r="E54" s="37"/>
      <c r="F54" s="14"/>
      <c r="G54" s="14"/>
      <c r="H54" s="14"/>
      <c r="I54" s="14"/>
      <c r="J54" s="14"/>
      <c r="K54" s="14"/>
      <c r="L54" s="14"/>
      <c r="M54" s="19"/>
      <c r="N54" s="20"/>
      <c r="O54" s="14"/>
      <c r="P54" s="21"/>
    </row>
    <row r="55" spans="1:16" ht="15" customHeight="1">
      <c r="A55" s="15">
        <v>91107</v>
      </c>
      <c r="B55" s="37"/>
      <c r="C55" s="37"/>
      <c r="D55" s="38"/>
      <c r="E55" s="38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7"/>
    </row>
    <row r="56" spans="1:16" ht="15" customHeight="1">
      <c r="A56" s="15">
        <v>91109</v>
      </c>
      <c r="B56" s="37"/>
      <c r="C56" s="37"/>
      <c r="D56" s="38"/>
      <c r="E56" s="38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7"/>
    </row>
    <row r="57" spans="1:16" ht="15" customHeight="1">
      <c r="A57" s="15">
        <v>91111</v>
      </c>
      <c r="B57" s="37"/>
      <c r="C57" s="37"/>
      <c r="D57" s="37"/>
      <c r="E57" s="38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7"/>
    </row>
    <row r="58" spans="1:16" ht="15" customHeight="1">
      <c r="A58" s="15">
        <v>91113</v>
      </c>
      <c r="B58" s="37"/>
      <c r="C58" s="37"/>
      <c r="D58" s="37"/>
      <c r="E58" s="38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7"/>
    </row>
    <row r="59" spans="1:16" ht="15" customHeight="1">
      <c r="A59" s="15">
        <v>91115</v>
      </c>
      <c r="B59" s="37"/>
      <c r="C59" s="37"/>
      <c r="D59" s="37"/>
      <c r="E59" s="38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7"/>
    </row>
    <row r="60" spans="1:16" ht="15" customHeight="1">
      <c r="A60" s="15">
        <v>91117</v>
      </c>
      <c r="B60" s="37"/>
      <c r="C60" s="37"/>
      <c r="D60" s="37"/>
      <c r="E60" s="38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7"/>
    </row>
    <row r="61" spans="1:16" ht="15" customHeight="1">
      <c r="A61" s="15">
        <v>91119</v>
      </c>
      <c r="B61" s="37"/>
      <c r="C61" s="37"/>
      <c r="D61" s="37"/>
      <c r="E61" s="38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7"/>
    </row>
    <row r="62" spans="1:16" ht="15" customHeight="1">
      <c r="A62" s="15">
        <v>91121</v>
      </c>
      <c r="B62" s="37"/>
      <c r="C62" s="37"/>
      <c r="D62" s="37"/>
      <c r="E62" s="38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7"/>
    </row>
    <row r="63" spans="1:16" ht="15" customHeight="1">
      <c r="A63" s="15">
        <v>91123</v>
      </c>
      <c r="B63" s="37"/>
      <c r="C63" s="37"/>
      <c r="D63" s="37"/>
      <c r="E63" s="38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7"/>
    </row>
    <row r="64" spans="1:16" ht="15" customHeight="1">
      <c r="A64" s="15">
        <v>91125</v>
      </c>
      <c r="B64" s="37"/>
      <c r="C64" s="37"/>
      <c r="D64" s="37"/>
      <c r="E64" s="38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7"/>
    </row>
    <row r="65" spans="1:16" ht="15" customHeight="1">
      <c r="A65" s="15">
        <v>91127</v>
      </c>
      <c r="B65" s="37"/>
      <c r="C65" s="37"/>
      <c r="D65" s="37"/>
      <c r="E65" s="38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7"/>
    </row>
    <row r="66" spans="1:16" ht="15" customHeight="1">
      <c r="A66" s="15">
        <v>91129</v>
      </c>
      <c r="B66" s="37"/>
      <c r="C66" s="37"/>
      <c r="D66" s="37"/>
      <c r="E66" s="38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7"/>
    </row>
    <row r="67" spans="1:16" ht="15" customHeight="1">
      <c r="A67" s="15">
        <v>91131</v>
      </c>
      <c r="B67" s="37"/>
      <c r="C67" s="37"/>
      <c r="D67" s="37"/>
      <c r="E67" s="38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7"/>
    </row>
    <row r="68" spans="1:16">
      <c r="A68" s="15">
        <v>91133</v>
      </c>
      <c r="B68" s="37"/>
      <c r="C68" s="37"/>
      <c r="D68" s="37"/>
      <c r="E68" s="38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7"/>
    </row>
    <row r="69" spans="1:16">
      <c r="A69" s="15">
        <v>91135</v>
      </c>
      <c r="B69" s="37"/>
      <c r="C69" s="37"/>
      <c r="D69" s="37"/>
      <c r="E69" s="38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7"/>
    </row>
    <row r="70" spans="1:16">
      <c r="A70" s="15">
        <v>91137</v>
      </c>
      <c r="B70" s="37"/>
      <c r="C70" s="37"/>
      <c r="D70" s="37"/>
      <c r="E70" s="38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7"/>
    </row>
    <row r="71" spans="1:16">
      <c r="A71" s="15">
        <v>91139</v>
      </c>
      <c r="B71" s="37"/>
      <c r="C71" s="37"/>
      <c r="D71" s="37"/>
      <c r="E71" s="38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7"/>
    </row>
    <row r="72" spans="1:16">
      <c r="A72" s="15">
        <v>91141</v>
      </c>
      <c r="B72" s="37"/>
      <c r="C72" s="37"/>
      <c r="D72" s="37"/>
      <c r="E72" s="38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7"/>
    </row>
    <row r="73" spans="1:16">
      <c r="A73" s="15">
        <v>91143</v>
      </c>
      <c r="B73" s="37"/>
      <c r="C73" s="37"/>
      <c r="D73" s="37"/>
      <c r="E73" s="38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7"/>
    </row>
    <row r="74" spans="1:16">
      <c r="A74" s="15">
        <v>91145</v>
      </c>
      <c r="B74" s="37"/>
      <c r="C74" s="37"/>
      <c r="D74" s="37"/>
      <c r="E74" s="38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7"/>
    </row>
    <row r="75" spans="1:16">
      <c r="A75" s="15">
        <v>91147</v>
      </c>
      <c r="B75" s="37"/>
      <c r="C75" s="37"/>
      <c r="D75" s="37"/>
      <c r="E75" s="38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7"/>
    </row>
    <row r="76" spans="1:16">
      <c r="A76" s="15">
        <v>91149</v>
      </c>
      <c r="B76" s="37"/>
      <c r="C76" s="37"/>
      <c r="D76" s="37"/>
      <c r="E76" s="38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7"/>
    </row>
    <row r="77" spans="1:16">
      <c r="A77" s="15">
        <v>91151</v>
      </c>
      <c r="B77" s="37"/>
      <c r="C77" s="37"/>
      <c r="D77" s="37"/>
      <c r="E77" s="38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7"/>
    </row>
    <row r="78" spans="1:16">
      <c r="A78" s="15">
        <v>91153</v>
      </c>
      <c r="B78" s="37"/>
      <c r="C78" s="37"/>
      <c r="D78" s="37"/>
      <c r="E78" s="38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7"/>
    </row>
    <row r="79" spans="1:16">
      <c r="A79" s="15">
        <v>91155</v>
      </c>
      <c r="B79" s="37"/>
      <c r="C79" s="37"/>
      <c r="D79" s="37"/>
      <c r="E79" s="38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7"/>
    </row>
    <row r="80" spans="1:16">
      <c r="A80" s="15">
        <v>91157</v>
      </c>
      <c r="B80" s="37"/>
      <c r="C80" s="37"/>
      <c r="D80" s="37"/>
      <c r="E80" s="38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7"/>
    </row>
    <row r="81" spans="1:16">
      <c r="A81" s="15">
        <v>91159</v>
      </c>
      <c r="B81" s="37"/>
      <c r="C81" s="37"/>
      <c r="D81" s="37"/>
      <c r="E81" s="38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7"/>
    </row>
    <row r="82" spans="1:16">
      <c r="A82" s="15">
        <v>91161</v>
      </c>
      <c r="B82" s="37"/>
      <c r="C82" s="37"/>
      <c r="D82" s="37"/>
      <c r="E82" s="38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7"/>
    </row>
    <row r="83" spans="1:16">
      <c r="A83" s="15">
        <v>91163</v>
      </c>
      <c r="B83" s="37"/>
      <c r="C83" s="37"/>
      <c r="D83" s="37"/>
      <c r="E83" s="38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7"/>
    </row>
    <row r="84" spans="1:16">
      <c r="A84" s="15">
        <v>91165</v>
      </c>
      <c r="B84" s="37"/>
      <c r="C84" s="37"/>
      <c r="D84" s="37"/>
      <c r="E84" s="38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7"/>
    </row>
    <row r="85" spans="1:16">
      <c r="A85" s="15">
        <v>91167</v>
      </c>
      <c r="B85" s="37"/>
      <c r="C85" s="37"/>
      <c r="D85" s="37"/>
      <c r="E85" s="38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7"/>
    </row>
    <row r="86" spans="1:16">
      <c r="A86" s="15">
        <v>91169</v>
      </c>
      <c r="B86" s="37"/>
      <c r="C86" s="37"/>
      <c r="D86" s="37"/>
      <c r="E86" s="38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7"/>
    </row>
    <row r="87" spans="1:16">
      <c r="A87" s="15">
        <v>91171</v>
      </c>
      <c r="B87" s="37"/>
      <c r="C87" s="37"/>
      <c r="D87" s="37"/>
      <c r="E87" s="38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7"/>
    </row>
    <row r="88" spans="1:16">
      <c r="A88" s="15">
        <v>91173</v>
      </c>
      <c r="B88" s="37"/>
      <c r="C88" s="37"/>
      <c r="D88" s="37"/>
      <c r="E88" s="38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7"/>
    </row>
    <row r="89" spans="1:16">
      <c r="A89" s="15">
        <v>91175</v>
      </c>
      <c r="B89" s="37"/>
      <c r="C89" s="37"/>
      <c r="D89" s="37"/>
      <c r="E89" s="38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7"/>
    </row>
    <row r="90" spans="1:16">
      <c r="A90" s="15">
        <v>91177</v>
      </c>
      <c r="B90" s="37"/>
      <c r="C90" s="37"/>
      <c r="D90" s="37"/>
      <c r="E90" s="38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7"/>
    </row>
    <row r="91" spans="1:16">
      <c r="A91" s="15">
        <v>91179</v>
      </c>
      <c r="B91" s="37"/>
      <c r="C91" s="37"/>
      <c r="D91" s="37"/>
      <c r="E91" s="38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7"/>
    </row>
    <row r="92" spans="1:16">
      <c r="A92" s="15" t="s">
        <v>38</v>
      </c>
      <c r="B92" s="37"/>
      <c r="C92" s="37"/>
      <c r="D92" s="37"/>
      <c r="E92" s="38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7"/>
    </row>
    <row r="93" spans="1:16">
      <c r="A93" s="15" t="s">
        <v>40</v>
      </c>
      <c r="B93" s="37"/>
      <c r="C93" s="37"/>
      <c r="D93" s="37"/>
      <c r="E93" s="38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7"/>
    </row>
    <row r="94" spans="1:16">
      <c r="A94" s="15" t="s">
        <v>41</v>
      </c>
      <c r="B94" s="37"/>
      <c r="C94" s="37"/>
      <c r="D94" s="37"/>
      <c r="E94" s="38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7"/>
    </row>
    <row r="95" spans="1:16">
      <c r="A95" s="15" t="s">
        <v>42</v>
      </c>
      <c r="B95" s="37"/>
      <c r="C95" s="37"/>
      <c r="D95" s="37"/>
      <c r="E95" s="38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7"/>
    </row>
    <row r="96" spans="1:16">
      <c r="A96" s="15" t="s">
        <v>43</v>
      </c>
      <c r="B96" s="37"/>
      <c r="C96" s="37"/>
      <c r="D96" s="37"/>
      <c r="E96" s="38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7"/>
    </row>
    <row r="97" spans="1:16">
      <c r="A97" s="15" t="s">
        <v>44</v>
      </c>
      <c r="B97" s="37"/>
      <c r="C97" s="37"/>
      <c r="D97" s="37"/>
      <c r="E97" s="38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7"/>
    </row>
    <row r="98" spans="1:16">
      <c r="A98" s="15" t="s">
        <v>45</v>
      </c>
      <c r="B98" s="37"/>
      <c r="C98" s="37"/>
      <c r="D98" s="37"/>
      <c r="E98" s="38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7"/>
    </row>
    <row r="99" spans="1:16">
      <c r="A99" s="15" t="s">
        <v>46</v>
      </c>
      <c r="B99" s="37"/>
      <c r="C99" s="37"/>
      <c r="D99" s="37"/>
      <c r="E99" s="38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7"/>
    </row>
    <row r="100" spans="1:16">
      <c r="A100" s="15" t="s">
        <v>47</v>
      </c>
      <c r="B100" s="37"/>
      <c r="C100" s="37"/>
      <c r="D100" s="37"/>
      <c r="E100" s="38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7"/>
    </row>
    <row r="101" spans="1:16">
      <c r="A101" s="15" t="s">
        <v>48</v>
      </c>
      <c r="B101" s="37"/>
      <c r="C101" s="37"/>
      <c r="D101" s="37"/>
      <c r="E101" s="38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7"/>
    </row>
    <row r="102" spans="1:16">
      <c r="A102" s="15" t="s">
        <v>50</v>
      </c>
      <c r="B102" s="37"/>
      <c r="C102" s="37"/>
      <c r="D102" s="37"/>
      <c r="E102" s="38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7"/>
    </row>
    <row r="103" spans="1:16">
      <c r="A103" s="15" t="s">
        <v>51</v>
      </c>
      <c r="B103" s="37"/>
      <c r="C103" s="37"/>
      <c r="D103" s="37"/>
      <c r="E103" s="38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7"/>
    </row>
    <row r="104" spans="1:16">
      <c r="A104" s="15" t="s">
        <v>52</v>
      </c>
      <c r="B104" s="37"/>
      <c r="C104" s="37"/>
      <c r="D104" s="37"/>
      <c r="E104" s="38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7"/>
    </row>
    <row r="105" spans="1:16">
      <c r="A105" s="15" t="s">
        <v>54</v>
      </c>
      <c r="B105" s="37"/>
      <c r="C105" s="37"/>
      <c r="D105" s="37"/>
      <c r="E105" s="38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7"/>
    </row>
    <row r="106" spans="1:16">
      <c r="A106" s="15">
        <v>91209</v>
      </c>
      <c r="B106" s="37"/>
      <c r="C106" s="37"/>
      <c r="D106" s="37"/>
      <c r="E106" s="38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7"/>
    </row>
    <row r="107" spans="1:16">
      <c r="A107" s="15" t="s">
        <v>55</v>
      </c>
      <c r="B107" s="37"/>
      <c r="C107" s="37"/>
      <c r="D107" s="37"/>
      <c r="E107" s="38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7"/>
    </row>
    <row r="108" spans="1:16">
      <c r="A108" s="15" t="s">
        <v>56</v>
      </c>
      <c r="B108" s="37"/>
      <c r="C108" s="37"/>
      <c r="D108" s="37"/>
      <c r="E108" s="38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7"/>
    </row>
    <row r="109" spans="1:16">
      <c r="A109" s="15" t="s">
        <v>57</v>
      </c>
      <c r="B109" s="37"/>
      <c r="C109" s="37"/>
      <c r="D109" s="37"/>
      <c r="E109" s="38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7"/>
    </row>
    <row r="110" spans="1:16">
      <c r="A110" s="15" t="s">
        <v>58</v>
      </c>
      <c r="B110" s="37"/>
      <c r="C110" s="37"/>
      <c r="D110" s="37"/>
      <c r="E110" s="38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7"/>
    </row>
    <row r="111" spans="1:16">
      <c r="A111" s="15" t="s">
        <v>59</v>
      </c>
      <c r="B111" s="37"/>
      <c r="C111" s="37"/>
      <c r="D111" s="37"/>
      <c r="E111" s="38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7"/>
    </row>
    <row r="112" spans="1:16">
      <c r="A112" s="15" t="s">
        <v>60</v>
      </c>
      <c r="B112" s="37"/>
      <c r="C112" s="37"/>
      <c r="D112" s="37"/>
      <c r="E112" s="38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7"/>
    </row>
    <row r="113" spans="1:16">
      <c r="A113" s="15" t="s">
        <v>61</v>
      </c>
      <c r="B113" s="37"/>
      <c r="C113" s="37"/>
      <c r="D113" s="37"/>
      <c r="E113" s="38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7"/>
    </row>
    <row r="114" spans="1:16">
      <c r="A114" s="15" t="s">
        <v>62</v>
      </c>
      <c r="B114" s="37"/>
      <c r="C114" s="37"/>
      <c r="D114" s="37"/>
      <c r="E114" s="38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7"/>
    </row>
    <row r="115" spans="1:16">
      <c r="A115" s="15" t="s">
        <v>64</v>
      </c>
      <c r="B115" s="37"/>
      <c r="C115" s="37"/>
      <c r="D115" s="37"/>
      <c r="E115" s="38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7"/>
    </row>
    <row r="116" spans="1:16">
      <c r="A116" s="15" t="s">
        <v>65</v>
      </c>
      <c r="B116" s="37"/>
      <c r="C116" s="37"/>
      <c r="D116" s="37"/>
      <c r="E116" s="38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7"/>
    </row>
    <row r="117" spans="1:16">
      <c r="A117" s="15" t="s">
        <v>66</v>
      </c>
      <c r="B117" s="37"/>
      <c r="C117" s="37"/>
      <c r="D117" s="37"/>
      <c r="E117" s="38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7"/>
    </row>
    <row r="118" spans="1:16">
      <c r="A118" s="15" t="s">
        <v>67</v>
      </c>
      <c r="B118" s="37"/>
      <c r="C118" s="37"/>
      <c r="D118" s="37"/>
      <c r="E118" s="38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7"/>
    </row>
    <row r="119" spans="1:16">
      <c r="A119" s="15" t="s">
        <v>69</v>
      </c>
      <c r="B119" s="37"/>
      <c r="C119" s="37"/>
      <c r="D119" s="37"/>
      <c r="E119" s="38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7"/>
    </row>
    <row r="120" spans="1:16">
      <c r="A120" s="15" t="s">
        <v>70</v>
      </c>
      <c r="B120" s="37"/>
      <c r="C120" s="37"/>
      <c r="D120" s="37"/>
      <c r="E120" s="38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7"/>
    </row>
    <row r="121" spans="1:16">
      <c r="A121" s="15" t="s">
        <v>71</v>
      </c>
      <c r="B121" s="37"/>
      <c r="C121" s="37"/>
      <c r="D121" s="37"/>
      <c r="E121" s="38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7"/>
    </row>
    <row r="122" spans="1:16">
      <c r="A122" s="15" t="s">
        <v>72</v>
      </c>
      <c r="B122" s="37"/>
      <c r="C122" s="37"/>
      <c r="D122" s="37"/>
      <c r="E122" s="38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7"/>
    </row>
    <row r="123" spans="1:16">
      <c r="A123" s="15" t="s">
        <v>73</v>
      </c>
      <c r="B123" s="37"/>
      <c r="C123" s="37"/>
      <c r="D123" s="37"/>
      <c r="E123" s="38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7"/>
    </row>
    <row r="124" spans="1:16">
      <c r="A124" s="15" t="s">
        <v>74</v>
      </c>
      <c r="B124" s="37"/>
      <c r="C124" s="37"/>
      <c r="D124" s="37"/>
      <c r="E124" s="38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7"/>
    </row>
    <row r="125" spans="1:16">
      <c r="A125" s="15" t="s">
        <v>75</v>
      </c>
      <c r="B125" s="37"/>
      <c r="C125" s="37"/>
      <c r="D125" s="37"/>
      <c r="E125" s="38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7"/>
    </row>
    <row r="126" spans="1:16">
      <c r="A126" s="15" t="s">
        <v>76</v>
      </c>
      <c r="B126" s="37"/>
      <c r="C126" s="37"/>
      <c r="D126" s="37"/>
      <c r="E126" s="38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7"/>
    </row>
    <row r="127" spans="1:16">
      <c r="A127" s="15" t="s">
        <v>77</v>
      </c>
      <c r="B127" s="37"/>
      <c r="C127" s="37"/>
      <c r="D127" s="37"/>
      <c r="E127" s="38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7"/>
    </row>
    <row r="128" spans="1:16">
      <c r="A128" s="15" t="s">
        <v>78</v>
      </c>
      <c r="B128" s="37"/>
      <c r="C128" s="37"/>
      <c r="D128" s="37"/>
      <c r="E128" s="38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7"/>
    </row>
    <row r="129" spans="1:16">
      <c r="A129" s="15">
        <v>91255</v>
      </c>
      <c r="B129" s="37"/>
      <c r="C129" s="37"/>
      <c r="D129" s="37"/>
      <c r="E129" s="38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7"/>
    </row>
    <row r="130" spans="1:16">
      <c r="A130" s="15" t="s">
        <v>80</v>
      </c>
      <c r="B130" s="37"/>
      <c r="C130" s="37"/>
      <c r="D130" s="37"/>
      <c r="E130" s="38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7"/>
    </row>
    <row r="131" spans="1:16">
      <c r="A131" s="15" t="s">
        <v>81</v>
      </c>
      <c r="B131" s="37"/>
      <c r="C131" s="37"/>
      <c r="D131" s="37"/>
      <c r="E131" s="38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7"/>
    </row>
    <row r="132" spans="1:16">
      <c r="A132" s="15" t="s">
        <v>82</v>
      </c>
      <c r="B132" s="37"/>
      <c r="C132" s="37"/>
      <c r="D132" s="37"/>
      <c r="E132" s="38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7"/>
    </row>
    <row r="133" spans="1:16">
      <c r="A133" s="15" t="s">
        <v>83</v>
      </c>
      <c r="B133" s="37"/>
      <c r="C133" s="37"/>
      <c r="D133" s="37"/>
      <c r="E133" s="38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7"/>
    </row>
    <row r="134" spans="1:16">
      <c r="A134" s="15" t="s">
        <v>84</v>
      </c>
      <c r="B134" s="37"/>
      <c r="C134" s="37"/>
      <c r="D134" s="37"/>
      <c r="E134" s="38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7"/>
    </row>
    <row r="135" spans="1:16">
      <c r="A135" s="15" t="s">
        <v>85</v>
      </c>
      <c r="B135" s="37"/>
      <c r="C135" s="37"/>
      <c r="D135" s="37"/>
      <c r="E135" s="38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7"/>
    </row>
    <row r="136" spans="1:16">
      <c r="A136" s="15" t="s">
        <v>86</v>
      </c>
      <c r="B136" s="37"/>
      <c r="C136" s="37"/>
      <c r="D136" s="37"/>
      <c r="E136" s="38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7"/>
    </row>
    <row r="137" spans="1:16">
      <c r="A137" s="15" t="s">
        <v>87</v>
      </c>
      <c r="B137" s="37"/>
      <c r="C137" s="37"/>
      <c r="D137" s="37"/>
      <c r="E137" s="38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7"/>
    </row>
    <row r="138" spans="1:16">
      <c r="A138" s="15">
        <v>91273</v>
      </c>
      <c r="B138" s="37"/>
      <c r="C138" s="37"/>
      <c r="D138" s="37"/>
      <c r="E138" s="38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7"/>
    </row>
    <row r="139" spans="1:16">
      <c r="A139" s="15" t="s">
        <v>88</v>
      </c>
      <c r="B139" s="37"/>
      <c r="C139" s="37"/>
      <c r="D139" s="37"/>
      <c r="E139" s="38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7"/>
    </row>
    <row r="140" spans="1:16">
      <c r="A140" s="15" t="s">
        <v>89</v>
      </c>
      <c r="B140" s="37"/>
      <c r="C140" s="37"/>
      <c r="D140" s="37"/>
      <c r="E140" s="38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7"/>
    </row>
    <row r="141" spans="1:16">
      <c r="A141" s="15">
        <v>91279</v>
      </c>
      <c r="B141" s="37"/>
      <c r="C141" s="37"/>
      <c r="D141" s="37"/>
      <c r="E141" s="38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7"/>
    </row>
    <row r="142" spans="1:16">
      <c r="A142" s="15" t="s">
        <v>90</v>
      </c>
      <c r="B142" s="37"/>
      <c r="C142" s="37"/>
      <c r="D142" s="37"/>
      <c r="E142" s="38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7"/>
    </row>
    <row r="143" spans="1:16">
      <c r="A143" s="15" t="s">
        <v>92</v>
      </c>
      <c r="B143" s="37"/>
      <c r="C143" s="37"/>
      <c r="D143" s="37"/>
      <c r="E143" s="38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7"/>
    </row>
    <row r="144" spans="1:16">
      <c r="A144" s="15" t="s">
        <v>93</v>
      </c>
      <c r="B144" s="37"/>
      <c r="C144" s="37"/>
      <c r="D144" s="37"/>
      <c r="E144" s="38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7"/>
    </row>
    <row r="145" spans="1:16">
      <c r="A145" s="15" t="s">
        <v>95</v>
      </c>
      <c r="B145" s="37"/>
      <c r="C145" s="37"/>
      <c r="D145" s="37"/>
      <c r="E145" s="38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7"/>
    </row>
    <row r="146" spans="1:16">
      <c r="A146" s="15" t="s">
        <v>96</v>
      </c>
      <c r="B146" s="37"/>
      <c r="C146" s="37"/>
      <c r="D146" s="37"/>
      <c r="E146" s="38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7"/>
    </row>
    <row r="147" spans="1:16">
      <c r="A147" s="15" t="s">
        <v>97</v>
      </c>
      <c r="B147" s="37"/>
      <c r="C147" s="37"/>
      <c r="D147" s="37"/>
      <c r="E147" s="38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7"/>
    </row>
    <row r="148" spans="1:16">
      <c r="A148" s="15" t="s">
        <v>98</v>
      </c>
      <c r="B148" s="37"/>
      <c r="C148" s="37"/>
      <c r="D148" s="37"/>
      <c r="E148" s="38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7"/>
    </row>
    <row r="149" spans="1:16">
      <c r="A149" s="15" t="s">
        <v>99</v>
      </c>
      <c r="B149" s="37"/>
      <c r="C149" s="37"/>
      <c r="D149" s="37"/>
      <c r="E149" s="38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7"/>
    </row>
    <row r="150" spans="1:16">
      <c r="A150" s="15" t="s">
        <v>100</v>
      </c>
      <c r="B150" s="37"/>
      <c r="C150" s="37"/>
      <c r="D150" s="37"/>
      <c r="E150" s="38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7"/>
    </row>
    <row r="151" spans="1:16">
      <c r="A151" s="15" t="s">
        <v>101</v>
      </c>
      <c r="B151" s="37"/>
      <c r="C151" s="37"/>
      <c r="D151" s="37"/>
      <c r="E151" s="38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7"/>
    </row>
    <row r="152" spans="1:16">
      <c r="A152" s="15">
        <v>91301</v>
      </c>
      <c r="B152" s="37"/>
      <c r="C152" s="37"/>
      <c r="D152" s="37"/>
      <c r="E152" s="38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7"/>
    </row>
    <row r="153" spans="1:16">
      <c r="A153" s="15">
        <v>91303</v>
      </c>
      <c r="B153" s="37"/>
      <c r="C153" s="37"/>
      <c r="D153" s="37"/>
      <c r="E153" s="38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7"/>
    </row>
    <row r="154" spans="1:16">
      <c r="A154" s="15" t="s">
        <v>103</v>
      </c>
      <c r="B154" s="37"/>
      <c r="C154" s="37"/>
      <c r="D154" s="37"/>
      <c r="E154" s="38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7"/>
    </row>
    <row r="155" spans="1:16">
      <c r="A155" s="15" t="s">
        <v>104</v>
      </c>
      <c r="B155" s="37"/>
      <c r="C155" s="37"/>
      <c r="D155" s="37"/>
      <c r="E155" s="38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7"/>
    </row>
    <row r="156" spans="1:16">
      <c r="A156" s="15" t="s">
        <v>105</v>
      </c>
      <c r="B156" s="37"/>
      <c r="C156" s="37"/>
      <c r="D156" s="37"/>
      <c r="E156" s="38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7"/>
    </row>
    <row r="157" spans="1:16">
      <c r="A157" s="15" t="s">
        <v>107</v>
      </c>
      <c r="B157" s="37"/>
      <c r="C157" s="37"/>
      <c r="D157" s="37"/>
      <c r="E157" s="38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7"/>
    </row>
    <row r="158" spans="1:16">
      <c r="A158" s="15" t="s">
        <v>108</v>
      </c>
      <c r="B158" s="37"/>
      <c r="C158" s="37"/>
      <c r="D158" s="37"/>
      <c r="E158" s="38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7"/>
    </row>
    <row r="159" spans="1:16">
      <c r="A159" s="15" t="s">
        <v>109</v>
      </c>
      <c r="B159" s="37"/>
      <c r="C159" s="37"/>
      <c r="D159" s="37"/>
      <c r="E159" s="38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7"/>
    </row>
    <row r="160" spans="1:16">
      <c r="A160" s="15" t="s">
        <v>110</v>
      </c>
      <c r="B160" s="37"/>
      <c r="C160" s="37"/>
      <c r="D160" s="37"/>
      <c r="E160" s="38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7"/>
    </row>
    <row r="161" spans="1:16">
      <c r="A161" s="15" t="s">
        <v>112</v>
      </c>
      <c r="B161" s="37"/>
      <c r="C161" s="37"/>
      <c r="D161" s="37"/>
      <c r="E161" s="38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7"/>
    </row>
    <row r="162" spans="1:16">
      <c r="A162" s="15" t="s">
        <v>113</v>
      </c>
      <c r="B162" s="37"/>
      <c r="C162" s="37"/>
      <c r="D162" s="37"/>
      <c r="E162" s="38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7"/>
    </row>
    <row r="163" spans="1:16">
      <c r="A163" s="15" t="s">
        <v>114</v>
      </c>
      <c r="B163" s="37"/>
      <c r="C163" s="37"/>
      <c r="D163" s="37"/>
      <c r="E163" s="38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7"/>
    </row>
    <row r="164" spans="1:16">
      <c r="A164" s="15" t="s">
        <v>115</v>
      </c>
      <c r="B164" s="37"/>
      <c r="C164" s="37"/>
      <c r="D164" s="37"/>
      <c r="E164" s="38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7"/>
    </row>
    <row r="165" spans="1:16">
      <c r="A165" s="15" t="s">
        <v>116</v>
      </c>
      <c r="B165" s="37"/>
      <c r="C165" s="37"/>
      <c r="D165" s="37"/>
      <c r="E165" s="38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7"/>
    </row>
    <row r="166" spans="1:16">
      <c r="A166" s="15">
        <v>91329</v>
      </c>
      <c r="B166" s="37"/>
      <c r="C166" s="37"/>
      <c r="D166" s="37"/>
      <c r="E166" s="38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7"/>
    </row>
    <row r="167" spans="1:16">
      <c r="A167" s="15" t="s">
        <v>117</v>
      </c>
      <c r="B167" s="37"/>
      <c r="C167" s="37"/>
      <c r="D167" s="37"/>
      <c r="E167" s="38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7"/>
    </row>
    <row r="168" spans="1:16">
      <c r="A168" s="15" t="s">
        <v>118</v>
      </c>
      <c r="B168" s="37"/>
      <c r="C168" s="37"/>
      <c r="D168" s="37"/>
      <c r="E168" s="38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7"/>
    </row>
    <row r="169" spans="1:16">
      <c r="A169" s="15" t="s">
        <v>120</v>
      </c>
      <c r="B169" s="37"/>
      <c r="C169" s="37"/>
      <c r="D169" s="37"/>
      <c r="E169" s="38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7"/>
    </row>
    <row r="170" spans="1:16">
      <c r="A170" s="22">
        <v>91337</v>
      </c>
      <c r="B170" s="37"/>
      <c r="C170" s="37"/>
      <c r="D170" s="37"/>
      <c r="E170" s="38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7"/>
    </row>
    <row r="171" spans="1:16">
      <c r="A171" s="15" t="s">
        <v>121</v>
      </c>
      <c r="B171" s="37"/>
      <c r="C171" s="37"/>
      <c r="D171" s="37"/>
      <c r="E171" s="38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7"/>
    </row>
    <row r="172" spans="1:16">
      <c r="A172" s="15">
        <v>91341</v>
      </c>
      <c r="B172" s="37"/>
      <c r="C172" s="37"/>
      <c r="D172" s="37"/>
      <c r="E172" s="38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7"/>
    </row>
    <row r="173" spans="1:16">
      <c r="A173" s="15">
        <v>91343</v>
      </c>
      <c r="B173" s="37"/>
      <c r="C173" s="37"/>
      <c r="D173" s="37"/>
      <c r="E173" s="38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7"/>
    </row>
    <row r="174" spans="1:16">
      <c r="A174" s="15">
        <v>91345</v>
      </c>
      <c r="B174" s="37"/>
      <c r="C174" s="37"/>
      <c r="D174" s="37"/>
      <c r="E174" s="38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7"/>
    </row>
    <row r="175" spans="1:16">
      <c r="A175" s="15">
        <v>91347</v>
      </c>
      <c r="B175" s="37"/>
      <c r="C175" s="37"/>
      <c r="D175" s="37"/>
      <c r="E175" s="38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7"/>
    </row>
    <row r="176" spans="1:16">
      <c r="A176" s="15">
        <v>91349</v>
      </c>
      <c r="B176" s="37"/>
      <c r="C176" s="37"/>
      <c r="D176" s="37"/>
      <c r="E176" s="38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7"/>
    </row>
    <row r="177" spans="1:16">
      <c r="A177" s="15">
        <v>93002</v>
      </c>
      <c r="B177" s="37"/>
      <c r="C177" s="37"/>
      <c r="D177" s="37"/>
      <c r="E177" s="38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7"/>
    </row>
    <row r="178" spans="1:16">
      <c r="A178" s="15">
        <v>93004</v>
      </c>
      <c r="B178" s="37"/>
      <c r="C178" s="37"/>
      <c r="D178" s="37"/>
      <c r="E178" s="38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7"/>
    </row>
    <row r="179" spans="1:16">
      <c r="A179" s="15">
        <v>93006</v>
      </c>
      <c r="B179" s="37"/>
      <c r="C179" s="37"/>
      <c r="D179" s="37"/>
      <c r="E179" s="38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7"/>
    </row>
    <row r="180" spans="1:16">
      <c r="A180" s="15">
        <v>93008</v>
      </c>
      <c r="B180" s="37"/>
      <c r="C180" s="37"/>
      <c r="D180" s="37"/>
      <c r="E180" s="38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7"/>
    </row>
    <row r="181" spans="1:16">
      <c r="A181" s="15">
        <v>93010</v>
      </c>
      <c r="B181" s="37"/>
      <c r="C181" s="37"/>
      <c r="D181" s="37"/>
      <c r="E181" s="38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7"/>
    </row>
    <row r="182" spans="1:16">
      <c r="A182" s="15">
        <v>93012</v>
      </c>
      <c r="B182" s="37"/>
      <c r="C182" s="37"/>
      <c r="D182" s="37"/>
      <c r="E182" s="38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7"/>
    </row>
    <row r="183" spans="1:16">
      <c r="A183" s="15">
        <v>93014</v>
      </c>
      <c r="B183" s="37"/>
      <c r="C183" s="37"/>
      <c r="D183" s="37"/>
      <c r="E183" s="38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7"/>
    </row>
    <row r="184" spans="1:16">
      <c r="A184" s="15">
        <v>93016</v>
      </c>
      <c r="B184" s="37"/>
      <c r="C184" s="37"/>
      <c r="D184" s="37"/>
      <c r="E184" s="38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7"/>
    </row>
    <row r="185" spans="1:16">
      <c r="A185" s="15">
        <v>93018</v>
      </c>
      <c r="B185" s="37"/>
      <c r="C185" s="37"/>
      <c r="D185" s="37"/>
      <c r="E185" s="38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7"/>
    </row>
    <row r="186" spans="1:16">
      <c r="A186" s="15">
        <v>93020</v>
      </c>
      <c r="B186" s="37"/>
      <c r="C186" s="37"/>
      <c r="D186" s="37"/>
      <c r="E186" s="38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7"/>
    </row>
    <row r="187" spans="1:16">
      <c r="A187" s="15">
        <v>93022</v>
      </c>
      <c r="B187" s="37"/>
      <c r="C187" s="37"/>
      <c r="D187" s="37"/>
      <c r="E187" s="38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7"/>
    </row>
    <row r="188" spans="1:16">
      <c r="A188" s="15">
        <v>93024</v>
      </c>
      <c r="B188" s="37"/>
      <c r="C188" s="37"/>
      <c r="D188" s="37"/>
      <c r="E188" s="38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7"/>
    </row>
    <row r="189" spans="1:16">
      <c r="A189" s="15">
        <v>93026</v>
      </c>
      <c r="B189" s="37"/>
      <c r="C189" s="37"/>
      <c r="D189" s="37"/>
      <c r="E189" s="38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7"/>
    </row>
    <row r="190" spans="1:16">
      <c r="A190" s="15">
        <v>93028</v>
      </c>
      <c r="B190" s="37"/>
      <c r="C190" s="37"/>
      <c r="D190" s="37"/>
      <c r="E190" s="38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7"/>
    </row>
    <row r="191" spans="1:16">
      <c r="A191" s="15">
        <v>93030</v>
      </c>
      <c r="B191" s="37"/>
      <c r="C191" s="37"/>
      <c r="D191" s="37"/>
      <c r="E191" s="38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7"/>
    </row>
    <row r="192" spans="1:16">
      <c r="A192" s="15">
        <v>93032</v>
      </c>
      <c r="B192" s="37"/>
      <c r="C192" s="37"/>
      <c r="D192" s="37"/>
      <c r="E192" s="38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7"/>
    </row>
    <row r="193" spans="1:16">
      <c r="A193" s="15">
        <v>93034</v>
      </c>
      <c r="B193" s="37"/>
      <c r="C193" s="37"/>
      <c r="D193" s="37"/>
      <c r="E193" s="38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7"/>
    </row>
    <row r="194" spans="1:16">
      <c r="A194" s="15">
        <v>93036</v>
      </c>
      <c r="B194" s="37"/>
      <c r="C194" s="37"/>
      <c r="D194" s="37"/>
      <c r="E194" s="38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7"/>
    </row>
    <row r="195" spans="1:16">
      <c r="A195" s="15">
        <v>93038</v>
      </c>
      <c r="B195" s="37"/>
      <c r="C195" s="37"/>
      <c r="D195" s="37"/>
      <c r="E195" s="38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7"/>
    </row>
    <row r="196" spans="1:16">
      <c r="A196" s="15">
        <v>93040</v>
      </c>
      <c r="B196" s="37"/>
      <c r="C196" s="37"/>
      <c r="D196" s="37"/>
      <c r="E196" s="38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7"/>
    </row>
    <row r="197" spans="1:16">
      <c r="A197" s="15">
        <v>93042</v>
      </c>
      <c r="B197" s="37"/>
      <c r="C197" s="37"/>
      <c r="D197" s="37"/>
      <c r="E197" s="38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7"/>
    </row>
    <row r="198" spans="1:16">
      <c r="A198" s="15">
        <v>93044</v>
      </c>
      <c r="B198" s="37"/>
      <c r="C198" s="37"/>
      <c r="D198" s="37"/>
      <c r="E198" s="38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7"/>
    </row>
    <row r="199" spans="1:16">
      <c r="A199" s="15">
        <v>93046</v>
      </c>
      <c r="B199" s="37"/>
      <c r="C199" s="37"/>
      <c r="D199" s="37"/>
      <c r="E199" s="38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7"/>
    </row>
    <row r="200" spans="1:16">
      <c r="A200" s="15">
        <v>93048</v>
      </c>
      <c r="B200" s="37"/>
      <c r="C200" s="37"/>
      <c r="D200" s="37"/>
      <c r="E200" s="37"/>
      <c r="F200" s="14"/>
      <c r="G200" s="14"/>
      <c r="H200" s="14"/>
      <c r="I200" s="14"/>
      <c r="J200" s="14"/>
      <c r="K200" s="14"/>
      <c r="L200" s="14"/>
      <c r="M200" s="19"/>
      <c r="N200" s="20"/>
      <c r="O200" s="14"/>
      <c r="P200" s="21"/>
    </row>
    <row r="201" spans="1:16">
      <c r="A201" s="15">
        <v>93050</v>
      </c>
      <c r="B201" s="37"/>
      <c r="C201" s="37"/>
      <c r="D201" s="40"/>
      <c r="E201" s="38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7"/>
    </row>
    <row r="202" spans="1:16">
      <c r="A202" s="15">
        <v>93052</v>
      </c>
      <c r="B202" s="37"/>
      <c r="C202" s="37"/>
      <c r="D202" s="37"/>
      <c r="E202" s="38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7"/>
    </row>
    <row r="203" spans="1:16">
      <c r="A203" s="15">
        <v>93054</v>
      </c>
      <c r="B203" s="37"/>
      <c r="C203" s="37"/>
      <c r="D203" s="37"/>
      <c r="E203" s="38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7"/>
    </row>
    <row r="204" spans="1:16">
      <c r="A204" s="15">
        <v>93056</v>
      </c>
      <c r="B204" s="37"/>
      <c r="C204" s="37"/>
      <c r="D204" s="37"/>
      <c r="E204" s="38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7"/>
    </row>
    <row r="205" spans="1:16">
      <c r="A205" s="15">
        <v>93058</v>
      </c>
      <c r="B205" s="37"/>
      <c r="C205" s="37"/>
      <c r="D205" s="37"/>
      <c r="E205" s="38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7"/>
    </row>
    <row r="206" spans="1:16">
      <c r="A206" s="15">
        <v>93060</v>
      </c>
      <c r="B206" s="37"/>
      <c r="C206" s="37"/>
      <c r="D206" s="37"/>
      <c r="E206" s="38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7"/>
    </row>
    <row r="207" spans="1:16">
      <c r="A207" s="15">
        <v>93062</v>
      </c>
      <c r="B207" s="37"/>
      <c r="C207" s="37"/>
      <c r="D207" s="37"/>
      <c r="E207" s="38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7"/>
    </row>
    <row r="208" spans="1:16">
      <c r="A208" s="15">
        <v>93064</v>
      </c>
      <c r="B208" s="37"/>
      <c r="C208" s="37"/>
      <c r="D208" s="37"/>
      <c r="E208" s="38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7"/>
    </row>
    <row r="209" spans="1:16">
      <c r="A209" s="15">
        <v>93066</v>
      </c>
      <c r="B209" s="37"/>
      <c r="C209" s="37"/>
      <c r="D209" s="37"/>
      <c r="E209" s="38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7"/>
    </row>
    <row r="210" spans="1:16">
      <c r="A210" s="15">
        <v>93068</v>
      </c>
      <c r="B210" s="37"/>
      <c r="C210" s="37"/>
      <c r="D210" s="37"/>
      <c r="E210" s="38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7"/>
    </row>
    <row r="211" spans="1:16">
      <c r="A211" s="15">
        <v>93070</v>
      </c>
      <c r="B211" s="37"/>
      <c r="C211" s="37"/>
      <c r="D211" s="37"/>
      <c r="E211" s="38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7"/>
    </row>
    <row r="212" spans="1:16">
      <c r="A212" s="15">
        <v>93072</v>
      </c>
      <c r="B212" s="37"/>
      <c r="C212" s="37"/>
      <c r="D212" s="37"/>
      <c r="E212" s="38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7"/>
    </row>
    <row r="213" spans="1:16">
      <c r="A213" s="15">
        <v>93074</v>
      </c>
      <c r="B213" s="37"/>
      <c r="C213" s="37"/>
      <c r="D213" s="37"/>
      <c r="E213" s="37"/>
      <c r="F213" s="14"/>
      <c r="G213" s="14"/>
      <c r="H213" s="14"/>
      <c r="I213" s="14"/>
      <c r="J213" s="14"/>
      <c r="K213" s="14"/>
      <c r="L213" s="14"/>
      <c r="M213" s="19"/>
      <c r="N213" s="20"/>
      <c r="O213" s="19"/>
      <c r="P213" s="17"/>
    </row>
    <row r="214" spans="1:16">
      <c r="A214" s="15">
        <v>93076</v>
      </c>
      <c r="B214" s="37"/>
      <c r="C214" s="37"/>
      <c r="D214" s="37"/>
      <c r="E214" s="38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7"/>
    </row>
    <row r="215" spans="1:16">
      <c r="A215" s="15">
        <v>93078</v>
      </c>
      <c r="B215" s="37"/>
      <c r="C215" s="37"/>
      <c r="D215" s="37"/>
      <c r="E215" s="38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7"/>
    </row>
    <row r="216" spans="1:16">
      <c r="A216" s="15">
        <v>93080</v>
      </c>
      <c r="B216" s="37"/>
      <c r="C216" s="37"/>
      <c r="D216" s="37"/>
      <c r="E216" s="38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7"/>
    </row>
    <row r="217" spans="1:16">
      <c r="A217" s="15">
        <v>93082</v>
      </c>
      <c r="B217" s="37"/>
      <c r="C217" s="37"/>
      <c r="D217" s="37"/>
      <c r="E217" s="38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7"/>
    </row>
    <row r="218" spans="1:16">
      <c r="A218" s="15">
        <v>93084</v>
      </c>
      <c r="B218" s="37"/>
      <c r="C218" s="37"/>
      <c r="D218" s="37"/>
      <c r="E218" s="38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7"/>
    </row>
    <row r="219" spans="1:16">
      <c r="A219" s="15">
        <v>93086</v>
      </c>
      <c r="B219" s="37"/>
      <c r="C219" s="37"/>
      <c r="D219" s="37"/>
      <c r="E219" s="38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7"/>
    </row>
    <row r="220" spans="1:16">
      <c r="A220" s="15">
        <v>93088</v>
      </c>
      <c r="B220" s="37"/>
      <c r="C220" s="37"/>
      <c r="D220" s="37"/>
      <c r="E220" s="38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7"/>
    </row>
    <row r="221" spans="1:16">
      <c r="A221" s="15">
        <v>93090</v>
      </c>
      <c r="B221" s="37"/>
      <c r="C221" s="37"/>
      <c r="D221" s="37"/>
      <c r="E221" s="38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7"/>
    </row>
    <row r="222" spans="1:16">
      <c r="A222" s="15">
        <v>93092</v>
      </c>
      <c r="B222" s="37"/>
      <c r="C222" s="37"/>
      <c r="D222" s="37"/>
      <c r="E222" s="38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7"/>
    </row>
    <row r="223" spans="1:16">
      <c r="A223" s="15">
        <v>93094</v>
      </c>
      <c r="B223" s="37"/>
      <c r="C223" s="37"/>
      <c r="D223" s="37"/>
      <c r="E223" s="38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7"/>
    </row>
    <row r="224" spans="1:16">
      <c r="A224" s="15">
        <v>93096</v>
      </c>
      <c r="B224" s="37"/>
      <c r="C224" s="37"/>
      <c r="D224" s="37"/>
      <c r="E224" s="38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7"/>
    </row>
    <row r="225" spans="1:16">
      <c r="A225" s="15">
        <v>93098</v>
      </c>
      <c r="B225" s="37"/>
      <c r="C225" s="37"/>
      <c r="D225" s="37"/>
      <c r="E225" s="38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7"/>
    </row>
    <row r="226" spans="1:16">
      <c r="A226" s="22">
        <v>93100</v>
      </c>
      <c r="B226" s="37"/>
      <c r="C226" s="37"/>
      <c r="D226" s="37"/>
      <c r="E226" s="38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7"/>
    </row>
    <row r="227" spans="1:16">
      <c r="A227" s="15">
        <v>93102</v>
      </c>
      <c r="B227" s="37"/>
      <c r="C227" s="37"/>
      <c r="D227" s="37"/>
      <c r="E227" s="38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7"/>
    </row>
    <row r="228" spans="1:16">
      <c r="A228" s="15">
        <v>93104</v>
      </c>
      <c r="B228" s="37"/>
      <c r="C228" s="37"/>
      <c r="D228" s="37"/>
      <c r="E228" s="38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7"/>
    </row>
    <row r="229" spans="1:16">
      <c r="A229" s="15">
        <v>93106</v>
      </c>
      <c r="B229" s="37"/>
      <c r="C229" s="37"/>
      <c r="D229" s="37"/>
      <c r="E229" s="38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7"/>
    </row>
    <row r="230" spans="1:16">
      <c r="A230" s="15">
        <v>93108</v>
      </c>
      <c r="B230" s="37"/>
      <c r="C230" s="37"/>
      <c r="D230" s="37"/>
      <c r="E230" s="37"/>
      <c r="F230" s="14"/>
      <c r="G230" s="14"/>
      <c r="H230" s="14"/>
      <c r="I230" s="14"/>
      <c r="J230" s="14"/>
      <c r="K230" s="14"/>
      <c r="L230" s="14"/>
      <c r="M230" s="19"/>
      <c r="N230" s="20"/>
      <c r="O230" s="14"/>
      <c r="P230" s="21"/>
    </row>
    <row r="231" spans="1:16">
      <c r="A231" s="15">
        <v>93110</v>
      </c>
      <c r="B231" s="37"/>
      <c r="C231" s="37"/>
      <c r="D231" s="37"/>
      <c r="E231" s="38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7"/>
    </row>
    <row r="232" spans="1:16">
      <c r="A232" s="15">
        <v>93112</v>
      </c>
      <c r="B232" s="37"/>
      <c r="C232" s="37"/>
      <c r="D232" s="37"/>
      <c r="E232" s="38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7"/>
    </row>
    <row r="233" spans="1:16">
      <c r="A233" s="15">
        <v>93114</v>
      </c>
      <c r="B233" s="37"/>
      <c r="C233" s="37"/>
      <c r="D233" s="37"/>
      <c r="E233" s="38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7"/>
    </row>
    <row r="234" spans="1:16">
      <c r="A234" s="15">
        <v>93116</v>
      </c>
      <c r="B234" s="37"/>
      <c r="C234" s="37"/>
      <c r="D234" s="37"/>
      <c r="E234" s="38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7"/>
    </row>
    <row r="235" spans="1:16">
      <c r="A235" s="15">
        <v>93118</v>
      </c>
      <c r="B235" s="37"/>
      <c r="C235" s="37"/>
      <c r="D235" s="37"/>
      <c r="E235" s="38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7"/>
    </row>
    <row r="236" spans="1:16">
      <c r="A236" s="15">
        <v>93120</v>
      </c>
      <c r="B236" s="37"/>
      <c r="C236" s="37"/>
      <c r="D236" s="37"/>
      <c r="E236" s="38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7"/>
    </row>
    <row r="237" spans="1:16">
      <c r="A237" s="15">
        <v>93122</v>
      </c>
      <c r="B237" s="37"/>
      <c r="C237" s="37"/>
      <c r="D237" s="37"/>
      <c r="E237" s="38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7"/>
    </row>
    <row r="238" spans="1:16">
      <c r="A238" s="15">
        <v>93124</v>
      </c>
      <c r="B238" s="37"/>
      <c r="C238" s="37"/>
      <c r="D238" s="37"/>
      <c r="E238" s="38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7"/>
    </row>
    <row r="239" spans="1:16">
      <c r="A239" s="15">
        <v>93126</v>
      </c>
      <c r="B239" s="37"/>
      <c r="C239" s="37"/>
      <c r="D239" s="37"/>
      <c r="E239" s="38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7"/>
    </row>
    <row r="240" spans="1:16">
      <c r="A240" s="15">
        <v>93128</v>
      </c>
      <c r="B240" s="37"/>
      <c r="C240" s="37"/>
      <c r="D240" s="37"/>
      <c r="E240" s="38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7"/>
    </row>
    <row r="241" spans="1:16">
      <c r="A241" s="15">
        <v>93130</v>
      </c>
      <c r="B241" s="37"/>
      <c r="C241" s="37"/>
      <c r="D241" s="37"/>
      <c r="E241" s="38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7"/>
    </row>
    <row r="242" spans="1:16">
      <c r="A242" s="15">
        <v>93132</v>
      </c>
      <c r="B242" s="37"/>
      <c r="C242" s="37"/>
      <c r="D242" s="37"/>
      <c r="E242" s="38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7"/>
    </row>
    <row r="243" spans="1:16">
      <c r="A243" s="15">
        <v>93134</v>
      </c>
      <c r="B243" s="37"/>
      <c r="C243" s="37"/>
      <c r="D243" s="37"/>
      <c r="E243" s="38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7"/>
    </row>
    <row r="244" spans="1:16">
      <c r="A244" s="15">
        <v>93136</v>
      </c>
      <c r="B244" s="37"/>
      <c r="C244" s="37"/>
      <c r="D244" s="37"/>
      <c r="E244" s="38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7"/>
    </row>
    <row r="245" spans="1:16">
      <c r="A245" s="15">
        <v>93138</v>
      </c>
      <c r="B245" s="37"/>
      <c r="C245" s="37"/>
      <c r="D245" s="37"/>
      <c r="E245" s="38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7"/>
    </row>
    <row r="246" spans="1:16">
      <c r="A246" s="15">
        <v>93140</v>
      </c>
      <c r="B246" s="37"/>
      <c r="C246" s="37"/>
      <c r="D246" s="37"/>
      <c r="E246" s="38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7"/>
    </row>
    <row r="247" spans="1:16">
      <c r="A247" s="15">
        <v>93142</v>
      </c>
      <c r="B247" s="37"/>
      <c r="C247" s="37"/>
      <c r="D247" s="37"/>
      <c r="E247" s="38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7"/>
    </row>
    <row r="248" spans="1:16">
      <c r="A248" s="15">
        <v>93144</v>
      </c>
      <c r="B248" s="37"/>
      <c r="C248" s="37"/>
      <c r="D248" s="37"/>
      <c r="E248" s="38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7"/>
    </row>
    <row r="249" spans="1:16">
      <c r="A249" s="15">
        <v>93146</v>
      </c>
      <c r="B249" s="37"/>
      <c r="C249" s="37"/>
      <c r="D249" s="37"/>
      <c r="E249" s="38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7"/>
    </row>
    <row r="250" spans="1:16">
      <c r="A250" s="15">
        <v>93148</v>
      </c>
      <c r="B250" s="37"/>
      <c r="C250" s="37"/>
      <c r="D250" s="37"/>
      <c r="E250" s="38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7"/>
    </row>
    <row r="251" spans="1:16">
      <c r="A251" s="15">
        <v>93150</v>
      </c>
      <c r="B251" s="37"/>
      <c r="C251" s="37"/>
      <c r="D251" s="37"/>
      <c r="E251" s="38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7"/>
    </row>
    <row r="252" spans="1:16">
      <c r="A252" s="15">
        <v>93152</v>
      </c>
      <c r="B252" s="37"/>
      <c r="C252" s="37"/>
      <c r="D252" s="37"/>
      <c r="E252" s="38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7"/>
    </row>
    <row r="253" spans="1:16">
      <c r="A253" s="15">
        <v>93154</v>
      </c>
      <c r="B253" s="37"/>
      <c r="C253" s="37"/>
      <c r="D253" s="37"/>
      <c r="E253" s="38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7"/>
    </row>
    <row r="254" spans="1:16">
      <c r="A254" s="15">
        <v>93156</v>
      </c>
      <c r="B254" s="37"/>
      <c r="C254" s="37"/>
      <c r="D254" s="37"/>
      <c r="E254" s="38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7"/>
    </row>
    <row r="255" spans="1:16">
      <c r="A255" s="15">
        <v>93158</v>
      </c>
      <c r="B255" s="37"/>
      <c r="C255" s="37"/>
      <c r="D255" s="37"/>
      <c r="E255" s="38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7"/>
    </row>
    <row r="256" spans="1:16">
      <c r="A256" s="15">
        <v>93160</v>
      </c>
      <c r="B256" s="37"/>
      <c r="C256" s="37"/>
      <c r="D256" s="37"/>
      <c r="E256" s="38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7"/>
    </row>
    <row r="257" spans="1:16">
      <c r="A257" s="15">
        <v>93162</v>
      </c>
      <c r="B257" s="37"/>
      <c r="C257" s="37"/>
      <c r="D257" s="37"/>
      <c r="E257" s="38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7"/>
    </row>
    <row r="258" spans="1:16">
      <c r="A258" s="15">
        <v>93164</v>
      </c>
      <c r="B258" s="37"/>
      <c r="C258" s="37"/>
      <c r="D258" s="37"/>
      <c r="E258" s="38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7"/>
    </row>
    <row r="259" spans="1:16">
      <c r="A259" s="15">
        <v>93166</v>
      </c>
      <c r="B259" s="37"/>
      <c r="C259" s="37"/>
      <c r="D259" s="37"/>
      <c r="E259" s="38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7"/>
    </row>
    <row r="260" spans="1:16">
      <c r="A260" s="15">
        <v>93168</v>
      </c>
      <c r="B260" s="37"/>
      <c r="C260" s="37"/>
      <c r="D260" s="37"/>
      <c r="E260" s="38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7"/>
    </row>
    <row r="261" spans="1:16">
      <c r="A261" s="15">
        <v>93170</v>
      </c>
      <c r="B261" s="37"/>
      <c r="C261" s="37"/>
      <c r="D261" s="37"/>
      <c r="E261" s="38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7"/>
    </row>
    <row r="262" spans="1:16">
      <c r="A262" s="15">
        <v>93172</v>
      </c>
      <c r="B262" s="37"/>
      <c r="C262" s="37"/>
      <c r="D262" s="37"/>
      <c r="E262" s="38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7"/>
    </row>
    <row r="263" spans="1:16">
      <c r="A263" s="15">
        <v>93174</v>
      </c>
      <c r="B263" s="37"/>
      <c r="C263" s="37"/>
      <c r="D263" s="37"/>
      <c r="E263" s="38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7"/>
    </row>
    <row r="264" spans="1:16">
      <c r="A264" s="15">
        <v>93176</v>
      </c>
      <c r="B264" s="37"/>
      <c r="C264" s="37"/>
      <c r="D264" s="37"/>
      <c r="E264" s="38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7"/>
    </row>
    <row r="265" spans="1:16">
      <c r="A265" s="15">
        <v>93178</v>
      </c>
      <c r="B265" s="37"/>
      <c r="C265" s="37"/>
      <c r="D265" s="37"/>
      <c r="E265" s="38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7"/>
    </row>
    <row r="266" spans="1:16">
      <c r="A266" s="15">
        <v>93180</v>
      </c>
      <c r="B266" s="37"/>
      <c r="C266" s="37"/>
      <c r="D266" s="37"/>
      <c r="E266" s="38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7"/>
    </row>
    <row r="267" spans="1:16">
      <c r="A267" s="15">
        <v>93182</v>
      </c>
      <c r="B267" s="37"/>
      <c r="C267" s="37"/>
      <c r="D267" s="37"/>
      <c r="E267" s="38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7"/>
    </row>
    <row r="268" spans="1:16">
      <c r="A268" s="15">
        <v>93184</v>
      </c>
      <c r="B268" s="37"/>
      <c r="C268" s="37"/>
      <c r="D268" s="37"/>
      <c r="E268" s="38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7"/>
    </row>
    <row r="269" spans="1:16">
      <c r="A269" s="15">
        <v>93186</v>
      </c>
      <c r="B269" s="37"/>
      <c r="C269" s="37"/>
      <c r="D269" s="37"/>
      <c r="E269" s="38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7"/>
    </row>
    <row r="270" spans="1:16">
      <c r="A270" s="15">
        <v>93188</v>
      </c>
      <c r="B270" s="37"/>
      <c r="C270" s="37"/>
      <c r="D270" s="37"/>
      <c r="E270" s="38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7"/>
    </row>
    <row r="271" spans="1:16">
      <c r="A271" s="15">
        <v>93190</v>
      </c>
      <c r="B271" s="37"/>
      <c r="C271" s="37"/>
      <c r="D271" s="37"/>
      <c r="E271" s="38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7"/>
    </row>
    <row r="272" spans="1:16">
      <c r="A272" s="15">
        <v>93192</v>
      </c>
      <c r="B272" s="37"/>
      <c r="C272" s="37"/>
      <c r="D272" s="37"/>
      <c r="E272" s="38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7"/>
    </row>
    <row r="273" spans="1:16">
      <c r="A273" s="15">
        <v>93194</v>
      </c>
      <c r="B273" s="37"/>
      <c r="C273" s="37"/>
      <c r="D273" s="37"/>
      <c r="E273" s="38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7"/>
    </row>
    <row r="274" spans="1:16">
      <c r="A274" s="15">
        <v>93196</v>
      </c>
      <c r="B274" s="37"/>
      <c r="C274" s="37"/>
      <c r="D274" s="37"/>
      <c r="E274" s="38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7"/>
    </row>
    <row r="275" spans="1:16">
      <c r="A275" s="15">
        <v>93198</v>
      </c>
      <c r="B275" s="37"/>
      <c r="C275" s="37"/>
      <c r="D275" s="37"/>
      <c r="E275" s="38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7"/>
    </row>
    <row r="276" spans="1:16">
      <c r="A276" s="15">
        <v>93200</v>
      </c>
      <c r="B276" s="37"/>
      <c r="C276" s="37"/>
      <c r="D276" s="37"/>
      <c r="E276" s="38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7"/>
    </row>
    <row r="277" spans="1:16">
      <c r="A277" s="15">
        <v>93202</v>
      </c>
      <c r="B277" s="37"/>
      <c r="C277" s="37"/>
      <c r="D277" s="37"/>
      <c r="E277" s="38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7"/>
    </row>
    <row r="278" spans="1:16">
      <c r="A278" s="15">
        <v>93204</v>
      </c>
      <c r="B278" s="37"/>
      <c r="C278" s="37"/>
      <c r="D278" s="37"/>
      <c r="E278" s="38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7"/>
    </row>
    <row r="279" spans="1:16">
      <c r="A279" s="15">
        <v>93206</v>
      </c>
      <c r="B279" s="37"/>
      <c r="C279" s="37"/>
      <c r="D279" s="37"/>
      <c r="E279" s="38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7"/>
    </row>
    <row r="280" spans="1:16">
      <c r="A280" s="15">
        <v>93208</v>
      </c>
      <c r="B280" s="37"/>
      <c r="C280" s="37"/>
      <c r="D280" s="37"/>
      <c r="E280" s="38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7"/>
    </row>
    <row r="281" spans="1:16">
      <c r="A281" s="15">
        <v>93210</v>
      </c>
      <c r="B281" s="37"/>
      <c r="C281" s="37"/>
      <c r="D281" s="37"/>
      <c r="E281" s="38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7"/>
    </row>
    <row r="282" spans="1:16">
      <c r="A282" s="15">
        <v>93212</v>
      </c>
      <c r="B282" s="37"/>
      <c r="C282" s="37"/>
      <c r="D282" s="37"/>
      <c r="E282" s="38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7"/>
    </row>
    <row r="283" spans="1:16">
      <c r="A283" s="15">
        <v>93214</v>
      </c>
      <c r="B283" s="37"/>
      <c r="C283" s="37"/>
      <c r="D283" s="37"/>
      <c r="E283" s="38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7"/>
    </row>
    <row r="284" spans="1:16">
      <c r="A284" s="15">
        <v>93216</v>
      </c>
      <c r="B284" s="37"/>
      <c r="C284" s="37"/>
      <c r="D284" s="37"/>
      <c r="E284" s="38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7"/>
    </row>
    <row r="285" spans="1:16">
      <c r="A285" s="15">
        <v>93218</v>
      </c>
      <c r="B285" s="37"/>
      <c r="C285" s="37"/>
      <c r="D285" s="37"/>
      <c r="E285" s="38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7"/>
    </row>
    <row r="286" spans="1:16">
      <c r="A286" s="15">
        <v>93220</v>
      </c>
      <c r="B286" s="37"/>
      <c r="C286" s="37"/>
      <c r="D286" s="37"/>
      <c r="E286" s="38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7"/>
    </row>
    <row r="287" spans="1:16">
      <c r="A287" s="15">
        <v>93222</v>
      </c>
      <c r="B287" s="37"/>
      <c r="C287" s="37"/>
      <c r="D287" s="37"/>
      <c r="E287" s="38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7"/>
    </row>
    <row r="288" spans="1:16">
      <c r="A288" s="15">
        <v>93224</v>
      </c>
      <c r="B288" s="37"/>
      <c r="C288" s="37"/>
      <c r="D288" s="37"/>
      <c r="E288" s="38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7"/>
    </row>
    <row r="289" spans="1:16">
      <c r="A289" s="15">
        <v>93226</v>
      </c>
      <c r="B289" s="37"/>
      <c r="C289" s="37"/>
      <c r="D289" s="37"/>
      <c r="E289" s="38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7"/>
    </row>
    <row r="290" spans="1:16">
      <c r="A290" s="15">
        <v>93228</v>
      </c>
      <c r="B290" s="37"/>
      <c r="C290" s="37"/>
      <c r="D290" s="37"/>
      <c r="E290" s="38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7"/>
    </row>
    <row r="291" spans="1:16">
      <c r="A291" s="15">
        <v>93230</v>
      </c>
      <c r="B291" s="37"/>
      <c r="C291" s="37"/>
      <c r="D291" s="37"/>
      <c r="E291" s="38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7"/>
    </row>
    <row r="292" spans="1:16">
      <c r="A292" s="15">
        <v>93232</v>
      </c>
      <c r="B292" s="37"/>
      <c r="C292" s="37"/>
      <c r="D292" s="37"/>
      <c r="E292" s="38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7"/>
    </row>
    <row r="293" spans="1:16">
      <c r="A293" s="15">
        <v>93234</v>
      </c>
      <c r="B293" s="37"/>
      <c r="C293" s="37"/>
      <c r="D293" s="37"/>
      <c r="E293" s="38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7"/>
    </row>
    <row r="294" spans="1:16">
      <c r="A294" s="15">
        <v>93236</v>
      </c>
      <c r="B294" s="37"/>
      <c r="C294" s="37"/>
      <c r="D294" s="37"/>
      <c r="E294" s="38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7"/>
    </row>
    <row r="295" spans="1:16">
      <c r="A295" s="15">
        <v>93238</v>
      </c>
      <c r="B295" s="37"/>
      <c r="C295" s="37"/>
      <c r="D295" s="37"/>
      <c r="E295" s="38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7"/>
    </row>
    <row r="296" spans="1:16">
      <c r="A296" s="15">
        <v>93240</v>
      </c>
      <c r="B296" s="37"/>
      <c r="C296" s="37"/>
      <c r="D296" s="37"/>
      <c r="E296" s="38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7"/>
    </row>
    <row r="297" spans="1:16">
      <c r="A297" s="15">
        <v>93242</v>
      </c>
      <c r="B297" s="37"/>
      <c r="C297" s="37"/>
      <c r="D297" s="37"/>
      <c r="E297" s="38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7"/>
    </row>
    <row r="298" spans="1:16">
      <c r="A298" s="15">
        <v>93244</v>
      </c>
      <c r="B298" s="37"/>
      <c r="C298" s="37"/>
      <c r="D298" s="37"/>
      <c r="E298" s="38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7"/>
    </row>
    <row r="299" spans="1:16">
      <c r="A299" s="15">
        <v>93246</v>
      </c>
      <c r="B299" s="37"/>
      <c r="C299" s="37"/>
      <c r="D299" s="37"/>
      <c r="E299" s="38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7"/>
    </row>
    <row r="300" spans="1:16">
      <c r="A300" s="15">
        <v>93248</v>
      </c>
      <c r="B300" s="37"/>
      <c r="C300" s="37"/>
      <c r="D300" s="37"/>
      <c r="E300" s="38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7"/>
    </row>
    <row r="301" spans="1:16">
      <c r="A301" s="15">
        <v>93250</v>
      </c>
      <c r="B301" s="37"/>
      <c r="C301" s="37"/>
      <c r="D301" s="37"/>
      <c r="E301" s="38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7"/>
    </row>
    <row r="302" spans="1:16">
      <c r="A302" s="15">
        <v>93252</v>
      </c>
      <c r="B302" s="37"/>
      <c r="C302" s="37"/>
      <c r="D302" s="37"/>
      <c r="E302" s="38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7"/>
    </row>
    <row r="303" spans="1:16">
      <c r="A303" s="15">
        <v>93254</v>
      </c>
      <c r="B303" s="37"/>
      <c r="C303" s="37"/>
      <c r="D303" s="37"/>
      <c r="E303" s="38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7"/>
    </row>
    <row r="304" spans="1:16">
      <c r="A304" s="15">
        <v>93256</v>
      </c>
      <c r="B304" s="37"/>
      <c r="C304" s="37"/>
      <c r="D304" s="37"/>
      <c r="E304" s="38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7"/>
    </row>
    <row r="305" spans="1:16">
      <c r="A305" s="15">
        <v>93258</v>
      </c>
      <c r="B305" s="37"/>
      <c r="C305" s="37"/>
      <c r="D305" s="37"/>
      <c r="E305" s="38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7"/>
    </row>
    <row r="306" spans="1:16">
      <c r="A306" s="15">
        <v>93260</v>
      </c>
      <c r="B306" s="37"/>
      <c r="C306" s="37"/>
      <c r="D306" s="37"/>
      <c r="E306" s="38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7"/>
    </row>
    <row r="307" spans="1:16">
      <c r="A307" s="15">
        <v>93262</v>
      </c>
      <c r="B307" s="37"/>
      <c r="C307" s="37"/>
      <c r="D307" s="37"/>
      <c r="E307" s="38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7"/>
    </row>
    <row r="308" spans="1:16">
      <c r="A308" s="15">
        <v>93264</v>
      </c>
      <c r="B308" s="37"/>
      <c r="C308" s="37"/>
      <c r="D308" s="37"/>
      <c r="E308" s="38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7"/>
    </row>
    <row r="309" spans="1:16">
      <c r="A309" s="15">
        <v>93266</v>
      </c>
      <c r="B309" s="37"/>
      <c r="C309" s="37"/>
      <c r="D309" s="37"/>
      <c r="E309" s="38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7"/>
    </row>
    <row r="310" spans="1:16">
      <c r="A310" s="15">
        <v>93402</v>
      </c>
      <c r="B310" s="37"/>
      <c r="C310" s="37"/>
      <c r="D310" s="37"/>
      <c r="E310" s="38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7"/>
    </row>
    <row r="311" spans="1:16">
      <c r="A311" s="15">
        <v>93404</v>
      </c>
      <c r="B311" s="37"/>
      <c r="C311" s="37"/>
      <c r="D311" s="37"/>
      <c r="E311" s="38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7"/>
    </row>
    <row r="312" spans="1:16">
      <c r="A312" s="15">
        <v>93406</v>
      </c>
      <c r="B312" s="37"/>
      <c r="C312" s="37"/>
      <c r="D312" s="37"/>
      <c r="E312" s="38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7"/>
    </row>
    <row r="313" spans="1:16">
      <c r="A313" s="15">
        <v>93408</v>
      </c>
      <c r="B313" s="37"/>
      <c r="C313" s="37"/>
      <c r="D313" s="37"/>
      <c r="E313" s="37"/>
      <c r="F313" s="14"/>
      <c r="G313" s="14"/>
      <c r="H313" s="14"/>
      <c r="I313" s="14"/>
      <c r="J313" s="14"/>
      <c r="K313" s="14"/>
      <c r="L313" s="14"/>
      <c r="M313" s="19"/>
      <c r="N313" s="20"/>
      <c r="O313" s="14"/>
      <c r="P313" s="21"/>
    </row>
    <row r="314" spans="1:16">
      <c r="A314" s="15">
        <v>93410</v>
      </c>
      <c r="B314" s="37"/>
      <c r="C314" s="37"/>
      <c r="D314" s="37"/>
      <c r="E314" s="38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7"/>
    </row>
    <row r="315" spans="1:16">
      <c r="A315" s="15">
        <v>93412</v>
      </c>
      <c r="B315" s="37"/>
      <c r="C315" s="37"/>
      <c r="D315" s="37"/>
      <c r="E315" s="38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7"/>
    </row>
    <row r="316" spans="1:16">
      <c r="A316" s="15">
        <v>93414</v>
      </c>
      <c r="B316" s="37"/>
      <c r="C316" s="37"/>
      <c r="D316" s="37"/>
      <c r="E316" s="38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7"/>
    </row>
    <row r="317" spans="1:16">
      <c r="A317" s="15">
        <v>93416</v>
      </c>
      <c r="B317" s="37"/>
      <c r="C317" s="37"/>
      <c r="D317" s="37"/>
      <c r="E317" s="38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7"/>
    </row>
    <row r="318" spans="1:16">
      <c r="A318" s="15">
        <v>93418</v>
      </c>
      <c r="B318" s="37"/>
      <c r="C318" s="37"/>
      <c r="D318" s="37"/>
      <c r="E318" s="38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7"/>
    </row>
    <row r="319" spans="1:16">
      <c r="A319" s="15">
        <v>93420</v>
      </c>
      <c r="B319" s="37"/>
      <c r="C319" s="37"/>
      <c r="D319" s="37"/>
      <c r="E319" s="38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7"/>
    </row>
    <row r="320" spans="1:16">
      <c r="A320" s="15">
        <v>93422</v>
      </c>
      <c r="B320" s="37"/>
      <c r="C320" s="37"/>
      <c r="D320" s="37"/>
      <c r="E320" s="38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7"/>
    </row>
    <row r="321" spans="1:16">
      <c r="A321" s="15">
        <v>93424</v>
      </c>
      <c r="B321" s="37"/>
      <c r="C321" s="37"/>
      <c r="D321" s="37"/>
      <c r="E321" s="38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7"/>
    </row>
    <row r="322" spans="1:16">
      <c r="A322" s="15">
        <v>93426</v>
      </c>
      <c r="B322" s="37"/>
      <c r="C322" s="37"/>
      <c r="D322" s="37"/>
      <c r="E322" s="38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7"/>
    </row>
    <row r="323" spans="1:16">
      <c r="A323" s="15">
        <v>93428</v>
      </c>
      <c r="B323" s="37"/>
      <c r="C323" s="37"/>
      <c r="D323" s="37"/>
      <c r="E323" s="38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7"/>
    </row>
    <row r="324" spans="1:16">
      <c r="A324" s="15">
        <v>93430</v>
      </c>
      <c r="B324" s="37"/>
      <c r="C324" s="37"/>
      <c r="D324" s="37"/>
      <c r="E324" s="38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7"/>
    </row>
    <row r="325" spans="1:16">
      <c r="A325" s="15">
        <v>93432</v>
      </c>
      <c r="B325" s="37"/>
      <c r="C325" s="37"/>
      <c r="D325" s="37"/>
      <c r="E325" s="38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7"/>
    </row>
    <row r="326" spans="1:16">
      <c r="A326" s="15">
        <v>93434</v>
      </c>
      <c r="B326" s="37"/>
      <c r="C326" s="37"/>
      <c r="D326" s="37"/>
      <c r="E326" s="38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7"/>
    </row>
    <row r="327" spans="1:16">
      <c r="A327" s="15">
        <v>93436</v>
      </c>
      <c r="B327" s="37"/>
      <c r="C327" s="37"/>
      <c r="D327" s="37"/>
      <c r="E327" s="38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7"/>
    </row>
    <row r="328" spans="1:16">
      <c r="A328" s="15">
        <v>93438</v>
      </c>
      <c r="B328" s="37"/>
      <c r="C328" s="37"/>
      <c r="D328" s="37"/>
      <c r="E328" s="38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7"/>
    </row>
    <row r="329" spans="1:16">
      <c r="A329" s="15">
        <v>93440</v>
      </c>
      <c r="B329" s="37"/>
      <c r="C329" s="37"/>
      <c r="D329" s="37"/>
      <c r="E329" s="38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7"/>
    </row>
    <row r="330" spans="1:16">
      <c r="A330" s="15">
        <v>93442</v>
      </c>
      <c r="B330" s="37"/>
      <c r="C330" s="37"/>
      <c r="D330" s="37"/>
      <c r="E330" s="38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7"/>
    </row>
    <row r="331" spans="1:16">
      <c r="A331" s="15">
        <v>93444</v>
      </c>
      <c r="B331" s="37"/>
      <c r="C331" s="37"/>
      <c r="D331" s="37"/>
      <c r="E331" s="38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7"/>
    </row>
    <row r="332" spans="1:16">
      <c r="A332" s="15">
        <v>93446</v>
      </c>
      <c r="B332" s="37"/>
      <c r="C332" s="37"/>
      <c r="D332" s="37"/>
      <c r="E332" s="38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7"/>
    </row>
    <row r="333" spans="1:16">
      <c r="A333" s="15">
        <v>93448</v>
      </c>
      <c r="B333" s="37"/>
      <c r="C333" s="37"/>
      <c r="D333" s="37"/>
      <c r="E333" s="38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7"/>
    </row>
    <row r="334" spans="1:16">
      <c r="A334" s="15">
        <v>93450</v>
      </c>
      <c r="B334" s="37"/>
      <c r="C334" s="37"/>
      <c r="D334" s="37"/>
      <c r="E334" s="38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7"/>
    </row>
    <row r="335" spans="1:16">
      <c r="A335" s="15">
        <v>93452</v>
      </c>
      <c r="B335" s="37"/>
      <c r="C335" s="37"/>
      <c r="D335" s="37"/>
      <c r="E335" s="38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7"/>
    </row>
    <row r="336" spans="1:16">
      <c r="A336" s="15">
        <v>93454</v>
      </c>
      <c r="B336" s="37"/>
      <c r="C336" s="37"/>
      <c r="D336" s="37"/>
      <c r="E336" s="38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7"/>
    </row>
    <row r="337" spans="1:16">
      <c r="A337" s="15">
        <v>93456</v>
      </c>
      <c r="B337" s="37"/>
      <c r="C337" s="37"/>
      <c r="D337" s="37"/>
      <c r="E337" s="38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7"/>
    </row>
    <row r="338" spans="1:16">
      <c r="A338" s="15">
        <v>93458</v>
      </c>
      <c r="B338" s="37"/>
      <c r="C338" s="37"/>
      <c r="D338" s="38"/>
      <c r="E338" s="38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7"/>
    </row>
    <row r="339" spans="1:16">
      <c r="A339" s="15">
        <v>93460</v>
      </c>
      <c r="B339" s="37"/>
      <c r="C339" s="37"/>
      <c r="D339" s="38"/>
      <c r="E339" s="38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7"/>
    </row>
    <row r="340" spans="1:16">
      <c r="A340" s="15">
        <v>93462</v>
      </c>
      <c r="B340" s="37"/>
      <c r="C340" s="37"/>
      <c r="D340" s="38"/>
      <c r="E340" s="38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7"/>
    </row>
    <row r="341" spans="1:16">
      <c r="A341" s="15">
        <v>93464</v>
      </c>
      <c r="B341" s="37"/>
      <c r="C341" s="37"/>
      <c r="D341" s="38"/>
      <c r="E341" s="38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7"/>
    </row>
  </sheetData>
  <mergeCells count="1">
    <mergeCell ref="R2:U2"/>
  </mergeCells>
  <conditionalFormatting sqref="A2:A71">
    <cfRule type="expression" dxfId="61" priority="10" stopIfTrue="1">
      <formula>#REF!=1</formula>
    </cfRule>
    <cfRule type="expression" dxfId="60" priority="11" stopIfTrue="1">
      <formula>#REF!=2</formula>
    </cfRule>
  </conditionalFormatting>
  <conditionalFormatting sqref="A2:A169">
    <cfRule type="expression" dxfId="59" priority="7" stopIfTrue="1">
      <formula>#REF!="w"</formula>
    </cfRule>
  </conditionalFormatting>
  <conditionalFormatting sqref="A72:A169">
    <cfRule type="expression" dxfId="58" priority="8" stopIfTrue="1">
      <formula>#REF!=1</formula>
    </cfRule>
    <cfRule type="expression" dxfId="57" priority="9" stopIfTrue="1">
      <formula>#REF!=2</formula>
    </cfRule>
  </conditionalFormatting>
  <conditionalFormatting sqref="A171:A225">
    <cfRule type="expression" dxfId="56" priority="4" stopIfTrue="1">
      <formula>#REF!="w"</formula>
    </cfRule>
    <cfRule type="expression" dxfId="55" priority="5" stopIfTrue="1">
      <formula>#REF!=1</formula>
    </cfRule>
    <cfRule type="expression" dxfId="54" priority="6" stopIfTrue="1">
      <formula>#REF!=2</formula>
    </cfRule>
  </conditionalFormatting>
  <conditionalFormatting sqref="A227:A341">
    <cfRule type="expression" dxfId="53" priority="1" stopIfTrue="1">
      <formula>#REF!="w"</formula>
    </cfRule>
    <cfRule type="expression" dxfId="52" priority="2" stopIfTrue="1">
      <formula>#REF!=1</formula>
    </cfRule>
    <cfRule type="expression" dxfId="51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32226-16BF-489D-A9AE-851CF70EC53F}">
  <dimension ref="A1:U341"/>
  <sheetViews>
    <sheetView workbookViewId="0">
      <selection activeCell="D9" sqref="D9"/>
    </sheetView>
  </sheetViews>
  <sheetFormatPr defaultColWidth="9.42578125" defaultRowHeight="15" customHeight="1"/>
  <cols>
    <col min="1" max="1" width="9.7109375" style="2" customWidth="1"/>
    <col min="2" max="3" width="11.5703125" style="2" customWidth="1"/>
    <col min="4" max="4" width="16.85546875" style="2" customWidth="1"/>
    <col min="5" max="5" width="12.85546875" style="2" customWidth="1"/>
    <col min="6" max="6" width="12.7109375" style="2" customWidth="1"/>
    <col min="7" max="12" width="15.7109375" style="2" customWidth="1"/>
    <col min="13" max="13" width="12.85546875" style="2" customWidth="1"/>
    <col min="14" max="14" width="13.7109375" style="2" customWidth="1"/>
    <col min="15" max="15" width="15.7109375" style="2" customWidth="1"/>
    <col min="16" max="16" width="16.85546875" style="2" customWidth="1"/>
    <col min="17" max="17" width="2" style="2" customWidth="1"/>
    <col min="18" max="18" width="12.42578125" style="2" customWidth="1"/>
    <col min="19" max="19" width="11.42578125" style="2" customWidth="1"/>
    <col min="20" max="20" width="16.42578125" style="2" customWidth="1"/>
    <col min="21" max="21" width="13" style="2" customWidth="1"/>
    <col min="22" max="16384" width="9.42578125" style="2"/>
  </cols>
  <sheetData>
    <row r="1" spans="1:21" ht="99.6" customHeight="1">
      <c r="A1" s="28" t="s">
        <v>0</v>
      </c>
      <c r="B1" s="32" t="s">
        <v>1</v>
      </c>
      <c r="C1" s="32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4" t="s">
        <v>8</v>
      </c>
      <c r="J1" s="34" t="s">
        <v>9</v>
      </c>
      <c r="K1" s="35" t="s">
        <v>10</v>
      </c>
      <c r="L1" s="35" t="s">
        <v>11</v>
      </c>
      <c r="M1" s="33" t="s">
        <v>12</v>
      </c>
      <c r="N1" s="33" t="s">
        <v>13</v>
      </c>
      <c r="O1" s="33" t="s">
        <v>14</v>
      </c>
      <c r="P1" s="36" t="s">
        <v>15</v>
      </c>
    </row>
    <row r="2" spans="1:21" ht="15" customHeight="1">
      <c r="A2" s="23">
        <v>91001</v>
      </c>
      <c r="B2" s="37"/>
      <c r="C2" s="37"/>
      <c r="D2" s="38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25"/>
      <c r="R2" s="11"/>
      <c r="S2" s="12"/>
      <c r="T2" s="12"/>
      <c r="U2" s="13"/>
    </row>
    <row r="3" spans="1:21" ht="15" customHeight="1">
      <c r="A3" s="23">
        <v>91003</v>
      </c>
      <c r="B3" s="37"/>
      <c r="C3" s="37"/>
      <c r="D3" s="38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25"/>
      <c r="R3" s="10" t="s">
        <v>21</v>
      </c>
      <c r="S3" s="3" t="s">
        <v>22</v>
      </c>
      <c r="T3" s="4" t="s">
        <v>23</v>
      </c>
      <c r="U3" s="5" t="s">
        <v>24</v>
      </c>
    </row>
    <row r="4" spans="1:21" ht="15" customHeight="1">
      <c r="A4" s="23">
        <v>91005</v>
      </c>
      <c r="B4" s="37"/>
      <c r="C4" s="37"/>
      <c r="D4" s="38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25"/>
      <c r="R4" s="7">
        <v>85</v>
      </c>
      <c r="S4" s="8">
        <f>COUNTA(A:A)-1</f>
        <v>340</v>
      </c>
      <c r="T4" s="8">
        <f>COUNTA(O:O)-1</f>
        <v>0</v>
      </c>
      <c r="U4" s="9">
        <f>T4/S4</f>
        <v>0</v>
      </c>
    </row>
    <row r="5" spans="1:21" ht="15" customHeight="1">
      <c r="A5" s="23">
        <v>91007</v>
      </c>
      <c r="B5" s="37"/>
      <c r="C5" s="37"/>
      <c r="D5" s="38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25"/>
    </row>
    <row r="6" spans="1:21" ht="15" customHeight="1">
      <c r="A6" s="23">
        <v>91009</v>
      </c>
      <c r="B6" s="37"/>
      <c r="C6" s="37"/>
      <c r="D6" s="38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25"/>
    </row>
    <row r="7" spans="1:21" ht="15" customHeight="1">
      <c r="A7" s="23">
        <v>91011</v>
      </c>
      <c r="B7" s="39"/>
      <c r="C7" s="39"/>
      <c r="D7" s="38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26"/>
    </row>
    <row r="8" spans="1:21" ht="15" customHeight="1">
      <c r="A8" s="23">
        <v>91013</v>
      </c>
      <c r="B8" s="37"/>
      <c r="C8" s="37"/>
      <c r="D8" s="38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25"/>
    </row>
    <row r="9" spans="1:21" ht="15" customHeight="1">
      <c r="A9" s="23">
        <v>91015</v>
      </c>
      <c r="B9" s="37"/>
      <c r="C9" s="37"/>
      <c r="D9" s="38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25"/>
    </row>
    <row r="10" spans="1:21" ht="15" customHeight="1">
      <c r="A10" s="23">
        <v>91017</v>
      </c>
      <c r="B10" s="37"/>
      <c r="C10" s="37"/>
      <c r="D10" s="38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25"/>
    </row>
    <row r="11" spans="1:21" ht="15" customHeight="1">
      <c r="A11" s="23">
        <v>91019</v>
      </c>
      <c r="B11" s="37"/>
      <c r="C11" s="37"/>
      <c r="D11" s="38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25"/>
    </row>
    <row r="12" spans="1:21" ht="15" customHeight="1">
      <c r="A12" s="23">
        <v>91021</v>
      </c>
      <c r="B12" s="37"/>
      <c r="C12" s="37"/>
      <c r="D12" s="38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25"/>
    </row>
    <row r="13" spans="1:21" ht="15" customHeight="1">
      <c r="A13" s="23">
        <v>91023</v>
      </c>
      <c r="B13" s="37"/>
      <c r="C13" s="37"/>
      <c r="D13" s="38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25"/>
    </row>
    <row r="14" spans="1:21" ht="15" customHeight="1">
      <c r="A14" s="23">
        <v>91025</v>
      </c>
      <c r="B14" s="37"/>
      <c r="C14" s="37"/>
      <c r="D14" s="38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25"/>
    </row>
    <row r="15" spans="1:21" ht="15" customHeight="1">
      <c r="A15" s="23">
        <v>91027</v>
      </c>
      <c r="B15" s="37"/>
      <c r="C15" s="37"/>
      <c r="D15" s="38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25"/>
    </row>
    <row r="16" spans="1:21" ht="15" customHeight="1">
      <c r="A16" s="23">
        <v>91029</v>
      </c>
      <c r="B16" s="37"/>
      <c r="C16" s="37"/>
      <c r="D16" s="38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25"/>
    </row>
    <row r="17" spans="1:16" ht="15" customHeight="1">
      <c r="A17" s="23">
        <v>91031</v>
      </c>
      <c r="B17" s="37"/>
      <c r="C17" s="37"/>
      <c r="D17" s="38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25"/>
    </row>
    <row r="18" spans="1:16" ht="15" customHeight="1">
      <c r="A18" s="23">
        <v>91033</v>
      </c>
      <c r="B18" s="37"/>
      <c r="C18" s="37"/>
      <c r="D18" s="38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25"/>
    </row>
    <row r="19" spans="1:16" ht="15" customHeight="1">
      <c r="A19" s="23">
        <v>91035</v>
      </c>
      <c r="B19" s="37"/>
      <c r="C19" s="37"/>
      <c r="D19" s="38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25"/>
    </row>
    <row r="20" spans="1:16" ht="15" customHeight="1">
      <c r="A20" s="23">
        <v>91037</v>
      </c>
      <c r="B20" s="37"/>
      <c r="C20" s="37"/>
      <c r="D20" s="37"/>
      <c r="E20" s="14"/>
      <c r="F20" s="14"/>
      <c r="G20" s="14"/>
      <c r="H20" s="14"/>
      <c r="I20" s="14"/>
      <c r="J20" s="14"/>
      <c r="K20" s="14"/>
      <c r="L20" s="14"/>
      <c r="M20" s="19"/>
      <c r="N20" s="20"/>
      <c r="O20" s="19"/>
      <c r="P20" s="25"/>
    </row>
    <row r="21" spans="1:16" ht="15" customHeight="1">
      <c r="A21" s="23">
        <v>91039</v>
      </c>
      <c r="B21" s="37"/>
      <c r="C21" s="37"/>
      <c r="D21" s="38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25"/>
    </row>
    <row r="22" spans="1:16" ht="15" customHeight="1">
      <c r="A22" s="23">
        <v>91041</v>
      </c>
      <c r="B22" s="37"/>
      <c r="C22" s="37"/>
      <c r="D22" s="38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25"/>
    </row>
    <row r="23" spans="1:16" ht="15" customHeight="1">
      <c r="A23" s="23">
        <v>91043</v>
      </c>
      <c r="B23" s="40"/>
      <c r="C23" s="40"/>
      <c r="D23" s="40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25"/>
    </row>
    <row r="24" spans="1:16" ht="15" customHeight="1">
      <c r="A24" s="23">
        <v>91045</v>
      </c>
      <c r="B24" s="37"/>
      <c r="C24" s="37"/>
      <c r="D24" s="38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25"/>
    </row>
    <row r="25" spans="1:16" ht="15" customHeight="1">
      <c r="A25" s="23">
        <v>91047</v>
      </c>
      <c r="B25" s="37"/>
      <c r="C25" s="37"/>
      <c r="D25" s="38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25"/>
    </row>
    <row r="26" spans="1:16" ht="15" customHeight="1">
      <c r="A26" s="23">
        <v>91049</v>
      </c>
      <c r="B26" s="37"/>
      <c r="C26" s="37"/>
      <c r="D26" s="38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25"/>
    </row>
    <row r="27" spans="1:16" ht="15" customHeight="1">
      <c r="A27" s="23">
        <v>91051</v>
      </c>
      <c r="B27" s="37"/>
      <c r="C27" s="37"/>
      <c r="D27" s="38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25"/>
    </row>
    <row r="28" spans="1:16" ht="15" customHeight="1">
      <c r="A28" s="23">
        <v>91053</v>
      </c>
      <c r="B28" s="37"/>
      <c r="C28" s="37"/>
      <c r="D28" s="38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25"/>
    </row>
    <row r="29" spans="1:16" ht="15" customHeight="1">
      <c r="A29" s="23">
        <v>91055</v>
      </c>
      <c r="B29" s="37"/>
      <c r="C29" s="37"/>
      <c r="D29" s="38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25"/>
    </row>
    <row r="30" spans="1:16" ht="15" customHeight="1">
      <c r="A30" s="23">
        <v>91057</v>
      </c>
      <c r="B30" s="37"/>
      <c r="C30" s="37"/>
      <c r="D30" s="38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25"/>
    </row>
    <row r="31" spans="1:16" ht="15" customHeight="1">
      <c r="A31" s="23">
        <v>91059</v>
      </c>
      <c r="B31" s="37"/>
      <c r="C31" s="37"/>
      <c r="D31" s="38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25"/>
    </row>
    <row r="32" spans="1:16" ht="15" customHeight="1">
      <c r="A32" s="23">
        <v>91061</v>
      </c>
      <c r="B32" s="37"/>
      <c r="C32" s="37"/>
      <c r="D32" s="38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25"/>
    </row>
    <row r="33" spans="1:16" ht="15" customHeight="1">
      <c r="A33" s="23">
        <v>91063</v>
      </c>
      <c r="B33" s="37"/>
      <c r="C33" s="37"/>
      <c r="D33" s="38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25"/>
    </row>
    <row r="34" spans="1:16" ht="15" customHeight="1">
      <c r="A34" s="23">
        <v>91065</v>
      </c>
      <c r="B34" s="37"/>
      <c r="C34" s="37"/>
      <c r="D34" s="38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25"/>
    </row>
    <row r="35" spans="1:16" ht="15" customHeight="1">
      <c r="A35" s="23">
        <v>91067</v>
      </c>
      <c r="B35" s="37"/>
      <c r="C35" s="37"/>
      <c r="D35" s="38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25"/>
    </row>
    <row r="36" spans="1:16" ht="15" customHeight="1">
      <c r="A36" s="23">
        <v>91069</v>
      </c>
      <c r="B36" s="37"/>
      <c r="C36" s="37"/>
      <c r="D36" s="38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25"/>
    </row>
    <row r="37" spans="1:16" ht="15" customHeight="1">
      <c r="A37" s="23">
        <v>91071</v>
      </c>
      <c r="B37" s="37"/>
      <c r="C37" s="37"/>
      <c r="D37" s="38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25"/>
    </row>
    <row r="38" spans="1:16" ht="15" customHeight="1">
      <c r="A38" s="23">
        <v>91073</v>
      </c>
      <c r="B38" s="37"/>
      <c r="C38" s="37"/>
      <c r="D38" s="38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25"/>
    </row>
    <row r="39" spans="1:16" ht="15" customHeight="1">
      <c r="A39" s="23">
        <v>91075</v>
      </c>
      <c r="B39" s="37"/>
      <c r="C39" s="37"/>
      <c r="D39" s="38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25"/>
    </row>
    <row r="40" spans="1:16" ht="15" customHeight="1">
      <c r="A40" s="23">
        <v>91077</v>
      </c>
      <c r="B40" s="37"/>
      <c r="C40" s="37"/>
      <c r="D40" s="38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25"/>
    </row>
    <row r="41" spans="1:16" ht="15" customHeight="1">
      <c r="A41" s="23">
        <v>91079</v>
      </c>
      <c r="B41" s="40"/>
      <c r="C41" s="40"/>
      <c r="D41" s="40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25"/>
    </row>
    <row r="42" spans="1:16" ht="15" customHeight="1">
      <c r="A42" s="23">
        <v>91081</v>
      </c>
      <c r="B42" s="37"/>
      <c r="C42" s="37"/>
      <c r="D42" s="38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25"/>
    </row>
    <row r="43" spans="1:16" ht="15" customHeight="1">
      <c r="A43" s="23">
        <v>91083</v>
      </c>
      <c r="B43" s="37"/>
      <c r="C43" s="37"/>
      <c r="D43" s="38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25"/>
    </row>
    <row r="44" spans="1:16" ht="15" customHeight="1">
      <c r="A44" s="23">
        <v>91085</v>
      </c>
      <c r="B44" s="37"/>
      <c r="C44" s="37"/>
      <c r="D44" s="38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25"/>
    </row>
    <row r="45" spans="1:16" ht="15" customHeight="1">
      <c r="A45" s="23">
        <v>91087</v>
      </c>
      <c r="B45" s="37"/>
      <c r="C45" s="37"/>
      <c r="D45" s="38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25"/>
    </row>
    <row r="46" spans="1:16" ht="15" customHeight="1">
      <c r="A46" s="23">
        <v>91089</v>
      </c>
      <c r="B46" s="37"/>
      <c r="C46" s="37"/>
      <c r="D46" s="38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25"/>
    </row>
    <row r="47" spans="1:16" ht="15" customHeight="1">
      <c r="A47" s="23">
        <v>91091</v>
      </c>
      <c r="B47" s="37"/>
      <c r="C47" s="37"/>
      <c r="D47" s="38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25"/>
    </row>
    <row r="48" spans="1:16" ht="15" customHeight="1">
      <c r="A48" s="23">
        <v>91093</v>
      </c>
      <c r="B48" s="37"/>
      <c r="C48" s="37"/>
      <c r="D48" s="38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25"/>
    </row>
    <row r="49" spans="1:16" ht="15" customHeight="1">
      <c r="A49" s="23">
        <v>91095</v>
      </c>
      <c r="B49" s="37"/>
      <c r="C49" s="37"/>
      <c r="D49" s="38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25"/>
    </row>
    <row r="50" spans="1:16" ht="15" customHeight="1">
      <c r="A50" s="23">
        <v>91097</v>
      </c>
      <c r="B50" s="37"/>
      <c r="C50" s="37"/>
      <c r="D50" s="38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25"/>
    </row>
    <row r="51" spans="1:16" ht="15" customHeight="1">
      <c r="A51" s="23">
        <v>91099</v>
      </c>
      <c r="B51" s="37"/>
      <c r="C51" s="37"/>
      <c r="D51" s="38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25"/>
    </row>
    <row r="52" spans="1:16" ht="15" customHeight="1">
      <c r="A52" s="23">
        <v>91101</v>
      </c>
      <c r="B52" s="37"/>
      <c r="C52" s="37"/>
      <c r="D52" s="38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25"/>
    </row>
    <row r="53" spans="1:16" ht="15" customHeight="1">
      <c r="A53" s="23">
        <v>91103</v>
      </c>
      <c r="B53" s="37"/>
      <c r="C53" s="37"/>
      <c r="D53" s="38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25"/>
    </row>
    <row r="54" spans="1:16" ht="15" customHeight="1">
      <c r="A54" s="23">
        <v>91105</v>
      </c>
      <c r="B54" s="37"/>
      <c r="C54" s="37"/>
      <c r="D54" s="37"/>
      <c r="E54" s="14"/>
      <c r="F54" s="14"/>
      <c r="G54" s="14"/>
      <c r="H54" s="14"/>
      <c r="I54" s="14"/>
      <c r="J54" s="14"/>
      <c r="K54" s="14"/>
      <c r="L54" s="14"/>
      <c r="M54" s="19"/>
      <c r="N54" s="20"/>
      <c r="O54" s="14"/>
      <c r="P54" s="27"/>
    </row>
    <row r="55" spans="1:16" ht="15" customHeight="1">
      <c r="A55" s="23">
        <v>91107</v>
      </c>
      <c r="B55" s="37"/>
      <c r="C55" s="37"/>
      <c r="D55" s="38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25"/>
    </row>
    <row r="56" spans="1:16" ht="15" customHeight="1">
      <c r="A56" s="23">
        <v>91109</v>
      </c>
      <c r="B56" s="37"/>
      <c r="C56" s="37"/>
      <c r="D56" s="38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25"/>
    </row>
    <row r="57" spans="1:16" ht="15" customHeight="1">
      <c r="A57" s="23">
        <v>91111</v>
      </c>
      <c r="B57" s="37"/>
      <c r="C57" s="37"/>
      <c r="D57" s="37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25"/>
    </row>
    <row r="58" spans="1:16" ht="15" customHeight="1">
      <c r="A58" s="23">
        <v>91113</v>
      </c>
      <c r="B58" s="37"/>
      <c r="C58" s="37"/>
      <c r="D58" s="37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25"/>
    </row>
    <row r="59" spans="1:16" ht="15" customHeight="1">
      <c r="A59" s="23">
        <v>91115</v>
      </c>
      <c r="B59" s="37"/>
      <c r="C59" s="37"/>
      <c r="D59" s="37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25"/>
    </row>
    <row r="60" spans="1:16" ht="15" customHeight="1">
      <c r="A60" s="23">
        <v>91117</v>
      </c>
      <c r="B60" s="37"/>
      <c r="C60" s="37"/>
      <c r="D60" s="37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25"/>
    </row>
    <row r="61" spans="1:16" ht="15" customHeight="1">
      <c r="A61" s="23">
        <v>91119</v>
      </c>
      <c r="B61" s="37"/>
      <c r="C61" s="37"/>
      <c r="D61" s="37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25"/>
    </row>
    <row r="62" spans="1:16" ht="15" customHeight="1">
      <c r="A62" s="23">
        <v>91121</v>
      </c>
      <c r="B62" s="37"/>
      <c r="C62" s="37"/>
      <c r="D62" s="37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25"/>
    </row>
    <row r="63" spans="1:16" ht="15" customHeight="1">
      <c r="A63" s="23">
        <v>91123</v>
      </c>
      <c r="B63" s="37"/>
      <c r="C63" s="37"/>
      <c r="D63" s="37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25"/>
    </row>
    <row r="64" spans="1:16" ht="15" customHeight="1">
      <c r="A64" s="23">
        <v>91125</v>
      </c>
      <c r="B64" s="37"/>
      <c r="C64" s="37"/>
      <c r="D64" s="37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25"/>
    </row>
    <row r="65" spans="1:16" ht="15" customHeight="1">
      <c r="A65" s="23">
        <v>91127</v>
      </c>
      <c r="B65" s="37"/>
      <c r="C65" s="37"/>
      <c r="D65" s="37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25"/>
    </row>
    <row r="66" spans="1:16" ht="15" customHeight="1">
      <c r="A66" s="23">
        <v>91129</v>
      </c>
      <c r="B66" s="37"/>
      <c r="C66" s="37"/>
      <c r="D66" s="37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25"/>
    </row>
    <row r="67" spans="1:16" ht="15" customHeight="1">
      <c r="A67" s="23">
        <v>91131</v>
      </c>
      <c r="B67" s="37"/>
      <c r="C67" s="37"/>
      <c r="D67" s="37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25"/>
    </row>
    <row r="68" spans="1:16">
      <c r="A68" s="23">
        <v>91133</v>
      </c>
      <c r="B68" s="37"/>
      <c r="C68" s="37"/>
      <c r="D68" s="37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25"/>
    </row>
    <row r="69" spans="1:16">
      <c r="A69" s="23">
        <v>91135</v>
      </c>
      <c r="B69" s="37"/>
      <c r="C69" s="37"/>
      <c r="D69" s="37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25"/>
    </row>
    <row r="70" spans="1:16">
      <c r="A70" s="23">
        <v>91137</v>
      </c>
      <c r="B70" s="37"/>
      <c r="C70" s="37"/>
      <c r="D70" s="37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25"/>
    </row>
    <row r="71" spans="1:16">
      <c r="A71" s="23">
        <v>91139</v>
      </c>
      <c r="B71" s="37"/>
      <c r="C71" s="37"/>
      <c r="D71" s="37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25"/>
    </row>
    <row r="72" spans="1:16">
      <c r="A72" s="23">
        <v>91141</v>
      </c>
      <c r="B72" s="37"/>
      <c r="C72" s="37"/>
      <c r="D72" s="37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25"/>
    </row>
    <row r="73" spans="1:16">
      <c r="A73" s="23">
        <v>91143</v>
      </c>
      <c r="B73" s="37"/>
      <c r="C73" s="37"/>
      <c r="D73" s="37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25"/>
    </row>
    <row r="74" spans="1:16">
      <c r="A74" s="23">
        <v>91145</v>
      </c>
      <c r="B74" s="37"/>
      <c r="C74" s="37"/>
      <c r="D74" s="37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25"/>
    </row>
    <row r="75" spans="1:16">
      <c r="A75" s="23">
        <v>91147</v>
      </c>
      <c r="B75" s="37"/>
      <c r="C75" s="37"/>
      <c r="D75" s="37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25"/>
    </row>
    <row r="76" spans="1:16">
      <c r="A76" s="23">
        <v>91149</v>
      </c>
      <c r="B76" s="37"/>
      <c r="C76" s="37"/>
      <c r="D76" s="37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25"/>
    </row>
    <row r="77" spans="1:16">
      <c r="A77" s="23">
        <v>91151</v>
      </c>
      <c r="B77" s="37"/>
      <c r="C77" s="37"/>
      <c r="D77" s="37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25"/>
    </row>
    <row r="78" spans="1:16">
      <c r="A78" s="23">
        <v>91153</v>
      </c>
      <c r="B78" s="37"/>
      <c r="C78" s="37"/>
      <c r="D78" s="37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25"/>
    </row>
    <row r="79" spans="1:16">
      <c r="A79" s="23">
        <v>91155</v>
      </c>
      <c r="B79" s="37"/>
      <c r="C79" s="37"/>
      <c r="D79" s="37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25"/>
    </row>
    <row r="80" spans="1:16">
      <c r="A80" s="23">
        <v>91157</v>
      </c>
      <c r="B80" s="37"/>
      <c r="C80" s="37"/>
      <c r="D80" s="37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25"/>
    </row>
    <row r="81" spans="1:16">
      <c r="A81" s="23">
        <v>91159</v>
      </c>
      <c r="B81" s="37"/>
      <c r="C81" s="37"/>
      <c r="D81" s="37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25"/>
    </row>
    <row r="82" spans="1:16">
      <c r="A82" s="23">
        <v>91161</v>
      </c>
      <c r="B82" s="37"/>
      <c r="C82" s="37"/>
      <c r="D82" s="37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25"/>
    </row>
    <row r="83" spans="1:16">
      <c r="A83" s="23">
        <v>91163</v>
      </c>
      <c r="B83" s="37"/>
      <c r="C83" s="37"/>
      <c r="D83" s="37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25"/>
    </row>
    <row r="84" spans="1:16">
      <c r="A84" s="23">
        <v>91165</v>
      </c>
      <c r="B84" s="37"/>
      <c r="C84" s="37"/>
      <c r="D84" s="37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25"/>
    </row>
    <row r="85" spans="1:16">
      <c r="A85" s="23">
        <v>91167</v>
      </c>
      <c r="B85" s="37"/>
      <c r="C85" s="37"/>
      <c r="D85" s="37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25"/>
    </row>
    <row r="86" spans="1:16">
      <c r="A86" s="23">
        <v>91169</v>
      </c>
      <c r="B86" s="37"/>
      <c r="C86" s="37"/>
      <c r="D86" s="37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25"/>
    </row>
    <row r="87" spans="1:16">
      <c r="A87" s="23">
        <v>91171</v>
      </c>
      <c r="B87" s="37"/>
      <c r="C87" s="37"/>
      <c r="D87" s="37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25"/>
    </row>
    <row r="88" spans="1:16">
      <c r="A88" s="23">
        <v>91173</v>
      </c>
      <c r="B88" s="37"/>
      <c r="C88" s="37"/>
      <c r="D88" s="37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25"/>
    </row>
    <row r="89" spans="1:16">
      <c r="A89" s="23">
        <v>91175</v>
      </c>
      <c r="B89" s="37"/>
      <c r="C89" s="37"/>
      <c r="D89" s="37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25"/>
    </row>
    <row r="90" spans="1:16">
      <c r="A90" s="23">
        <v>91177</v>
      </c>
      <c r="B90" s="37"/>
      <c r="C90" s="37"/>
      <c r="D90" s="37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25"/>
    </row>
    <row r="91" spans="1:16">
      <c r="A91" s="23">
        <v>91179</v>
      </c>
      <c r="B91" s="37"/>
      <c r="C91" s="37"/>
      <c r="D91" s="37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25"/>
    </row>
    <row r="92" spans="1:16">
      <c r="A92" s="23" t="s">
        <v>38</v>
      </c>
      <c r="B92" s="37"/>
      <c r="C92" s="37"/>
      <c r="D92" s="37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25"/>
    </row>
    <row r="93" spans="1:16">
      <c r="A93" s="23" t="s">
        <v>40</v>
      </c>
      <c r="B93" s="37"/>
      <c r="C93" s="37"/>
      <c r="D93" s="37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25"/>
    </row>
    <row r="94" spans="1:16">
      <c r="A94" s="23" t="s">
        <v>41</v>
      </c>
      <c r="B94" s="37"/>
      <c r="C94" s="37"/>
      <c r="D94" s="37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25"/>
    </row>
    <row r="95" spans="1:16">
      <c r="A95" s="23" t="s">
        <v>42</v>
      </c>
      <c r="B95" s="37"/>
      <c r="C95" s="37"/>
      <c r="D95" s="37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25"/>
    </row>
    <row r="96" spans="1:16">
      <c r="A96" s="23" t="s">
        <v>43</v>
      </c>
      <c r="B96" s="37"/>
      <c r="C96" s="37"/>
      <c r="D96" s="37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25"/>
    </row>
    <row r="97" spans="1:16">
      <c r="A97" s="23" t="s">
        <v>44</v>
      </c>
      <c r="B97" s="37"/>
      <c r="C97" s="37"/>
      <c r="D97" s="37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25"/>
    </row>
    <row r="98" spans="1:16">
      <c r="A98" s="23" t="s">
        <v>45</v>
      </c>
      <c r="B98" s="37"/>
      <c r="C98" s="37"/>
      <c r="D98" s="37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25"/>
    </row>
    <row r="99" spans="1:16">
      <c r="A99" s="23" t="s">
        <v>46</v>
      </c>
      <c r="B99" s="37"/>
      <c r="C99" s="37"/>
      <c r="D99" s="37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25"/>
    </row>
    <row r="100" spans="1:16">
      <c r="A100" s="23" t="s">
        <v>47</v>
      </c>
      <c r="B100" s="37"/>
      <c r="C100" s="37"/>
      <c r="D100" s="37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25"/>
    </row>
    <row r="101" spans="1:16">
      <c r="A101" s="23" t="s">
        <v>48</v>
      </c>
      <c r="B101" s="37"/>
      <c r="C101" s="37"/>
      <c r="D101" s="37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25"/>
    </row>
    <row r="102" spans="1:16">
      <c r="A102" s="23" t="s">
        <v>50</v>
      </c>
      <c r="B102" s="37"/>
      <c r="C102" s="37"/>
      <c r="D102" s="37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25"/>
    </row>
    <row r="103" spans="1:16">
      <c r="A103" s="23" t="s">
        <v>51</v>
      </c>
      <c r="B103" s="37"/>
      <c r="C103" s="37"/>
      <c r="D103" s="37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25"/>
    </row>
    <row r="104" spans="1:16">
      <c r="A104" s="23" t="s">
        <v>52</v>
      </c>
      <c r="B104" s="37"/>
      <c r="C104" s="37"/>
      <c r="D104" s="37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25"/>
    </row>
    <row r="105" spans="1:16">
      <c r="A105" s="23" t="s">
        <v>54</v>
      </c>
      <c r="B105" s="37"/>
      <c r="C105" s="37"/>
      <c r="D105" s="37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25"/>
    </row>
    <row r="106" spans="1:16">
      <c r="A106" s="23">
        <v>91209</v>
      </c>
      <c r="B106" s="37"/>
      <c r="C106" s="37"/>
      <c r="D106" s="37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25"/>
    </row>
    <row r="107" spans="1:16">
      <c r="A107" s="23" t="s">
        <v>55</v>
      </c>
      <c r="B107" s="37"/>
      <c r="C107" s="37"/>
      <c r="D107" s="37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25"/>
    </row>
    <row r="108" spans="1:16">
      <c r="A108" s="23" t="s">
        <v>56</v>
      </c>
      <c r="B108" s="37"/>
      <c r="C108" s="37"/>
      <c r="D108" s="37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25"/>
    </row>
    <row r="109" spans="1:16">
      <c r="A109" s="23" t="s">
        <v>57</v>
      </c>
      <c r="B109" s="37"/>
      <c r="C109" s="37"/>
      <c r="D109" s="37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25"/>
    </row>
    <row r="110" spans="1:16">
      <c r="A110" s="23" t="s">
        <v>58</v>
      </c>
      <c r="B110" s="37"/>
      <c r="C110" s="37"/>
      <c r="D110" s="37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25"/>
    </row>
    <row r="111" spans="1:16">
      <c r="A111" s="23" t="s">
        <v>59</v>
      </c>
      <c r="B111" s="37"/>
      <c r="C111" s="37"/>
      <c r="D111" s="37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25"/>
    </row>
    <row r="112" spans="1:16">
      <c r="A112" s="23" t="s">
        <v>60</v>
      </c>
      <c r="B112" s="37"/>
      <c r="C112" s="37"/>
      <c r="D112" s="37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25"/>
    </row>
    <row r="113" spans="1:16">
      <c r="A113" s="23" t="s">
        <v>61</v>
      </c>
      <c r="B113" s="37"/>
      <c r="C113" s="37"/>
      <c r="D113" s="37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25"/>
    </row>
    <row r="114" spans="1:16">
      <c r="A114" s="23" t="s">
        <v>62</v>
      </c>
      <c r="B114" s="37"/>
      <c r="C114" s="37"/>
      <c r="D114" s="37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25"/>
    </row>
    <row r="115" spans="1:16">
      <c r="A115" s="23" t="s">
        <v>64</v>
      </c>
      <c r="B115" s="37"/>
      <c r="C115" s="37"/>
      <c r="D115" s="37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25"/>
    </row>
    <row r="116" spans="1:16">
      <c r="A116" s="23" t="s">
        <v>65</v>
      </c>
      <c r="B116" s="37"/>
      <c r="C116" s="37"/>
      <c r="D116" s="37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25"/>
    </row>
    <row r="117" spans="1:16">
      <c r="A117" s="23" t="s">
        <v>66</v>
      </c>
      <c r="B117" s="37"/>
      <c r="C117" s="37"/>
      <c r="D117" s="37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25"/>
    </row>
    <row r="118" spans="1:16">
      <c r="A118" s="23" t="s">
        <v>67</v>
      </c>
      <c r="B118" s="37"/>
      <c r="C118" s="37"/>
      <c r="D118" s="37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25"/>
    </row>
    <row r="119" spans="1:16">
      <c r="A119" s="23" t="s">
        <v>69</v>
      </c>
      <c r="B119" s="37"/>
      <c r="C119" s="37"/>
      <c r="D119" s="37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25"/>
    </row>
    <row r="120" spans="1:16">
      <c r="A120" s="23" t="s">
        <v>70</v>
      </c>
      <c r="B120" s="37"/>
      <c r="C120" s="37"/>
      <c r="D120" s="37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25"/>
    </row>
    <row r="121" spans="1:16">
      <c r="A121" s="23" t="s">
        <v>71</v>
      </c>
      <c r="B121" s="37"/>
      <c r="C121" s="37"/>
      <c r="D121" s="37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25"/>
    </row>
    <row r="122" spans="1:16">
      <c r="A122" s="23" t="s">
        <v>72</v>
      </c>
      <c r="B122" s="37"/>
      <c r="C122" s="37"/>
      <c r="D122" s="37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25"/>
    </row>
    <row r="123" spans="1:16">
      <c r="A123" s="23" t="s">
        <v>73</v>
      </c>
      <c r="B123" s="37"/>
      <c r="C123" s="37"/>
      <c r="D123" s="37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25"/>
    </row>
    <row r="124" spans="1:16">
      <c r="A124" s="23" t="s">
        <v>74</v>
      </c>
      <c r="B124" s="37"/>
      <c r="C124" s="37"/>
      <c r="D124" s="37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25"/>
    </row>
    <row r="125" spans="1:16">
      <c r="A125" s="23" t="s">
        <v>75</v>
      </c>
      <c r="B125" s="37"/>
      <c r="C125" s="37"/>
      <c r="D125" s="37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25"/>
    </row>
    <row r="126" spans="1:16">
      <c r="A126" s="23" t="s">
        <v>76</v>
      </c>
      <c r="B126" s="37"/>
      <c r="C126" s="37"/>
      <c r="D126" s="37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25"/>
    </row>
    <row r="127" spans="1:16">
      <c r="A127" s="23" t="s">
        <v>77</v>
      </c>
      <c r="B127" s="37"/>
      <c r="C127" s="37"/>
      <c r="D127" s="37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25"/>
    </row>
    <row r="128" spans="1:16">
      <c r="A128" s="23" t="s">
        <v>78</v>
      </c>
      <c r="B128" s="37"/>
      <c r="C128" s="37"/>
      <c r="D128" s="37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25"/>
    </row>
    <row r="129" spans="1:16">
      <c r="A129" s="23">
        <v>91255</v>
      </c>
      <c r="B129" s="37"/>
      <c r="C129" s="37"/>
      <c r="D129" s="37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25"/>
    </row>
    <row r="130" spans="1:16">
      <c r="A130" s="23" t="s">
        <v>80</v>
      </c>
      <c r="B130" s="37"/>
      <c r="C130" s="37"/>
      <c r="D130" s="37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25"/>
    </row>
    <row r="131" spans="1:16">
      <c r="A131" s="23" t="s">
        <v>81</v>
      </c>
      <c r="B131" s="37"/>
      <c r="C131" s="37"/>
      <c r="D131" s="37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25"/>
    </row>
    <row r="132" spans="1:16">
      <c r="A132" s="23" t="s">
        <v>82</v>
      </c>
      <c r="B132" s="37"/>
      <c r="C132" s="37"/>
      <c r="D132" s="37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25"/>
    </row>
    <row r="133" spans="1:16">
      <c r="A133" s="23" t="s">
        <v>83</v>
      </c>
      <c r="B133" s="37"/>
      <c r="C133" s="37"/>
      <c r="D133" s="37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25"/>
    </row>
    <row r="134" spans="1:16">
      <c r="A134" s="23" t="s">
        <v>84</v>
      </c>
      <c r="B134" s="37"/>
      <c r="C134" s="37"/>
      <c r="D134" s="37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25"/>
    </row>
    <row r="135" spans="1:16">
      <c r="A135" s="23" t="s">
        <v>85</v>
      </c>
      <c r="B135" s="37"/>
      <c r="C135" s="37"/>
      <c r="D135" s="37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25"/>
    </row>
    <row r="136" spans="1:16">
      <c r="A136" s="23" t="s">
        <v>86</v>
      </c>
      <c r="B136" s="37"/>
      <c r="C136" s="37"/>
      <c r="D136" s="37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25"/>
    </row>
    <row r="137" spans="1:16">
      <c r="A137" s="23" t="s">
        <v>87</v>
      </c>
      <c r="B137" s="37"/>
      <c r="C137" s="37"/>
      <c r="D137" s="37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25"/>
    </row>
    <row r="138" spans="1:16">
      <c r="A138" s="23">
        <v>91273</v>
      </c>
      <c r="B138" s="37"/>
      <c r="C138" s="37"/>
      <c r="D138" s="37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25"/>
    </row>
    <row r="139" spans="1:16">
      <c r="A139" s="23" t="s">
        <v>88</v>
      </c>
      <c r="B139" s="37"/>
      <c r="C139" s="37"/>
      <c r="D139" s="37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25"/>
    </row>
    <row r="140" spans="1:16">
      <c r="A140" s="23" t="s">
        <v>89</v>
      </c>
      <c r="B140" s="37"/>
      <c r="C140" s="37"/>
      <c r="D140" s="37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25"/>
    </row>
    <row r="141" spans="1:16">
      <c r="A141" s="23">
        <v>91279</v>
      </c>
      <c r="B141" s="37"/>
      <c r="C141" s="37"/>
      <c r="D141" s="37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25"/>
    </row>
    <row r="142" spans="1:16">
      <c r="A142" s="23" t="s">
        <v>90</v>
      </c>
      <c r="B142" s="37"/>
      <c r="C142" s="37"/>
      <c r="D142" s="37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25"/>
    </row>
    <row r="143" spans="1:16">
      <c r="A143" s="23" t="s">
        <v>92</v>
      </c>
      <c r="B143" s="37"/>
      <c r="C143" s="37"/>
      <c r="D143" s="37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25"/>
    </row>
    <row r="144" spans="1:16">
      <c r="A144" s="23" t="s">
        <v>93</v>
      </c>
      <c r="B144" s="37"/>
      <c r="C144" s="37"/>
      <c r="D144" s="37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25"/>
    </row>
    <row r="145" spans="1:16">
      <c r="A145" s="23" t="s">
        <v>95</v>
      </c>
      <c r="B145" s="37"/>
      <c r="C145" s="37"/>
      <c r="D145" s="37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25"/>
    </row>
    <row r="146" spans="1:16">
      <c r="A146" s="23" t="s">
        <v>96</v>
      </c>
      <c r="B146" s="37"/>
      <c r="C146" s="37"/>
      <c r="D146" s="37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25"/>
    </row>
    <row r="147" spans="1:16">
      <c r="A147" s="23" t="s">
        <v>97</v>
      </c>
      <c r="B147" s="37"/>
      <c r="C147" s="37"/>
      <c r="D147" s="37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25"/>
    </row>
    <row r="148" spans="1:16">
      <c r="A148" s="23" t="s">
        <v>98</v>
      </c>
      <c r="B148" s="37"/>
      <c r="C148" s="37"/>
      <c r="D148" s="37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25"/>
    </row>
    <row r="149" spans="1:16">
      <c r="A149" s="23" t="s">
        <v>99</v>
      </c>
      <c r="B149" s="37"/>
      <c r="C149" s="37"/>
      <c r="D149" s="37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25"/>
    </row>
    <row r="150" spans="1:16">
      <c r="A150" s="23" t="s">
        <v>100</v>
      </c>
      <c r="B150" s="37"/>
      <c r="C150" s="37"/>
      <c r="D150" s="37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25"/>
    </row>
    <row r="151" spans="1:16">
      <c r="A151" s="23" t="s">
        <v>101</v>
      </c>
      <c r="B151" s="37"/>
      <c r="C151" s="37"/>
      <c r="D151" s="37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25"/>
    </row>
    <row r="152" spans="1:16">
      <c r="A152" s="23">
        <v>91301</v>
      </c>
      <c r="B152" s="37"/>
      <c r="C152" s="37"/>
      <c r="D152" s="37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25"/>
    </row>
    <row r="153" spans="1:16">
      <c r="A153" s="23">
        <v>91303</v>
      </c>
      <c r="B153" s="37"/>
      <c r="C153" s="37"/>
      <c r="D153" s="37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25"/>
    </row>
    <row r="154" spans="1:16">
      <c r="A154" s="23" t="s">
        <v>103</v>
      </c>
      <c r="B154" s="37"/>
      <c r="C154" s="37"/>
      <c r="D154" s="37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25"/>
    </row>
    <row r="155" spans="1:16">
      <c r="A155" s="23" t="s">
        <v>104</v>
      </c>
      <c r="B155" s="37"/>
      <c r="C155" s="37"/>
      <c r="D155" s="37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25"/>
    </row>
    <row r="156" spans="1:16">
      <c r="A156" s="23" t="s">
        <v>105</v>
      </c>
      <c r="B156" s="37"/>
      <c r="C156" s="37"/>
      <c r="D156" s="37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25"/>
    </row>
    <row r="157" spans="1:16">
      <c r="A157" s="23" t="s">
        <v>107</v>
      </c>
      <c r="B157" s="37"/>
      <c r="C157" s="37"/>
      <c r="D157" s="37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25"/>
    </row>
    <row r="158" spans="1:16">
      <c r="A158" s="23" t="s">
        <v>108</v>
      </c>
      <c r="B158" s="37"/>
      <c r="C158" s="37"/>
      <c r="D158" s="37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25"/>
    </row>
    <row r="159" spans="1:16">
      <c r="A159" s="23" t="s">
        <v>109</v>
      </c>
      <c r="B159" s="37"/>
      <c r="C159" s="37"/>
      <c r="D159" s="37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25"/>
    </row>
    <row r="160" spans="1:16">
      <c r="A160" s="23" t="s">
        <v>110</v>
      </c>
      <c r="B160" s="37"/>
      <c r="C160" s="37"/>
      <c r="D160" s="37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25"/>
    </row>
    <row r="161" spans="1:16">
      <c r="A161" s="23" t="s">
        <v>112</v>
      </c>
      <c r="B161" s="37"/>
      <c r="C161" s="37"/>
      <c r="D161" s="37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25"/>
    </row>
    <row r="162" spans="1:16">
      <c r="A162" s="23" t="s">
        <v>113</v>
      </c>
      <c r="B162" s="37"/>
      <c r="C162" s="37"/>
      <c r="D162" s="37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25"/>
    </row>
    <row r="163" spans="1:16">
      <c r="A163" s="23" t="s">
        <v>114</v>
      </c>
      <c r="B163" s="37"/>
      <c r="C163" s="37"/>
      <c r="D163" s="37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25"/>
    </row>
    <row r="164" spans="1:16">
      <c r="A164" s="23" t="s">
        <v>115</v>
      </c>
      <c r="B164" s="37"/>
      <c r="C164" s="37"/>
      <c r="D164" s="37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25"/>
    </row>
    <row r="165" spans="1:16">
      <c r="A165" s="23" t="s">
        <v>116</v>
      </c>
      <c r="B165" s="37"/>
      <c r="C165" s="37"/>
      <c r="D165" s="37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25"/>
    </row>
    <row r="166" spans="1:16">
      <c r="A166" s="23">
        <v>91329</v>
      </c>
      <c r="B166" s="37"/>
      <c r="C166" s="37"/>
      <c r="D166" s="37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25"/>
    </row>
    <row r="167" spans="1:16">
      <c r="A167" s="23" t="s">
        <v>117</v>
      </c>
      <c r="B167" s="37"/>
      <c r="C167" s="37"/>
      <c r="D167" s="37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25"/>
    </row>
    <row r="168" spans="1:16">
      <c r="A168" s="23" t="s">
        <v>118</v>
      </c>
      <c r="B168" s="37"/>
      <c r="C168" s="37"/>
      <c r="D168" s="37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25"/>
    </row>
    <row r="169" spans="1:16">
      <c r="A169" s="23" t="s">
        <v>120</v>
      </c>
      <c r="B169" s="37"/>
      <c r="C169" s="37"/>
      <c r="D169" s="37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25"/>
    </row>
    <row r="170" spans="1:16">
      <c r="A170" s="24">
        <v>91337</v>
      </c>
      <c r="B170" s="37"/>
      <c r="C170" s="37"/>
      <c r="D170" s="37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25"/>
    </row>
    <row r="171" spans="1:16">
      <c r="A171" s="23" t="s">
        <v>121</v>
      </c>
      <c r="B171" s="37"/>
      <c r="C171" s="37"/>
      <c r="D171" s="37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25"/>
    </row>
    <row r="172" spans="1:16">
      <c r="A172" s="23">
        <v>91341</v>
      </c>
      <c r="B172" s="37"/>
      <c r="C172" s="37"/>
      <c r="D172" s="37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25"/>
    </row>
    <row r="173" spans="1:16">
      <c r="A173" s="23">
        <v>91343</v>
      </c>
      <c r="B173" s="37"/>
      <c r="C173" s="37"/>
      <c r="D173" s="37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25"/>
    </row>
    <row r="174" spans="1:16">
      <c r="A174" s="23">
        <v>91345</v>
      </c>
      <c r="B174" s="37"/>
      <c r="C174" s="37"/>
      <c r="D174" s="37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25"/>
    </row>
    <row r="175" spans="1:16">
      <c r="A175" s="23">
        <v>91347</v>
      </c>
      <c r="B175" s="37"/>
      <c r="C175" s="37"/>
      <c r="D175" s="37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25"/>
    </row>
    <row r="176" spans="1:16">
      <c r="A176" s="23">
        <v>91349</v>
      </c>
      <c r="B176" s="37"/>
      <c r="C176" s="37"/>
      <c r="D176" s="37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25"/>
    </row>
    <row r="177" spans="1:16">
      <c r="A177" s="23">
        <v>93002</v>
      </c>
      <c r="B177" s="37"/>
      <c r="C177" s="37"/>
      <c r="D177" s="37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25"/>
    </row>
    <row r="178" spans="1:16">
      <c r="A178" s="23">
        <v>93004</v>
      </c>
      <c r="B178" s="37"/>
      <c r="C178" s="37"/>
      <c r="D178" s="37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25"/>
    </row>
    <row r="179" spans="1:16">
      <c r="A179" s="23">
        <v>93006</v>
      </c>
      <c r="B179" s="37"/>
      <c r="C179" s="37"/>
      <c r="D179" s="37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25"/>
    </row>
    <row r="180" spans="1:16">
      <c r="A180" s="23">
        <v>93008</v>
      </c>
      <c r="B180" s="37"/>
      <c r="C180" s="37"/>
      <c r="D180" s="37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25"/>
    </row>
    <row r="181" spans="1:16">
      <c r="A181" s="23">
        <v>93010</v>
      </c>
      <c r="B181" s="37"/>
      <c r="C181" s="37"/>
      <c r="D181" s="37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25"/>
    </row>
    <row r="182" spans="1:16">
      <c r="A182" s="23">
        <v>93012</v>
      </c>
      <c r="B182" s="37"/>
      <c r="C182" s="37"/>
      <c r="D182" s="37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25"/>
    </row>
    <row r="183" spans="1:16">
      <c r="A183" s="23">
        <v>93014</v>
      </c>
      <c r="B183" s="37"/>
      <c r="C183" s="37"/>
      <c r="D183" s="37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25"/>
    </row>
    <row r="184" spans="1:16">
      <c r="A184" s="23">
        <v>93016</v>
      </c>
      <c r="B184" s="37"/>
      <c r="C184" s="37"/>
      <c r="D184" s="37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25"/>
    </row>
    <row r="185" spans="1:16">
      <c r="A185" s="23">
        <v>93018</v>
      </c>
      <c r="B185" s="37"/>
      <c r="C185" s="37"/>
      <c r="D185" s="37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25"/>
    </row>
    <row r="186" spans="1:16">
      <c r="A186" s="23">
        <v>93020</v>
      </c>
      <c r="B186" s="37"/>
      <c r="C186" s="37"/>
      <c r="D186" s="37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25"/>
    </row>
    <row r="187" spans="1:16">
      <c r="A187" s="23">
        <v>93022</v>
      </c>
      <c r="B187" s="37"/>
      <c r="C187" s="37"/>
      <c r="D187" s="37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25"/>
    </row>
    <row r="188" spans="1:16">
      <c r="A188" s="23">
        <v>93024</v>
      </c>
      <c r="B188" s="37"/>
      <c r="C188" s="37"/>
      <c r="D188" s="37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25"/>
    </row>
    <row r="189" spans="1:16">
      <c r="A189" s="23">
        <v>93026</v>
      </c>
      <c r="B189" s="37"/>
      <c r="C189" s="37"/>
      <c r="D189" s="37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25"/>
    </row>
    <row r="190" spans="1:16">
      <c r="A190" s="23">
        <v>93028</v>
      </c>
      <c r="B190" s="37"/>
      <c r="C190" s="37"/>
      <c r="D190" s="37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25"/>
    </row>
    <row r="191" spans="1:16">
      <c r="A191" s="23">
        <v>93030</v>
      </c>
      <c r="B191" s="37"/>
      <c r="C191" s="37"/>
      <c r="D191" s="37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25"/>
    </row>
    <row r="192" spans="1:16">
      <c r="A192" s="23">
        <v>93032</v>
      </c>
      <c r="B192" s="37"/>
      <c r="C192" s="37"/>
      <c r="D192" s="37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25"/>
    </row>
    <row r="193" spans="1:16">
      <c r="A193" s="23">
        <v>93034</v>
      </c>
      <c r="B193" s="37"/>
      <c r="C193" s="37"/>
      <c r="D193" s="37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25"/>
    </row>
    <row r="194" spans="1:16">
      <c r="A194" s="23">
        <v>93036</v>
      </c>
      <c r="B194" s="37"/>
      <c r="C194" s="37"/>
      <c r="D194" s="37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25"/>
    </row>
    <row r="195" spans="1:16">
      <c r="A195" s="23">
        <v>93038</v>
      </c>
      <c r="B195" s="37"/>
      <c r="C195" s="37"/>
      <c r="D195" s="37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25"/>
    </row>
    <row r="196" spans="1:16">
      <c r="A196" s="23">
        <v>93040</v>
      </c>
      <c r="B196" s="37"/>
      <c r="C196" s="37"/>
      <c r="D196" s="37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25"/>
    </row>
    <row r="197" spans="1:16">
      <c r="A197" s="23">
        <v>93042</v>
      </c>
      <c r="B197" s="37"/>
      <c r="C197" s="37"/>
      <c r="D197" s="37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25"/>
    </row>
    <row r="198" spans="1:16">
      <c r="A198" s="23">
        <v>93044</v>
      </c>
      <c r="B198" s="37"/>
      <c r="C198" s="37"/>
      <c r="D198" s="37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25"/>
    </row>
    <row r="199" spans="1:16">
      <c r="A199" s="23">
        <v>93046</v>
      </c>
      <c r="B199" s="37"/>
      <c r="C199" s="37"/>
      <c r="D199" s="37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25"/>
    </row>
    <row r="200" spans="1:16">
      <c r="A200" s="23">
        <v>93048</v>
      </c>
      <c r="B200" s="37"/>
      <c r="C200" s="37"/>
      <c r="D200" s="37"/>
      <c r="E200" s="14"/>
      <c r="F200" s="14"/>
      <c r="G200" s="14"/>
      <c r="H200" s="14"/>
      <c r="I200" s="14"/>
      <c r="J200" s="14"/>
      <c r="K200" s="14"/>
      <c r="L200" s="14"/>
      <c r="M200" s="19"/>
      <c r="N200" s="20"/>
      <c r="O200" s="14"/>
      <c r="P200" s="27"/>
    </row>
    <row r="201" spans="1:16">
      <c r="A201" s="23">
        <v>93050</v>
      </c>
      <c r="B201" s="37"/>
      <c r="C201" s="37"/>
      <c r="D201" s="40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25"/>
    </row>
    <row r="202" spans="1:16">
      <c r="A202" s="23">
        <v>93052</v>
      </c>
      <c r="B202" s="37"/>
      <c r="C202" s="37"/>
      <c r="D202" s="37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25"/>
    </row>
    <row r="203" spans="1:16">
      <c r="A203" s="23">
        <v>93054</v>
      </c>
      <c r="B203" s="37"/>
      <c r="C203" s="37"/>
      <c r="D203" s="37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25"/>
    </row>
    <row r="204" spans="1:16">
      <c r="A204" s="23">
        <v>93056</v>
      </c>
      <c r="B204" s="37"/>
      <c r="C204" s="37"/>
      <c r="D204" s="37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25"/>
    </row>
    <row r="205" spans="1:16">
      <c r="A205" s="23">
        <v>93058</v>
      </c>
      <c r="B205" s="37"/>
      <c r="C205" s="37"/>
      <c r="D205" s="37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25"/>
    </row>
    <row r="206" spans="1:16">
      <c r="A206" s="23">
        <v>93060</v>
      </c>
      <c r="B206" s="37"/>
      <c r="C206" s="37"/>
      <c r="D206" s="37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25"/>
    </row>
    <row r="207" spans="1:16">
      <c r="A207" s="23">
        <v>93062</v>
      </c>
      <c r="B207" s="37"/>
      <c r="C207" s="37"/>
      <c r="D207" s="37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25"/>
    </row>
    <row r="208" spans="1:16">
      <c r="A208" s="23">
        <v>93064</v>
      </c>
      <c r="B208" s="37"/>
      <c r="C208" s="37"/>
      <c r="D208" s="37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25"/>
    </row>
    <row r="209" spans="1:16">
      <c r="A209" s="23">
        <v>93066</v>
      </c>
      <c r="B209" s="37"/>
      <c r="C209" s="37"/>
      <c r="D209" s="37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25"/>
    </row>
    <row r="210" spans="1:16">
      <c r="A210" s="23">
        <v>93068</v>
      </c>
      <c r="B210" s="37"/>
      <c r="C210" s="37"/>
      <c r="D210" s="37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25"/>
    </row>
    <row r="211" spans="1:16">
      <c r="A211" s="23">
        <v>93070</v>
      </c>
      <c r="B211" s="37"/>
      <c r="C211" s="37"/>
      <c r="D211" s="37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25"/>
    </row>
    <row r="212" spans="1:16">
      <c r="A212" s="23">
        <v>93072</v>
      </c>
      <c r="B212" s="37"/>
      <c r="C212" s="37"/>
      <c r="D212" s="37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25"/>
    </row>
    <row r="213" spans="1:16">
      <c r="A213" s="23">
        <v>93074</v>
      </c>
      <c r="B213" s="37"/>
      <c r="C213" s="37"/>
      <c r="D213" s="37"/>
      <c r="E213" s="14"/>
      <c r="F213" s="14"/>
      <c r="G213" s="14"/>
      <c r="H213" s="14"/>
      <c r="I213" s="14"/>
      <c r="J213" s="14"/>
      <c r="K213" s="14"/>
      <c r="L213" s="14"/>
      <c r="M213" s="19"/>
      <c r="N213" s="20"/>
      <c r="O213" s="19"/>
      <c r="P213" s="25"/>
    </row>
    <row r="214" spans="1:16">
      <c r="A214" s="23">
        <v>93076</v>
      </c>
      <c r="B214" s="37"/>
      <c r="C214" s="37"/>
      <c r="D214" s="37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25"/>
    </row>
    <row r="215" spans="1:16">
      <c r="A215" s="23">
        <v>93078</v>
      </c>
      <c r="B215" s="37"/>
      <c r="C215" s="37"/>
      <c r="D215" s="37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25"/>
    </row>
    <row r="216" spans="1:16">
      <c r="A216" s="23">
        <v>93080</v>
      </c>
      <c r="B216" s="37"/>
      <c r="C216" s="37"/>
      <c r="D216" s="37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25"/>
    </row>
    <row r="217" spans="1:16">
      <c r="A217" s="23">
        <v>93082</v>
      </c>
      <c r="B217" s="37"/>
      <c r="C217" s="37"/>
      <c r="D217" s="37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25"/>
    </row>
    <row r="218" spans="1:16">
      <c r="A218" s="23">
        <v>93084</v>
      </c>
      <c r="B218" s="37"/>
      <c r="C218" s="37"/>
      <c r="D218" s="37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25"/>
    </row>
    <row r="219" spans="1:16">
      <c r="A219" s="23">
        <v>93086</v>
      </c>
      <c r="B219" s="37"/>
      <c r="C219" s="37"/>
      <c r="D219" s="37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25"/>
    </row>
    <row r="220" spans="1:16">
      <c r="A220" s="23">
        <v>93088</v>
      </c>
      <c r="B220" s="37"/>
      <c r="C220" s="37"/>
      <c r="D220" s="37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25"/>
    </row>
    <row r="221" spans="1:16">
      <c r="A221" s="23">
        <v>93090</v>
      </c>
      <c r="B221" s="37"/>
      <c r="C221" s="37"/>
      <c r="D221" s="37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25"/>
    </row>
    <row r="222" spans="1:16">
      <c r="A222" s="23">
        <v>93092</v>
      </c>
      <c r="B222" s="37"/>
      <c r="C222" s="37"/>
      <c r="D222" s="37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25"/>
    </row>
    <row r="223" spans="1:16">
      <c r="A223" s="23">
        <v>93094</v>
      </c>
      <c r="B223" s="37"/>
      <c r="C223" s="37"/>
      <c r="D223" s="37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25"/>
    </row>
    <row r="224" spans="1:16">
      <c r="A224" s="23">
        <v>93096</v>
      </c>
      <c r="B224" s="37"/>
      <c r="C224" s="37"/>
      <c r="D224" s="37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25"/>
    </row>
    <row r="225" spans="1:16">
      <c r="A225" s="23">
        <v>93098</v>
      </c>
      <c r="B225" s="37"/>
      <c r="C225" s="37"/>
      <c r="D225" s="37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25"/>
    </row>
    <row r="226" spans="1:16">
      <c r="A226" s="24">
        <v>93100</v>
      </c>
      <c r="B226" s="37"/>
      <c r="C226" s="37"/>
      <c r="D226" s="37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25"/>
    </row>
    <row r="227" spans="1:16">
      <c r="A227" s="23">
        <v>93102</v>
      </c>
      <c r="B227" s="37"/>
      <c r="C227" s="37"/>
      <c r="D227" s="37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25"/>
    </row>
    <row r="228" spans="1:16">
      <c r="A228" s="23">
        <v>93104</v>
      </c>
      <c r="B228" s="37"/>
      <c r="C228" s="37"/>
      <c r="D228" s="37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25"/>
    </row>
    <row r="229" spans="1:16">
      <c r="A229" s="23">
        <v>93106</v>
      </c>
      <c r="B229" s="37"/>
      <c r="C229" s="37"/>
      <c r="D229" s="37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25"/>
    </row>
    <row r="230" spans="1:16">
      <c r="A230" s="23">
        <v>93108</v>
      </c>
      <c r="B230" s="37"/>
      <c r="C230" s="37"/>
      <c r="D230" s="37"/>
      <c r="E230" s="14"/>
      <c r="F230" s="14"/>
      <c r="G230" s="14"/>
      <c r="H230" s="14"/>
      <c r="I230" s="14"/>
      <c r="J230" s="14"/>
      <c r="K230" s="14"/>
      <c r="L230" s="14"/>
      <c r="M230" s="19"/>
      <c r="N230" s="20"/>
      <c r="O230" s="14"/>
      <c r="P230" s="27"/>
    </row>
    <row r="231" spans="1:16">
      <c r="A231" s="23">
        <v>93110</v>
      </c>
      <c r="B231" s="37"/>
      <c r="C231" s="37"/>
      <c r="D231" s="37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25"/>
    </row>
    <row r="232" spans="1:16">
      <c r="A232" s="23">
        <v>93112</v>
      </c>
      <c r="B232" s="37"/>
      <c r="C232" s="37"/>
      <c r="D232" s="37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25"/>
    </row>
    <row r="233" spans="1:16">
      <c r="A233" s="23">
        <v>93114</v>
      </c>
      <c r="B233" s="37"/>
      <c r="C233" s="37"/>
      <c r="D233" s="37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25"/>
    </row>
    <row r="234" spans="1:16">
      <c r="A234" s="23">
        <v>93116</v>
      </c>
      <c r="B234" s="37"/>
      <c r="C234" s="37"/>
      <c r="D234" s="37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25"/>
    </row>
    <row r="235" spans="1:16">
      <c r="A235" s="23">
        <v>93118</v>
      </c>
      <c r="B235" s="37"/>
      <c r="C235" s="37"/>
      <c r="D235" s="37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25"/>
    </row>
    <row r="236" spans="1:16">
      <c r="A236" s="23">
        <v>93120</v>
      </c>
      <c r="B236" s="37"/>
      <c r="C236" s="37"/>
      <c r="D236" s="37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25"/>
    </row>
    <row r="237" spans="1:16">
      <c r="A237" s="23">
        <v>93122</v>
      </c>
      <c r="B237" s="37"/>
      <c r="C237" s="37"/>
      <c r="D237" s="37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25"/>
    </row>
    <row r="238" spans="1:16">
      <c r="A238" s="23">
        <v>93124</v>
      </c>
      <c r="B238" s="37"/>
      <c r="C238" s="37"/>
      <c r="D238" s="37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25"/>
    </row>
    <row r="239" spans="1:16">
      <c r="A239" s="23">
        <v>93126</v>
      </c>
      <c r="B239" s="37"/>
      <c r="C239" s="37"/>
      <c r="D239" s="37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25"/>
    </row>
    <row r="240" spans="1:16">
      <c r="A240" s="23">
        <v>93128</v>
      </c>
      <c r="B240" s="37"/>
      <c r="C240" s="37"/>
      <c r="D240" s="37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25"/>
    </row>
    <row r="241" spans="1:16">
      <c r="A241" s="23">
        <v>93130</v>
      </c>
      <c r="B241" s="37"/>
      <c r="C241" s="37"/>
      <c r="D241" s="37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25"/>
    </row>
    <row r="242" spans="1:16">
      <c r="A242" s="23">
        <v>93132</v>
      </c>
      <c r="B242" s="37"/>
      <c r="C242" s="37"/>
      <c r="D242" s="37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25"/>
    </row>
    <row r="243" spans="1:16">
      <c r="A243" s="23">
        <v>93134</v>
      </c>
      <c r="B243" s="37"/>
      <c r="C243" s="37"/>
      <c r="D243" s="37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25"/>
    </row>
    <row r="244" spans="1:16">
      <c r="A244" s="23">
        <v>93136</v>
      </c>
      <c r="B244" s="37"/>
      <c r="C244" s="37"/>
      <c r="D244" s="37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25"/>
    </row>
    <row r="245" spans="1:16">
      <c r="A245" s="23">
        <v>93138</v>
      </c>
      <c r="B245" s="37"/>
      <c r="C245" s="37"/>
      <c r="D245" s="37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25"/>
    </row>
    <row r="246" spans="1:16">
      <c r="A246" s="23">
        <v>93140</v>
      </c>
      <c r="B246" s="37"/>
      <c r="C246" s="37"/>
      <c r="D246" s="37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25"/>
    </row>
    <row r="247" spans="1:16">
      <c r="A247" s="23">
        <v>93142</v>
      </c>
      <c r="B247" s="37"/>
      <c r="C247" s="37"/>
      <c r="D247" s="37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25"/>
    </row>
    <row r="248" spans="1:16">
      <c r="A248" s="23">
        <v>93144</v>
      </c>
      <c r="B248" s="37"/>
      <c r="C248" s="37"/>
      <c r="D248" s="37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25"/>
    </row>
    <row r="249" spans="1:16">
      <c r="A249" s="23">
        <v>93146</v>
      </c>
      <c r="B249" s="37"/>
      <c r="C249" s="37"/>
      <c r="D249" s="37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25"/>
    </row>
    <row r="250" spans="1:16">
      <c r="A250" s="23">
        <v>93148</v>
      </c>
      <c r="B250" s="37"/>
      <c r="C250" s="37"/>
      <c r="D250" s="37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25"/>
    </row>
    <row r="251" spans="1:16">
      <c r="A251" s="23">
        <v>93150</v>
      </c>
      <c r="B251" s="37"/>
      <c r="C251" s="37"/>
      <c r="D251" s="37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25"/>
    </row>
    <row r="252" spans="1:16">
      <c r="A252" s="23">
        <v>93152</v>
      </c>
      <c r="B252" s="37"/>
      <c r="C252" s="37"/>
      <c r="D252" s="37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25"/>
    </row>
    <row r="253" spans="1:16">
      <c r="A253" s="23">
        <v>93154</v>
      </c>
      <c r="B253" s="37"/>
      <c r="C253" s="37"/>
      <c r="D253" s="37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25"/>
    </row>
    <row r="254" spans="1:16">
      <c r="A254" s="23">
        <v>93156</v>
      </c>
      <c r="B254" s="37"/>
      <c r="C254" s="37"/>
      <c r="D254" s="37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25"/>
    </row>
    <row r="255" spans="1:16">
      <c r="A255" s="23">
        <v>93158</v>
      </c>
      <c r="B255" s="37"/>
      <c r="C255" s="37"/>
      <c r="D255" s="37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25"/>
    </row>
    <row r="256" spans="1:16">
      <c r="A256" s="23">
        <v>93160</v>
      </c>
      <c r="B256" s="37"/>
      <c r="C256" s="37"/>
      <c r="D256" s="37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25"/>
    </row>
    <row r="257" spans="1:16">
      <c r="A257" s="23">
        <v>93162</v>
      </c>
      <c r="B257" s="37"/>
      <c r="C257" s="37"/>
      <c r="D257" s="37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25"/>
    </row>
    <row r="258" spans="1:16">
      <c r="A258" s="23">
        <v>93164</v>
      </c>
      <c r="B258" s="37"/>
      <c r="C258" s="37"/>
      <c r="D258" s="37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25"/>
    </row>
    <row r="259" spans="1:16">
      <c r="A259" s="23">
        <v>93166</v>
      </c>
      <c r="B259" s="37"/>
      <c r="C259" s="37"/>
      <c r="D259" s="37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25"/>
    </row>
    <row r="260" spans="1:16">
      <c r="A260" s="23">
        <v>93168</v>
      </c>
      <c r="B260" s="37"/>
      <c r="C260" s="37"/>
      <c r="D260" s="37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25"/>
    </row>
    <row r="261" spans="1:16">
      <c r="A261" s="23">
        <v>93170</v>
      </c>
      <c r="B261" s="37"/>
      <c r="C261" s="37"/>
      <c r="D261" s="37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25"/>
    </row>
    <row r="262" spans="1:16">
      <c r="A262" s="23">
        <v>93172</v>
      </c>
      <c r="B262" s="37"/>
      <c r="C262" s="37"/>
      <c r="D262" s="37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25"/>
    </row>
    <row r="263" spans="1:16">
      <c r="A263" s="23">
        <v>93174</v>
      </c>
      <c r="B263" s="37"/>
      <c r="C263" s="37"/>
      <c r="D263" s="37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25"/>
    </row>
    <row r="264" spans="1:16">
      <c r="A264" s="23">
        <v>93176</v>
      </c>
      <c r="B264" s="37"/>
      <c r="C264" s="37"/>
      <c r="D264" s="37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25"/>
    </row>
    <row r="265" spans="1:16">
      <c r="A265" s="23">
        <v>93178</v>
      </c>
      <c r="B265" s="37"/>
      <c r="C265" s="37"/>
      <c r="D265" s="37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25"/>
    </row>
    <row r="266" spans="1:16">
      <c r="A266" s="23">
        <v>93180</v>
      </c>
      <c r="B266" s="37"/>
      <c r="C266" s="37"/>
      <c r="D266" s="37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25"/>
    </row>
    <row r="267" spans="1:16">
      <c r="A267" s="23">
        <v>93182</v>
      </c>
      <c r="B267" s="37"/>
      <c r="C267" s="37"/>
      <c r="D267" s="37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25"/>
    </row>
    <row r="268" spans="1:16">
      <c r="A268" s="23">
        <v>93184</v>
      </c>
      <c r="B268" s="37"/>
      <c r="C268" s="37"/>
      <c r="D268" s="37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25"/>
    </row>
    <row r="269" spans="1:16">
      <c r="A269" s="23">
        <v>93186</v>
      </c>
      <c r="B269" s="37"/>
      <c r="C269" s="37"/>
      <c r="D269" s="37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25"/>
    </row>
    <row r="270" spans="1:16">
      <c r="A270" s="23">
        <v>93188</v>
      </c>
      <c r="B270" s="37"/>
      <c r="C270" s="37"/>
      <c r="D270" s="37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25"/>
    </row>
    <row r="271" spans="1:16">
      <c r="A271" s="23">
        <v>93190</v>
      </c>
      <c r="B271" s="37"/>
      <c r="C271" s="37"/>
      <c r="D271" s="37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25"/>
    </row>
    <row r="272" spans="1:16">
      <c r="A272" s="23">
        <v>93192</v>
      </c>
      <c r="B272" s="37"/>
      <c r="C272" s="37"/>
      <c r="D272" s="37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25"/>
    </row>
    <row r="273" spans="1:16">
      <c r="A273" s="23">
        <v>93194</v>
      </c>
      <c r="B273" s="37"/>
      <c r="C273" s="37"/>
      <c r="D273" s="37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25"/>
    </row>
    <row r="274" spans="1:16">
      <c r="A274" s="23">
        <v>93196</v>
      </c>
      <c r="B274" s="37"/>
      <c r="C274" s="37"/>
      <c r="D274" s="37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25"/>
    </row>
    <row r="275" spans="1:16">
      <c r="A275" s="23">
        <v>93198</v>
      </c>
      <c r="B275" s="37"/>
      <c r="C275" s="37"/>
      <c r="D275" s="37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25"/>
    </row>
    <row r="276" spans="1:16">
      <c r="A276" s="23">
        <v>93200</v>
      </c>
      <c r="B276" s="37"/>
      <c r="C276" s="37"/>
      <c r="D276" s="37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25"/>
    </row>
    <row r="277" spans="1:16">
      <c r="A277" s="23">
        <v>93202</v>
      </c>
      <c r="B277" s="37"/>
      <c r="C277" s="37"/>
      <c r="D277" s="37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25"/>
    </row>
    <row r="278" spans="1:16">
      <c r="A278" s="23">
        <v>93204</v>
      </c>
      <c r="B278" s="37"/>
      <c r="C278" s="37"/>
      <c r="D278" s="37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25"/>
    </row>
    <row r="279" spans="1:16">
      <c r="A279" s="23">
        <v>93206</v>
      </c>
      <c r="B279" s="37"/>
      <c r="C279" s="37"/>
      <c r="D279" s="37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25"/>
    </row>
    <row r="280" spans="1:16">
      <c r="A280" s="23">
        <v>93208</v>
      </c>
      <c r="B280" s="37"/>
      <c r="C280" s="37"/>
      <c r="D280" s="37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25"/>
    </row>
    <row r="281" spans="1:16">
      <c r="A281" s="23">
        <v>93210</v>
      </c>
      <c r="B281" s="37"/>
      <c r="C281" s="37"/>
      <c r="D281" s="37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25"/>
    </row>
    <row r="282" spans="1:16">
      <c r="A282" s="23">
        <v>93212</v>
      </c>
      <c r="B282" s="37"/>
      <c r="C282" s="37"/>
      <c r="D282" s="37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25"/>
    </row>
    <row r="283" spans="1:16">
      <c r="A283" s="23">
        <v>93214</v>
      </c>
      <c r="B283" s="37"/>
      <c r="C283" s="37"/>
      <c r="D283" s="37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25"/>
    </row>
    <row r="284" spans="1:16">
      <c r="A284" s="23">
        <v>93216</v>
      </c>
      <c r="B284" s="37"/>
      <c r="C284" s="37"/>
      <c r="D284" s="37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25"/>
    </row>
    <row r="285" spans="1:16">
      <c r="A285" s="23">
        <v>93218</v>
      </c>
      <c r="B285" s="37"/>
      <c r="C285" s="37"/>
      <c r="D285" s="37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25"/>
    </row>
    <row r="286" spans="1:16">
      <c r="A286" s="23">
        <v>93220</v>
      </c>
      <c r="B286" s="37"/>
      <c r="C286" s="37"/>
      <c r="D286" s="37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25"/>
    </row>
    <row r="287" spans="1:16">
      <c r="A287" s="23">
        <v>93222</v>
      </c>
      <c r="B287" s="37"/>
      <c r="C287" s="37"/>
      <c r="D287" s="37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25"/>
    </row>
    <row r="288" spans="1:16">
      <c r="A288" s="23">
        <v>93224</v>
      </c>
      <c r="B288" s="37"/>
      <c r="C288" s="37"/>
      <c r="D288" s="37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25"/>
    </row>
    <row r="289" spans="1:16">
      <c r="A289" s="23">
        <v>93226</v>
      </c>
      <c r="B289" s="37"/>
      <c r="C289" s="37"/>
      <c r="D289" s="37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25"/>
    </row>
    <row r="290" spans="1:16">
      <c r="A290" s="23">
        <v>93228</v>
      </c>
      <c r="B290" s="37"/>
      <c r="C290" s="37"/>
      <c r="D290" s="37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25"/>
    </row>
    <row r="291" spans="1:16">
      <c r="A291" s="23">
        <v>93230</v>
      </c>
      <c r="B291" s="37"/>
      <c r="C291" s="37"/>
      <c r="D291" s="37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25"/>
    </row>
    <row r="292" spans="1:16">
      <c r="A292" s="23">
        <v>93232</v>
      </c>
      <c r="B292" s="37"/>
      <c r="C292" s="37"/>
      <c r="D292" s="37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25"/>
    </row>
    <row r="293" spans="1:16">
      <c r="A293" s="23">
        <v>93234</v>
      </c>
      <c r="B293" s="37"/>
      <c r="C293" s="37"/>
      <c r="D293" s="37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25"/>
    </row>
    <row r="294" spans="1:16">
      <c r="A294" s="23">
        <v>93236</v>
      </c>
      <c r="B294" s="37"/>
      <c r="C294" s="37"/>
      <c r="D294" s="37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25"/>
    </row>
    <row r="295" spans="1:16">
      <c r="A295" s="23">
        <v>93238</v>
      </c>
      <c r="B295" s="37"/>
      <c r="C295" s="37"/>
      <c r="D295" s="37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25"/>
    </row>
    <row r="296" spans="1:16">
      <c r="A296" s="23">
        <v>93240</v>
      </c>
      <c r="B296" s="37"/>
      <c r="C296" s="37"/>
      <c r="D296" s="37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25"/>
    </row>
    <row r="297" spans="1:16">
      <c r="A297" s="23">
        <v>93242</v>
      </c>
      <c r="B297" s="37"/>
      <c r="C297" s="37"/>
      <c r="D297" s="37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25"/>
    </row>
    <row r="298" spans="1:16">
      <c r="A298" s="23">
        <v>93244</v>
      </c>
      <c r="B298" s="37"/>
      <c r="C298" s="37"/>
      <c r="D298" s="37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25"/>
    </row>
    <row r="299" spans="1:16">
      <c r="A299" s="23">
        <v>93246</v>
      </c>
      <c r="B299" s="37"/>
      <c r="C299" s="37"/>
      <c r="D299" s="37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25"/>
    </row>
    <row r="300" spans="1:16">
      <c r="A300" s="23">
        <v>93248</v>
      </c>
      <c r="B300" s="37"/>
      <c r="C300" s="37"/>
      <c r="D300" s="37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25"/>
    </row>
    <row r="301" spans="1:16">
      <c r="A301" s="23">
        <v>93250</v>
      </c>
      <c r="B301" s="37"/>
      <c r="C301" s="37"/>
      <c r="D301" s="37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25"/>
    </row>
    <row r="302" spans="1:16">
      <c r="A302" s="23">
        <v>93252</v>
      </c>
      <c r="B302" s="37"/>
      <c r="C302" s="37"/>
      <c r="D302" s="37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25"/>
    </row>
    <row r="303" spans="1:16">
      <c r="A303" s="23">
        <v>93254</v>
      </c>
      <c r="B303" s="37"/>
      <c r="C303" s="37"/>
      <c r="D303" s="37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25"/>
    </row>
    <row r="304" spans="1:16">
      <c r="A304" s="23">
        <v>93256</v>
      </c>
      <c r="B304" s="37"/>
      <c r="C304" s="37"/>
      <c r="D304" s="37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25"/>
    </row>
    <row r="305" spans="1:16">
      <c r="A305" s="23">
        <v>93258</v>
      </c>
      <c r="B305" s="37"/>
      <c r="C305" s="37"/>
      <c r="D305" s="37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25"/>
    </row>
    <row r="306" spans="1:16">
      <c r="A306" s="23">
        <v>93260</v>
      </c>
      <c r="B306" s="37"/>
      <c r="C306" s="37"/>
      <c r="D306" s="37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25"/>
    </row>
    <row r="307" spans="1:16">
      <c r="A307" s="23">
        <v>93262</v>
      </c>
      <c r="B307" s="37"/>
      <c r="C307" s="37"/>
      <c r="D307" s="37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25"/>
    </row>
    <row r="308" spans="1:16">
      <c r="A308" s="23">
        <v>93264</v>
      </c>
      <c r="B308" s="37"/>
      <c r="C308" s="37"/>
      <c r="D308" s="37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25"/>
    </row>
    <row r="309" spans="1:16">
      <c r="A309" s="23">
        <v>93266</v>
      </c>
      <c r="B309" s="37"/>
      <c r="C309" s="37"/>
      <c r="D309" s="37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25"/>
    </row>
    <row r="310" spans="1:16">
      <c r="A310" s="23">
        <v>93402</v>
      </c>
      <c r="B310" s="37"/>
      <c r="C310" s="37"/>
      <c r="D310" s="37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25"/>
    </row>
    <row r="311" spans="1:16">
      <c r="A311" s="23">
        <v>93404</v>
      </c>
      <c r="B311" s="37"/>
      <c r="C311" s="37"/>
      <c r="D311" s="37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25"/>
    </row>
    <row r="312" spans="1:16">
      <c r="A312" s="23">
        <v>93406</v>
      </c>
      <c r="B312" s="37"/>
      <c r="C312" s="37"/>
      <c r="D312" s="37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25"/>
    </row>
    <row r="313" spans="1:16">
      <c r="A313" s="23">
        <v>93408</v>
      </c>
      <c r="B313" s="37"/>
      <c r="C313" s="37"/>
      <c r="D313" s="37"/>
      <c r="E313" s="14"/>
      <c r="F313" s="14"/>
      <c r="G313" s="14"/>
      <c r="H313" s="14"/>
      <c r="I313" s="14"/>
      <c r="J313" s="14"/>
      <c r="K313" s="14"/>
      <c r="L313" s="14"/>
      <c r="M313" s="19"/>
      <c r="N313" s="20"/>
      <c r="O313" s="14"/>
      <c r="P313" s="27"/>
    </row>
    <row r="314" spans="1:16">
      <c r="A314" s="23">
        <v>93410</v>
      </c>
      <c r="B314" s="37"/>
      <c r="C314" s="37"/>
      <c r="D314" s="37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25"/>
    </row>
    <row r="315" spans="1:16">
      <c r="A315" s="23">
        <v>93412</v>
      </c>
      <c r="B315" s="37"/>
      <c r="C315" s="37"/>
      <c r="D315" s="37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25"/>
    </row>
    <row r="316" spans="1:16">
      <c r="A316" s="23">
        <v>93414</v>
      </c>
      <c r="B316" s="37"/>
      <c r="C316" s="37"/>
      <c r="D316" s="37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25"/>
    </row>
    <row r="317" spans="1:16">
      <c r="A317" s="23">
        <v>93416</v>
      </c>
      <c r="B317" s="37"/>
      <c r="C317" s="37"/>
      <c r="D317" s="37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25"/>
    </row>
    <row r="318" spans="1:16">
      <c r="A318" s="23">
        <v>93418</v>
      </c>
      <c r="B318" s="37"/>
      <c r="C318" s="37"/>
      <c r="D318" s="37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25"/>
    </row>
    <row r="319" spans="1:16">
      <c r="A319" s="23">
        <v>93420</v>
      </c>
      <c r="B319" s="37"/>
      <c r="C319" s="37"/>
      <c r="D319" s="37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25"/>
    </row>
    <row r="320" spans="1:16">
      <c r="A320" s="23">
        <v>93422</v>
      </c>
      <c r="B320" s="37"/>
      <c r="C320" s="37"/>
      <c r="D320" s="37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25"/>
    </row>
    <row r="321" spans="1:16">
      <c r="A321" s="23">
        <v>93424</v>
      </c>
      <c r="B321" s="37"/>
      <c r="C321" s="37"/>
      <c r="D321" s="37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25"/>
    </row>
    <row r="322" spans="1:16">
      <c r="A322" s="23">
        <v>93426</v>
      </c>
      <c r="B322" s="37"/>
      <c r="C322" s="37"/>
      <c r="D322" s="37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25"/>
    </row>
    <row r="323" spans="1:16">
      <c r="A323" s="23">
        <v>93428</v>
      </c>
      <c r="B323" s="37"/>
      <c r="C323" s="37"/>
      <c r="D323" s="37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25"/>
    </row>
    <row r="324" spans="1:16">
      <c r="A324" s="23">
        <v>93430</v>
      </c>
      <c r="B324" s="37"/>
      <c r="C324" s="37"/>
      <c r="D324" s="37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25"/>
    </row>
    <row r="325" spans="1:16">
      <c r="A325" s="23">
        <v>93432</v>
      </c>
      <c r="B325" s="37"/>
      <c r="C325" s="37"/>
      <c r="D325" s="37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25"/>
    </row>
    <row r="326" spans="1:16">
      <c r="A326" s="23">
        <v>93434</v>
      </c>
      <c r="B326" s="37"/>
      <c r="C326" s="37"/>
      <c r="D326" s="37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25"/>
    </row>
    <row r="327" spans="1:16">
      <c r="A327" s="23">
        <v>93436</v>
      </c>
      <c r="B327" s="37"/>
      <c r="C327" s="37"/>
      <c r="D327" s="37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25"/>
    </row>
    <row r="328" spans="1:16">
      <c r="A328" s="23">
        <v>93438</v>
      </c>
      <c r="B328" s="37"/>
      <c r="C328" s="37"/>
      <c r="D328" s="37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25"/>
    </row>
    <row r="329" spans="1:16">
      <c r="A329" s="23">
        <v>93440</v>
      </c>
      <c r="B329" s="37"/>
      <c r="C329" s="37"/>
      <c r="D329" s="37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25"/>
    </row>
    <row r="330" spans="1:16">
      <c r="A330" s="23">
        <v>93442</v>
      </c>
      <c r="B330" s="37"/>
      <c r="C330" s="37"/>
      <c r="D330" s="37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25"/>
    </row>
    <row r="331" spans="1:16">
      <c r="A331" s="23">
        <v>93444</v>
      </c>
      <c r="B331" s="37"/>
      <c r="C331" s="37"/>
      <c r="D331" s="37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25"/>
    </row>
    <row r="332" spans="1:16">
      <c r="A332" s="23">
        <v>93446</v>
      </c>
      <c r="B332" s="37"/>
      <c r="C332" s="37"/>
      <c r="D332" s="37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25"/>
    </row>
    <row r="333" spans="1:16">
      <c r="A333" s="23">
        <v>93448</v>
      </c>
      <c r="B333" s="37"/>
      <c r="C333" s="37"/>
      <c r="D333" s="37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25"/>
    </row>
    <row r="334" spans="1:16">
      <c r="A334" s="23">
        <v>93450</v>
      </c>
      <c r="B334" s="37"/>
      <c r="C334" s="37"/>
      <c r="D334" s="37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25"/>
    </row>
    <row r="335" spans="1:16">
      <c r="A335" s="23">
        <v>93452</v>
      </c>
      <c r="B335" s="37"/>
      <c r="C335" s="37"/>
      <c r="D335" s="37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25"/>
    </row>
    <row r="336" spans="1:16">
      <c r="A336" s="23">
        <v>93454</v>
      </c>
      <c r="B336" s="37"/>
      <c r="C336" s="37"/>
      <c r="D336" s="37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25"/>
    </row>
    <row r="337" spans="1:16">
      <c r="A337" s="23">
        <v>93456</v>
      </c>
      <c r="B337" s="37"/>
      <c r="C337" s="37"/>
      <c r="D337" s="37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25"/>
    </row>
    <row r="338" spans="1:16">
      <c r="A338" s="23">
        <v>93458</v>
      </c>
      <c r="B338" s="37"/>
      <c r="C338" s="37"/>
      <c r="D338" s="38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25"/>
    </row>
    <row r="339" spans="1:16">
      <c r="A339" s="23">
        <v>93460</v>
      </c>
      <c r="B339" s="37"/>
      <c r="C339" s="37"/>
      <c r="D339" s="38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25"/>
    </row>
    <row r="340" spans="1:16">
      <c r="A340" s="23">
        <v>93462</v>
      </c>
      <c r="B340" s="37"/>
      <c r="C340" s="37"/>
      <c r="D340" s="38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25"/>
    </row>
    <row r="341" spans="1:16">
      <c r="A341" s="29">
        <v>93464</v>
      </c>
      <c r="B341" s="41"/>
      <c r="C341" s="41"/>
      <c r="D341" s="42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1"/>
    </row>
  </sheetData>
  <mergeCells count="1">
    <mergeCell ref="R2:U2"/>
  </mergeCells>
  <conditionalFormatting sqref="A2:A71">
    <cfRule type="expression" dxfId="31" priority="10" stopIfTrue="1">
      <formula>#REF!=1</formula>
    </cfRule>
    <cfRule type="expression" dxfId="30" priority="11" stopIfTrue="1">
      <formula>#REF!=2</formula>
    </cfRule>
  </conditionalFormatting>
  <conditionalFormatting sqref="A2:A169">
    <cfRule type="expression" dxfId="29" priority="7" stopIfTrue="1">
      <formula>#REF!="w"</formula>
    </cfRule>
  </conditionalFormatting>
  <conditionalFormatting sqref="A72:A169">
    <cfRule type="expression" dxfId="28" priority="8" stopIfTrue="1">
      <formula>#REF!=1</formula>
    </cfRule>
    <cfRule type="expression" dxfId="27" priority="9" stopIfTrue="1">
      <formula>#REF!=2</formula>
    </cfRule>
  </conditionalFormatting>
  <conditionalFormatting sqref="A171:A225">
    <cfRule type="expression" dxfId="26" priority="4" stopIfTrue="1">
      <formula>#REF!="w"</formula>
    </cfRule>
    <cfRule type="expression" dxfId="25" priority="5" stopIfTrue="1">
      <formula>#REF!=1</formula>
    </cfRule>
    <cfRule type="expression" dxfId="24" priority="6" stopIfTrue="1">
      <formula>#REF!=2</formula>
    </cfRule>
  </conditionalFormatting>
  <conditionalFormatting sqref="A227:A341">
    <cfRule type="expression" dxfId="23" priority="1" stopIfTrue="1">
      <formula>#REF!="w"</formula>
    </cfRule>
    <cfRule type="expression" dxfId="22" priority="2" stopIfTrue="1">
      <formula>#REF!=1</formula>
    </cfRule>
    <cfRule type="expression" dxfId="21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8" ma:contentTypeDescription="Create a new document." ma:contentTypeScope="" ma:versionID="2a92fbd2fb8dfbf2a3b915535f5481f7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534a3b89d661a272a065e9c054777e28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7FA35F-3C89-4A59-AA7F-04F9B99F757E}"/>
</file>

<file path=customXml/itemProps2.xml><?xml version="1.0" encoding="utf-8"?>
<ds:datastoreItem xmlns:ds="http://schemas.openxmlformats.org/officeDocument/2006/customXml" ds:itemID="{321238A5-3DA6-49C0-9DE6-F132ED09034B}"/>
</file>

<file path=customXml/itemProps3.xml><?xml version="1.0" encoding="utf-8"?>
<ds:datastoreItem xmlns:ds="http://schemas.openxmlformats.org/officeDocument/2006/customXml" ds:itemID="{923BE818-4EF0-49B9-96F7-9CDF32585EED}"/>
</file>

<file path=docMetadata/LabelInfo.xml><?xml version="1.0" encoding="utf-8"?>
<clbl:labelList xmlns:clbl="http://schemas.microsoft.com/office/2020/mipLabelMetadata">
  <clbl:label id="{8e4a72ef-928b-45b6-a137-7ed7bb318678}" enabled="0" method="" siteId="{8e4a72ef-928b-45b6-a137-7ed7bb3186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Godfred Bonse</dc:creator>
  <cp:keywords/>
  <dc:description/>
  <cp:lastModifiedBy>Horea Lazar</cp:lastModifiedBy>
  <cp:revision/>
  <dcterms:created xsi:type="dcterms:W3CDTF">2021-03-15T19:53:30Z</dcterms:created>
  <dcterms:modified xsi:type="dcterms:W3CDTF">2025-07-22T08:50:37Z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