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-my.sharepoint.com/personal/godfred_bonse_abm_com/Documents/Documents/"/>
    </mc:Choice>
  </mc:AlternateContent>
  <xr:revisionPtr revIDLastSave="0" documentId="8_{82AA2AE5-E6B1-4CD5-B94C-35C0381B7641}" xr6:coauthVersionLast="47" xr6:coauthVersionMax="47" xr10:uidLastSave="{00000000-0000-0000-0000-000000000000}"/>
  <bookViews>
    <workbookView xWindow="-110" yWindow="-110" windowWidth="19420" windowHeight="10300" activeTab="1" xr2:uid="{EF5C035C-41B0-4463-AED5-105A1C53EA14}"/>
  </bookViews>
  <sheets>
    <sheet name="Bakeloo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s 6" sheetId="7" r:id="rId7"/>
    <sheet name="Repeat Attacks 7" sheetId="8" r:id="rId8"/>
  </sheets>
  <definedNames>
    <definedName name="_xlnm._FilterDatabase" localSheetId="0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8" l="1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7" l="1"/>
  <c r="U4" i="3"/>
  <c r="U4" i="1"/>
</calcChain>
</file>

<file path=xl/sharedStrings.xml><?xml version="1.0" encoding="utf-8"?>
<sst xmlns="http://schemas.openxmlformats.org/spreadsheetml/2006/main" count="724" uniqueCount="41">
  <si>
    <t>Unit No.</t>
  </si>
  <si>
    <t>DATE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</si>
  <si>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</si>
  <si>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</si>
  <si>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</si>
  <si>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</si>
  <si>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</si>
  <si>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</si>
  <si>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</si>
  <si>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</si>
  <si>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</si>
  <si>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</si>
  <si>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</si>
  <si>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</si>
  <si>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</si>
  <si>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</si>
  <si>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</si>
  <si>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</si>
  <si>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Compled</t>
  </si>
  <si>
    <t>% Completed</t>
  </si>
  <si>
    <t>27.04.2025</t>
  </si>
  <si>
    <t>04/06/2025</t>
  </si>
  <si>
    <t>Key</t>
  </si>
  <si>
    <t>Stopped Units</t>
  </si>
  <si>
    <t>15.06.2025</t>
  </si>
  <si>
    <t xml:space="preserve"> </t>
  </si>
  <si>
    <t>0/6/07/2025</t>
  </si>
  <si>
    <t>Units Completed</t>
  </si>
  <si>
    <t>13/04/2025</t>
  </si>
  <si>
    <t>Y</t>
  </si>
  <si>
    <t>18/07/225</t>
  </si>
  <si>
    <t>20/07/205</t>
  </si>
  <si>
    <t>Status</t>
  </si>
  <si>
    <t>Number of tags removed2</t>
  </si>
  <si>
    <t>Stopped</t>
  </si>
  <si>
    <t>29/07/205</t>
  </si>
  <si>
    <t>y</t>
  </si>
  <si>
    <t>Cristina</t>
  </si>
  <si>
    <t>Samuel</t>
  </si>
  <si>
    <t>21.08.2025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</si>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</sst>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4"/>
      </right>
      <top style="thin">
        <color indexed="5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3" fillId="0" borderId="13" xfId="0" applyFont="1" applyBorder="1" applyAlignment="1">
      <alignment horizontal="left" vertical="top" wrapText="1" indent="1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left" vertical="center"/>
      <protection locked="0"/>
    </xf>
    <xf numFmtId="0" fontId="3" fillId="10" borderId="10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4" fillId="7" borderId="17" xfId="0" applyFont="1" applyFill="1" applyBorder="1" applyAlignment="1" applyProtection="1">
      <alignment horizontal="center" vertical="center"/>
      <protection hidden="1"/>
    </xf>
    <xf numFmtId="0" fontId="1" fillId="3" borderId="18" xfId="0" applyFont="1" applyFill="1" applyBorder="1" applyAlignment="1">
      <alignment horizontal="center"/>
    </xf>
    <xf numFmtId="164" fontId="6" fillId="0" borderId="20" xfId="0" applyNumberFormat="1" applyFont="1" applyBorder="1" applyAlignment="1" applyProtection="1">
      <alignment horizontal="left" vertical="center"/>
      <protection locked="0"/>
    </xf>
    <xf numFmtId="0" fontId="5" fillId="0" borderId="20" xfId="0" applyFont="1" applyBorder="1" applyAlignment="1" applyProtection="1">
      <alignment horizontal="left" vertical="center"/>
      <protection locked="0"/>
    </xf>
    <xf numFmtId="0" fontId="1" fillId="3" borderId="21" xfId="0" applyFont="1" applyFill="1" applyBorder="1" applyAlignment="1">
      <alignment horizontal="center"/>
    </xf>
    <xf numFmtId="0" fontId="0" fillId="0" borderId="21" xfId="0" applyBorder="1" applyAlignment="1">
      <alignment horizontal="left" vertical="top" wrapText="1" indent="1"/>
    </xf>
    <xf numFmtId="0" fontId="0" fillId="8" borderId="20" xfId="0" applyFill="1" applyBorder="1" applyAlignment="1">
      <alignment horizontal="left" vertical="top" wrapText="1" indent="1"/>
    </xf>
    <xf numFmtId="0" fontId="0" fillId="9" borderId="20" xfId="0" applyFill="1" applyBorder="1" applyAlignment="1">
      <alignment horizontal="left" vertical="top" wrapText="1" indent="1"/>
    </xf>
    <xf numFmtId="0" fontId="0" fillId="6" borderId="18" xfId="0" applyFill="1" applyBorder="1" applyAlignment="1">
      <alignment horizontal="left" vertical="top" wrapText="1" indent="1"/>
    </xf>
    <xf numFmtId="0" fontId="0" fillId="0" borderId="22" xfId="0" applyBorder="1" applyAlignment="1">
      <alignment horizontal="left" vertical="top" wrapText="1" indent="1"/>
    </xf>
    <xf numFmtId="0" fontId="0" fillId="0" borderId="23" xfId="0" applyBorder="1" applyAlignment="1">
      <alignment horizontal="center" vertical="top" wrapText="1"/>
    </xf>
    <xf numFmtId="9" fontId="0" fillId="0" borderId="24" xfId="1" applyFont="1" applyBorder="1" applyAlignment="1">
      <alignment horizontal="center" vertical="top" wrapText="1"/>
    </xf>
    <xf numFmtId="0" fontId="3" fillId="0" borderId="20" xfId="0" applyFont="1" applyBorder="1" applyAlignment="1">
      <alignment horizontal="left" vertical="top" wrapText="1" indent="1"/>
    </xf>
    <xf numFmtId="0" fontId="1" fillId="3" borderId="22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6" fillId="0" borderId="20" xfId="0" applyFont="1" applyBorder="1" applyAlignment="1" applyProtection="1">
      <alignment horizontal="left" vertical="center"/>
      <protection locked="0"/>
    </xf>
    <xf numFmtId="14" fontId="6" fillId="0" borderId="20" xfId="0" applyNumberFormat="1" applyFont="1" applyBorder="1" applyAlignment="1" applyProtection="1">
      <alignment horizontal="left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left" vertical="top" wrapText="1" indent="1"/>
    </xf>
    <xf numFmtId="0" fontId="0" fillId="0" borderId="24" xfId="1" applyNumberFormat="1" applyFont="1" applyBorder="1" applyAlignment="1">
      <alignment horizontal="center" vertical="top" wrapText="1"/>
    </xf>
    <xf numFmtId="0" fontId="6" fillId="0" borderId="20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>
      <alignment horizontal="center" vertical="top" wrapText="1" indent="1"/>
    </xf>
    <xf numFmtId="0" fontId="5" fillId="3" borderId="20" xfId="0" applyFont="1" applyFill="1" applyBorder="1" applyAlignment="1" applyProtection="1">
      <alignment horizontal="center" vertical="center"/>
      <protection locked="0"/>
    </xf>
    <xf numFmtId="0" fontId="4" fillId="11" borderId="20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 vertical="top" wrapText="1" indent="1"/>
    </xf>
    <xf numFmtId="0" fontId="6" fillId="0" borderId="20" xfId="0" applyFont="1" applyBorder="1" applyAlignment="1" applyProtection="1">
      <alignment vertical="center"/>
      <protection locked="0"/>
    </xf>
    <xf numFmtId="14" fontId="6" fillId="0" borderId="20" xfId="0" applyNumberFormat="1" applyFont="1" applyBorder="1" applyAlignment="1" applyProtection="1">
      <alignment vertical="center"/>
      <protection locked="0"/>
    </xf>
    <xf numFmtId="1" fontId="6" fillId="0" borderId="20" xfId="0" applyNumberFormat="1" applyFont="1" applyBorder="1" applyAlignment="1" applyProtection="1">
      <alignment vertical="center"/>
      <protection locked="0"/>
    </xf>
    <xf numFmtId="0" fontId="0" fillId="0" borderId="20" xfId="0" applyBorder="1" applyAlignment="1">
      <alignment vertical="top" wrapText="1"/>
    </xf>
    <xf numFmtId="164" fontId="0" fillId="0" borderId="20" xfId="0" applyNumberForma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7" fillId="3" borderId="20" xfId="0" applyFont="1" applyFill="1" applyBorder="1" applyAlignment="1">
      <alignment horizontal="left"/>
    </xf>
    <xf numFmtId="14" fontId="0" fillId="0" borderId="20" xfId="0" applyNumberFormat="1" applyBorder="1" applyAlignment="1">
      <alignment horizontal="left" vertical="top" wrapText="1"/>
    </xf>
    <xf numFmtId="14" fontId="6" fillId="0" borderId="20" xfId="0" applyNumberFormat="1" applyFont="1" applyBorder="1" applyAlignment="1" applyProtection="1">
      <alignment horizontal="center" vertical="center"/>
      <protection locked="0"/>
    </xf>
    <xf numFmtId="14" fontId="4" fillId="7" borderId="17" xfId="0" applyNumberFormat="1" applyFont="1" applyFill="1" applyBorder="1" applyAlignment="1" applyProtection="1">
      <alignment horizontal="center" vertical="center"/>
      <protection hidden="1"/>
    </xf>
    <xf numFmtId="0" fontId="7" fillId="14" borderId="20" xfId="0" applyFont="1" applyFill="1" applyBorder="1" applyAlignment="1">
      <alignment horizontal="left"/>
    </xf>
    <xf numFmtId="0" fontId="0" fillId="14" borderId="20" xfId="0" applyFill="1" applyBorder="1" applyAlignment="1">
      <alignment horizontal="left" vertical="top" wrapText="1" indent="1"/>
    </xf>
    <xf numFmtId="0" fontId="0" fillId="15" borderId="19" xfId="0" applyFill="1" applyBorder="1" applyAlignment="1">
      <alignment horizontal="left" vertical="top" wrapText="1" indent="1"/>
    </xf>
    <xf numFmtId="0" fontId="0" fillId="0" borderId="25" xfId="0" applyBorder="1" applyAlignment="1">
      <alignment horizontal="left" vertical="top" wrapText="1" indent="1"/>
    </xf>
    <xf numFmtId="14" fontId="0" fillId="0" borderId="20" xfId="0" applyNumberFormat="1" applyBorder="1" applyAlignment="1">
      <alignment vertical="top" wrapText="1"/>
    </xf>
    <xf numFmtId="49" fontId="4" fillId="7" borderId="20" xfId="0" applyNumberFormat="1" applyFont="1" applyFill="1" applyBorder="1" applyAlignment="1" applyProtection="1">
      <alignment horizontal="left" vertical="center"/>
      <protection hidden="1"/>
    </xf>
    <xf numFmtId="14" fontId="4" fillId="7" borderId="20" xfId="0" applyNumberFormat="1" applyFont="1" applyFill="1" applyBorder="1" applyAlignment="1" applyProtection="1">
      <alignment horizontal="left" vertical="center"/>
      <protection hidden="1"/>
    </xf>
    <xf numFmtId="0" fontId="0" fillId="10" borderId="10" xfId="0" applyFill="1" applyBorder="1" applyAlignment="1" applyProtection="1">
      <alignment horizontal="center"/>
      <protection locked="0"/>
    </xf>
    <xf numFmtId="0" fontId="7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14" fontId="0" fillId="0" borderId="20" xfId="0" applyNumberFormat="1" applyBorder="1" applyAlignment="1">
      <alignment horizontal="center" vertical="top" wrapText="1"/>
    </xf>
    <xf numFmtId="0" fontId="7" fillId="14" borderId="20" xfId="0" applyFont="1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left" vertical="center"/>
      <protection locked="0"/>
    </xf>
    <xf numFmtId="0" fontId="4" fillId="7" borderId="17" xfId="0" applyFont="1" applyFill="1" applyBorder="1" applyAlignment="1" applyProtection="1">
      <alignment horizontal="left" vertical="center"/>
      <protection hidden="1"/>
    </xf>
    <xf numFmtId="14" fontId="4" fillId="7" borderId="17" xfId="0" applyNumberFormat="1" applyFont="1" applyFill="1" applyBorder="1" applyAlignment="1" applyProtection="1">
      <alignment horizontal="left" vertical="center"/>
      <protection hidden="1"/>
    </xf>
    <xf numFmtId="0" fontId="6" fillId="0" borderId="25" xfId="0" applyFont="1" applyBorder="1" applyAlignment="1" applyProtection="1">
      <alignment horizontal="left" vertical="center"/>
      <protection locked="0"/>
    </xf>
    <xf numFmtId="14" fontId="6" fillId="0" borderId="25" xfId="0" applyNumberFormat="1" applyFont="1" applyBorder="1" applyAlignment="1" applyProtection="1">
      <alignment horizontal="left" vertical="center"/>
      <protection locked="0"/>
    </xf>
    <xf numFmtId="0" fontId="4" fillId="7" borderId="26" xfId="0" applyFont="1" applyFill="1" applyBorder="1" applyAlignment="1" applyProtection="1">
      <alignment horizontal="left" vertical="center"/>
      <protection hidden="1"/>
    </xf>
    <xf numFmtId="14" fontId="4" fillId="7" borderId="26" xfId="0" applyNumberFormat="1" applyFont="1" applyFill="1" applyBorder="1" applyAlignment="1" applyProtection="1">
      <alignment horizontal="left" vertical="center"/>
      <protection hidden="1"/>
    </xf>
    <xf numFmtId="0" fontId="0" fillId="0" borderId="25" xfId="0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11" xfId="0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top" wrapText="1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4" fillId="11" borderId="20" xfId="0" applyFont="1" applyFill="1" applyBorder="1" applyAlignment="1" applyProtection="1">
      <alignment horizontal="left" vertical="center"/>
      <protection hidden="1"/>
    </xf>
    <xf numFmtId="0" fontId="5" fillId="0" borderId="19" xfId="0" applyFont="1" applyBorder="1" applyAlignment="1" applyProtection="1">
      <alignment horizontal="left" vertical="center"/>
      <protection locked="0"/>
    </xf>
    <xf numFmtId="0" fontId="3" fillId="0" borderId="13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6" fillId="0" borderId="15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/>
    </xf>
    <xf numFmtId="14" fontId="0" fillId="16" borderId="25" xfId="0" applyNumberFormat="1" applyFill="1" applyBorder="1" applyAlignment="1">
      <alignment horizontal="left" vertical="top" wrapText="1"/>
    </xf>
    <xf numFmtId="14" fontId="4" fillId="17" borderId="17" xfId="0" applyNumberFormat="1" applyFont="1" applyFill="1" applyBorder="1" applyAlignment="1" applyProtection="1">
      <alignment horizontal="center" vertical="center"/>
      <protection hidden="1"/>
    </xf>
    <xf numFmtId="14" fontId="6" fillId="16" borderId="20" xfId="0" applyNumberFormat="1" applyFont="1" applyFill="1" applyBorder="1" applyAlignment="1" applyProtection="1">
      <alignment horizontal="center" vertical="center"/>
      <protection locked="0"/>
    </xf>
    <xf numFmtId="14" fontId="6" fillId="16" borderId="20" xfId="0" applyNumberFormat="1" applyFont="1" applyFill="1" applyBorder="1" applyAlignment="1" applyProtection="1">
      <alignment horizontal="left" vertical="center"/>
      <protection locked="0"/>
    </xf>
    <xf numFmtId="14" fontId="6" fillId="16" borderId="25" xfId="0" applyNumberFormat="1" applyFont="1" applyFill="1" applyBorder="1" applyAlignment="1" applyProtection="1">
      <alignment horizontal="left" vertical="center"/>
      <protection locked="0"/>
    </xf>
    <xf numFmtId="14" fontId="6" fillId="16" borderId="20" xfId="0" applyNumberFormat="1" applyFont="1" applyFill="1" applyBorder="1" applyAlignment="1" applyProtection="1">
      <alignment vertical="center"/>
      <protection locked="0"/>
    </xf>
    <xf numFmtId="14" fontId="0" fillId="16" borderId="20" xfId="0" applyNumberFormat="1" applyFill="1" applyBorder="1" applyAlignment="1">
      <alignment horizontal="left" vertical="top" wrapText="1"/>
    </xf>
    <xf numFmtId="0" fontId="7" fillId="18" borderId="20" xfId="0" applyFont="1" applyFill="1" applyBorder="1" applyAlignment="1">
      <alignment horizontal="left"/>
    </xf>
    <xf numFmtId="14" fontId="6" fillId="0" borderId="11" xfId="0" applyNumberFormat="1" applyFont="1" applyBorder="1" applyAlignment="1" applyProtection="1">
      <alignment horizontal="left" vertical="center"/>
      <protection locked="0"/>
    </xf>
    <xf numFmtId="0" fontId="0" fillId="0" borderId="19" xfId="0" applyBorder="1" applyAlignment="1">
      <alignment horizontal="left" vertical="top" wrapText="1"/>
    </xf>
    <xf numFmtId="14" fontId="0" fillId="0" borderId="19" xfId="0" applyNumberFormat="1" applyBorder="1" applyAlignment="1">
      <alignment horizontal="left" vertical="top" wrapText="1"/>
    </xf>
    <xf numFmtId="0" fontId="4" fillId="7" borderId="0" xfId="0" applyFont="1" applyFill="1" applyAlignment="1" applyProtection="1">
      <alignment horizontal="left" vertical="center"/>
      <protection hidden="1"/>
    </xf>
    <xf numFmtId="14" fontId="4" fillId="7" borderId="0" xfId="0" applyNumberFormat="1" applyFont="1" applyFill="1" applyAlignment="1" applyProtection="1">
      <alignment horizontal="left" vertical="center"/>
      <protection hidden="1"/>
    </xf>
    <xf numFmtId="0" fontId="6" fillId="0" borderId="32" xfId="0" applyFont="1" applyBorder="1" applyAlignment="1" applyProtection="1">
      <alignment horizontal="left" vertical="center"/>
      <protection locked="0"/>
    </xf>
    <xf numFmtId="14" fontId="6" fillId="16" borderId="33" xfId="0" applyNumberFormat="1" applyFont="1" applyFill="1" applyBorder="1" applyAlignment="1" applyProtection="1">
      <alignment horizontal="left" vertical="center"/>
      <protection locked="0"/>
    </xf>
    <xf numFmtId="0" fontId="0" fillId="0" borderId="19" xfId="0" applyBorder="1" applyAlignment="1">
      <alignment horizontal="left" vertical="top" wrapText="1" indent="1"/>
    </xf>
    <xf numFmtId="0" fontId="0" fillId="0" borderId="19" xfId="0" applyBorder="1" applyAlignment="1">
      <alignment horizontal="center" vertical="top" wrapText="1" indent="1"/>
    </xf>
    <xf numFmtId="0" fontId="4" fillId="7" borderId="0" xfId="0" applyFont="1" applyFill="1" applyAlignment="1" applyProtection="1">
      <alignment horizontal="center" vertical="center"/>
      <protection hidden="1"/>
    </xf>
    <xf numFmtId="14" fontId="4" fillId="17" borderId="0" xfId="0" applyNumberFormat="1" applyFont="1" applyFill="1" applyAlignment="1" applyProtection="1">
      <alignment horizontal="center" vertical="center"/>
      <protection hidden="1"/>
    </xf>
    <xf numFmtId="0" fontId="1" fillId="3" borderId="34" xfId="0" applyFont="1" applyFill="1" applyBorder="1" applyAlignment="1">
      <alignment horizontal="center"/>
    </xf>
    <xf numFmtId="0" fontId="0" fillId="0" borderId="30" xfId="0" applyBorder="1" applyAlignment="1">
      <alignment horizontal="left" vertical="top" wrapText="1" indent="1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9" fillId="4" borderId="5" xfId="0" applyFont="1" applyFill="1" applyBorder="1" applyAlignment="1" applyProtection="1">
      <alignment horizontal="center" vertical="center" wrapText="1"/>
      <protection hidden="1"/>
    </xf>
    <xf numFmtId="0" fontId="9" fillId="5" borderId="5" xfId="0" applyFont="1" applyFill="1" applyBorder="1" applyAlignment="1" applyProtection="1">
      <alignment horizontal="center" vertical="center" wrapText="1"/>
      <protection hidden="1"/>
    </xf>
    <xf numFmtId="0" fontId="9" fillId="12" borderId="12" xfId="0" applyFont="1" applyFill="1" applyBorder="1" applyAlignment="1" applyProtection="1">
      <alignment horizontal="center" vertical="center" wrapText="1"/>
      <protection hidden="1"/>
    </xf>
    <xf numFmtId="0" fontId="9" fillId="13" borderId="12" xfId="0" applyFont="1" applyFill="1" applyBorder="1" applyAlignment="1" applyProtection="1">
      <alignment horizontal="center" vertical="center" wrapText="1"/>
      <protection hidden="1"/>
    </xf>
    <xf numFmtId="0" fontId="9" fillId="5" borderId="12" xfId="0" applyFont="1" applyFill="1" applyBorder="1" applyAlignment="1" applyProtection="1">
      <alignment horizontal="center" vertical="center" wrapText="1"/>
      <protection hidden="1"/>
    </xf>
    <xf numFmtId="0" fontId="9" fillId="5" borderId="20" xfId="0" applyFont="1" applyFill="1" applyBorder="1" applyAlignment="1" applyProtection="1">
      <alignment horizontal="center" vertical="center" wrapText="1"/>
      <protection hidden="1"/>
    </xf>
    <xf numFmtId="0" fontId="9" fillId="5" borderId="16" xfId="0" applyFont="1" applyFill="1" applyBorder="1" applyAlignment="1" applyProtection="1">
      <alignment horizontal="center" vertical="center" wrapText="1"/>
      <protection hidden="1"/>
    </xf>
    <xf numFmtId="0" fontId="9" fillId="3" borderId="20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7" fillId="3" borderId="36" xfId="0" applyFont="1" applyFill="1" applyBorder="1" applyAlignment="1">
      <alignment horizontal="left"/>
    </xf>
    <xf numFmtId="0" fontId="5" fillId="0" borderId="36" xfId="0" applyFont="1" applyBorder="1" applyAlignment="1" applyProtection="1">
      <alignment horizontal="left" vertical="center"/>
      <protection locked="0"/>
    </xf>
    <xf numFmtId="0" fontId="5" fillId="0" borderId="35" xfId="0" applyFont="1" applyBorder="1" applyAlignment="1" applyProtection="1">
      <alignment horizontal="left" vertical="center"/>
      <protection locked="0"/>
    </xf>
    <xf numFmtId="0" fontId="6" fillId="0" borderId="36" xfId="0" applyFont="1" applyBorder="1" applyAlignment="1" applyProtection="1">
      <alignment horizontal="left" vertical="center"/>
      <protection locked="0"/>
    </xf>
    <xf numFmtId="0" fontId="9" fillId="4" borderId="5" xfId="0" applyFont="1" applyFill="1" applyBorder="1" applyAlignment="1" applyProtection="1">
      <alignment horizontal="left" vertical="center" wrapText="1"/>
      <protection hidden="1"/>
    </xf>
    <xf numFmtId="0" fontId="0" fillId="0" borderId="32" xfId="0" applyBorder="1" applyAlignment="1">
      <alignment horizontal="left" vertical="top" wrapText="1"/>
    </xf>
    <xf numFmtId="0" fontId="7" fillId="3" borderId="36" xfId="0" applyFont="1" applyFill="1" applyBorder="1" applyAlignment="1">
      <alignment horizontal="center"/>
    </xf>
    <xf numFmtId="14" fontId="0" fillId="0" borderId="36" xfId="0" applyNumberFormat="1" applyBorder="1" applyAlignment="1">
      <alignment horizontal="left" vertical="top" wrapText="1"/>
    </xf>
    <xf numFmtId="0" fontId="6" fillId="0" borderId="35" xfId="0" applyFont="1" applyBorder="1" applyAlignment="1" applyProtection="1">
      <alignment horizontal="center" vertical="center"/>
      <protection locked="0"/>
    </xf>
    <xf numFmtId="14" fontId="6" fillId="0" borderId="36" xfId="0" applyNumberFormat="1" applyFont="1" applyBorder="1" applyAlignment="1" applyProtection="1">
      <alignment horizontal="center" vertical="center"/>
      <protection locked="0"/>
    </xf>
    <xf numFmtId="14" fontId="6" fillId="0" borderId="36" xfId="0" applyNumberFormat="1" applyFont="1" applyBorder="1" applyAlignment="1" applyProtection="1">
      <alignment horizontal="left" vertical="center"/>
      <protection locked="0"/>
    </xf>
    <xf numFmtId="0" fontId="6" fillId="0" borderId="35" xfId="0" applyFont="1" applyBorder="1" applyAlignment="1" applyProtection="1">
      <alignment horizontal="left" vertical="center"/>
      <protection locked="0"/>
    </xf>
    <xf numFmtId="0" fontId="9" fillId="4" borderId="1" xfId="0" applyFont="1" applyFill="1" applyBorder="1" applyAlignment="1" applyProtection="1">
      <alignment horizontal="left" vertical="center" wrapText="1"/>
      <protection hidden="1"/>
    </xf>
    <xf numFmtId="0" fontId="9" fillId="5" borderId="1" xfId="0" applyFont="1" applyFill="1" applyBorder="1" applyAlignment="1" applyProtection="1">
      <alignment horizontal="center" vertical="center" wrapText="1"/>
      <protection hidden="1"/>
    </xf>
    <xf numFmtId="0" fontId="9" fillId="12" borderId="28" xfId="0" applyFont="1" applyFill="1" applyBorder="1" applyAlignment="1" applyProtection="1">
      <alignment horizontal="center" vertical="center" wrapText="1"/>
      <protection hidden="1"/>
    </xf>
    <xf numFmtId="0" fontId="9" fillId="13" borderId="28" xfId="0" applyFont="1" applyFill="1" applyBorder="1" applyAlignment="1" applyProtection="1">
      <alignment horizontal="center" vertical="center" wrapText="1"/>
      <protection hidden="1"/>
    </xf>
    <xf numFmtId="0" fontId="9" fillId="5" borderId="28" xfId="0" applyFont="1" applyFill="1" applyBorder="1" applyAlignment="1" applyProtection="1">
      <alignment horizontal="center" vertical="center" wrapText="1"/>
      <protection hidden="1"/>
    </xf>
    <xf numFmtId="0" fontId="9" fillId="5" borderId="30" xfId="0" applyFont="1" applyFill="1" applyBorder="1" applyAlignment="1" applyProtection="1">
      <alignment horizontal="center" vertical="center" wrapText="1"/>
      <protection hidden="1"/>
    </xf>
    <xf numFmtId="0" fontId="9" fillId="5" borderId="29" xfId="0" applyFont="1" applyFill="1" applyBorder="1" applyAlignment="1" applyProtection="1">
      <alignment horizontal="center" vertical="center" wrapText="1"/>
      <protection hidden="1"/>
    </xf>
    <xf numFmtId="0" fontId="9" fillId="3" borderId="35" xfId="0" applyFont="1" applyFill="1" applyBorder="1" applyAlignment="1" applyProtection="1">
      <alignment horizontal="center" vertical="center" wrapText="1"/>
      <protection hidden="1"/>
    </xf>
    <xf numFmtId="164" fontId="0" fillId="0" borderId="36" xfId="0" applyNumberFormat="1" applyBorder="1" applyAlignment="1">
      <alignment horizontal="left" vertical="top" wrapText="1"/>
    </xf>
    <xf numFmtId="0" fontId="6" fillId="0" borderId="36" xfId="0" applyFont="1" applyBorder="1" applyAlignment="1" applyProtection="1">
      <alignment vertical="center"/>
      <protection locked="0"/>
    </xf>
    <xf numFmtId="14" fontId="6" fillId="0" borderId="36" xfId="0" applyNumberFormat="1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hidden="1"/>
    </xf>
    <xf numFmtId="2" fontId="9" fillId="5" borderId="1" xfId="0" applyNumberFormat="1" applyFont="1" applyFill="1" applyBorder="1" applyAlignment="1" applyProtection="1">
      <alignment horizontal="left" vertical="center" wrapText="1"/>
      <protection hidden="1"/>
    </xf>
    <xf numFmtId="0" fontId="9" fillId="5" borderId="27" xfId="0" applyFont="1" applyFill="1" applyBorder="1" applyAlignment="1" applyProtection="1">
      <alignment horizontal="center" vertical="center" wrapText="1"/>
      <protection hidden="1"/>
    </xf>
    <xf numFmtId="164" fontId="6" fillId="0" borderId="20" xfId="0" applyNumberFormat="1" applyFon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>
      <alignment horizontal="center" vertical="top" wrapText="1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 vertical="top" wrapText="1"/>
    </xf>
    <xf numFmtId="49" fontId="4" fillId="7" borderId="20" xfId="0" applyNumberFormat="1" applyFont="1" applyFill="1" applyBorder="1" applyAlignment="1" applyProtection="1">
      <alignment horizontal="center" vertical="center"/>
      <protection hidden="1"/>
    </xf>
    <xf numFmtId="164" fontId="6" fillId="0" borderId="36" xfId="0" applyNumberFormat="1" applyFont="1" applyBorder="1" applyAlignment="1" applyProtection="1">
      <alignment horizontal="center" vertical="center"/>
      <protection locked="0"/>
    </xf>
    <xf numFmtId="14" fontId="0" fillId="0" borderId="20" xfId="0" applyNumberFormat="1" applyBorder="1" applyProtection="1">
      <protection locked="0"/>
    </xf>
    <xf numFmtId="0" fontId="0" fillId="0" borderId="20" xfId="0" applyBorder="1" applyAlignment="1" applyProtection="1">
      <alignment horizontal="left"/>
      <protection locked="0"/>
    </xf>
    <xf numFmtId="14" fontId="6" fillId="16" borderId="19" xfId="0" applyNumberFormat="1" applyFont="1" applyFill="1" applyBorder="1" applyAlignment="1" applyProtection="1">
      <alignment horizontal="center" vertical="center"/>
      <protection locked="0"/>
    </xf>
    <xf numFmtId="0" fontId="6" fillId="16" borderId="20" xfId="0" applyFont="1" applyFill="1" applyBorder="1" applyAlignment="1" applyProtection="1">
      <alignment horizontal="left" vertical="center"/>
      <protection locked="0"/>
    </xf>
    <xf numFmtId="0" fontId="0" fillId="16" borderId="25" xfId="0" applyFill="1" applyBorder="1" applyAlignment="1">
      <alignment horizontal="left" vertical="top" wrapText="1"/>
    </xf>
    <xf numFmtId="14" fontId="0" fillId="16" borderId="37" xfId="0" applyNumberFormat="1" applyFill="1" applyBorder="1" applyAlignment="1">
      <alignment horizontal="left" vertical="top" wrapText="1"/>
    </xf>
    <xf numFmtId="0" fontId="0" fillId="16" borderId="37" xfId="0" applyFill="1" applyBorder="1" applyAlignment="1">
      <alignment horizontal="left" vertical="top" wrapText="1"/>
    </xf>
    <xf numFmtId="0" fontId="7" fillId="16" borderId="20" xfId="0" applyFont="1" applyFill="1" applyBorder="1" applyAlignment="1">
      <alignment horizontal="center"/>
    </xf>
    <xf numFmtId="0" fontId="0" fillId="16" borderId="20" xfId="0" applyFill="1" applyBorder="1" applyAlignment="1">
      <alignment horizontal="left" vertical="top" wrapText="1"/>
    </xf>
    <xf numFmtId="0" fontId="6" fillId="16" borderId="25" xfId="0" applyFont="1" applyFill="1" applyBorder="1" applyAlignment="1" applyProtection="1">
      <alignment horizontal="left" vertical="center"/>
      <protection locked="0"/>
    </xf>
    <xf numFmtId="0" fontId="6" fillId="16" borderId="20" xfId="0" applyFont="1" applyFill="1" applyBorder="1" applyAlignment="1" applyProtection="1">
      <alignment horizontal="center" vertical="center"/>
      <protection locked="0"/>
    </xf>
    <xf numFmtId="0" fontId="4" fillId="17" borderId="0" xfId="0" applyFont="1" applyFill="1" applyAlignment="1" applyProtection="1">
      <alignment horizontal="center" vertical="center"/>
      <protection hidden="1"/>
    </xf>
    <xf numFmtId="14" fontId="0" fillId="16" borderId="20" xfId="0" applyNumberFormat="1" applyFill="1" applyBorder="1" applyAlignment="1">
      <alignment horizontal="center" vertical="top" wrapText="1" indent="1"/>
    </xf>
    <xf numFmtId="0" fontId="0" fillId="16" borderId="20" xfId="0" applyFill="1" applyBorder="1" applyAlignment="1">
      <alignment horizontal="center" vertical="top" wrapText="1" indent="1"/>
    </xf>
    <xf numFmtId="14" fontId="0" fillId="0" borderId="20" xfId="0" applyNumberFormat="1" applyBorder="1" applyAlignment="1">
      <alignment horizontal="left" vertical="top" wrapText="1" indent="1"/>
    </xf>
    <xf numFmtId="0" fontId="6" fillId="16" borderId="11" xfId="0" applyFont="1" applyFill="1" applyBorder="1" applyAlignment="1" applyProtection="1">
      <alignment horizontal="center" vertical="center"/>
      <protection locked="0"/>
    </xf>
    <xf numFmtId="0" fontId="0" fillId="16" borderId="20" xfId="0" applyFill="1" applyBorder="1" applyAlignment="1">
      <alignment horizontal="left" vertical="top" wrapText="1" indent="1"/>
    </xf>
    <xf numFmtId="0" fontId="6" fillId="16" borderId="19" xfId="0" applyFont="1" applyFill="1" applyBorder="1" applyAlignment="1" applyProtection="1">
      <alignment horizontal="center" vertical="center"/>
      <protection locked="0"/>
    </xf>
    <xf numFmtId="0" fontId="7" fillId="16" borderId="20" xfId="0" applyFont="1" applyFill="1" applyBorder="1" applyAlignment="1">
      <alignment horizontal="left"/>
    </xf>
    <xf numFmtId="14" fontId="0" fillId="16" borderId="36" xfId="0" applyNumberFormat="1" applyFill="1" applyBorder="1" applyAlignment="1">
      <alignment horizontal="left" vertical="top" wrapText="1" indent="1"/>
    </xf>
    <xf numFmtId="0" fontId="0" fillId="16" borderId="36" xfId="0" applyFill="1" applyBorder="1" applyAlignment="1">
      <alignment horizontal="left" vertical="top" wrapText="1" indent="1"/>
    </xf>
    <xf numFmtId="164" fontId="0" fillId="18" borderId="20" xfId="0" applyNumberFormat="1" applyFill="1" applyBorder="1" applyAlignment="1">
      <alignment horizontal="left" vertical="top" wrapText="1"/>
    </xf>
    <xf numFmtId="0" fontId="7" fillId="18" borderId="20" xfId="0" applyFont="1" applyFill="1" applyBorder="1" applyAlignment="1">
      <alignment horizontal="center"/>
    </xf>
    <xf numFmtId="0" fontId="0" fillId="16" borderId="32" xfId="0" applyFill="1" applyBorder="1" applyAlignment="1">
      <alignment horizontal="left" vertical="top" wrapText="1"/>
    </xf>
    <xf numFmtId="14" fontId="5" fillId="16" borderId="19" xfId="0" applyNumberFormat="1" applyFont="1" applyFill="1" applyBorder="1" applyAlignment="1" applyProtection="1">
      <alignment horizontal="center" vertical="center"/>
      <protection locked="0"/>
    </xf>
    <xf numFmtId="0" fontId="6" fillId="16" borderId="19" xfId="0" applyFont="1" applyFill="1" applyBorder="1" applyAlignment="1" applyProtection="1">
      <alignment horizontal="left" vertical="center"/>
      <protection locked="0"/>
    </xf>
    <xf numFmtId="0" fontId="6" fillId="20" borderId="20" xfId="0" applyFont="1" applyFill="1" applyBorder="1" applyAlignment="1" applyProtection="1">
      <alignment horizontal="left" vertical="center"/>
      <protection locked="0"/>
    </xf>
    <xf numFmtId="14" fontId="6" fillId="20" borderId="20" xfId="0" applyNumberFormat="1" applyFont="1" applyFill="1" applyBorder="1" applyAlignment="1" applyProtection="1">
      <alignment horizontal="left" vertical="center"/>
      <protection locked="0"/>
    </xf>
    <xf numFmtId="0" fontId="0" fillId="20" borderId="20" xfId="0" applyFill="1" applyBorder="1" applyAlignment="1" applyProtection="1">
      <alignment horizontal="left"/>
      <protection locked="0"/>
    </xf>
    <xf numFmtId="14" fontId="0" fillId="20" borderId="20" xfId="0" applyNumberFormat="1" applyFill="1" applyBorder="1" applyAlignment="1" applyProtection="1">
      <alignment horizontal="left"/>
      <protection locked="0"/>
    </xf>
    <xf numFmtId="0" fontId="0" fillId="20" borderId="19" xfId="0" applyFill="1" applyBorder="1" applyAlignment="1" applyProtection="1">
      <alignment horizontal="left"/>
      <protection locked="0"/>
    </xf>
    <xf numFmtId="14" fontId="6" fillId="20" borderId="20" xfId="0" applyNumberFormat="1" applyFont="1" applyFill="1" applyBorder="1" applyAlignment="1" applyProtection="1">
      <alignment horizontal="center" vertical="center"/>
      <protection locked="0"/>
    </xf>
    <xf numFmtId="0" fontId="6" fillId="20" borderId="20" xfId="0" applyFont="1" applyFill="1" applyBorder="1" applyAlignment="1" applyProtection="1">
      <alignment horizontal="center" vertical="center"/>
      <protection locked="0"/>
    </xf>
    <xf numFmtId="0" fontId="0" fillId="20" borderId="20" xfId="0" applyFill="1" applyBorder="1" applyAlignment="1">
      <alignment horizontal="left" vertical="top" wrapText="1" indent="1"/>
    </xf>
    <xf numFmtId="14" fontId="0" fillId="20" borderId="20" xfId="0" applyNumberFormat="1" applyFill="1" applyBorder="1" applyAlignment="1">
      <alignment horizontal="left" vertical="top" wrapText="1" indent="1"/>
    </xf>
    <xf numFmtId="0" fontId="0" fillId="20" borderId="20" xfId="0" applyFill="1" applyBorder="1" applyAlignment="1">
      <alignment horizontal="center" vertical="top" wrapText="1" indent="1"/>
    </xf>
    <xf numFmtId="0" fontId="3" fillId="20" borderId="0" xfId="0" applyFont="1" applyFill="1" applyAlignment="1" applyProtection="1">
      <alignment horizontal="center"/>
      <protection locked="0"/>
    </xf>
    <xf numFmtId="0" fontId="3" fillId="20" borderId="10" xfId="0" applyFont="1" applyFill="1" applyBorder="1" applyAlignment="1" applyProtection="1">
      <alignment horizontal="center"/>
      <protection locked="0"/>
    </xf>
    <xf numFmtId="0" fontId="3" fillId="20" borderId="14" xfId="0" applyFont="1" applyFill="1" applyBorder="1" applyAlignment="1" applyProtection="1">
      <alignment horizontal="center"/>
      <protection locked="0"/>
    </xf>
    <xf numFmtId="0" fontId="3" fillId="20" borderId="20" xfId="0" applyFont="1" applyFill="1" applyBorder="1" applyAlignment="1" applyProtection="1">
      <alignment horizontal="center"/>
      <protection locked="0"/>
    </xf>
    <xf numFmtId="0" fontId="6" fillId="20" borderId="25" xfId="0" applyFont="1" applyFill="1" applyBorder="1" applyAlignment="1" applyProtection="1">
      <alignment horizontal="left" vertical="center"/>
      <protection locked="0"/>
    </xf>
    <xf numFmtId="14" fontId="6" fillId="20" borderId="25" xfId="0" applyNumberFormat="1" applyFont="1" applyFill="1" applyBorder="1" applyAlignment="1" applyProtection="1">
      <alignment horizontal="left" vertical="center"/>
      <protection locked="0"/>
    </xf>
    <xf numFmtId="0" fontId="0" fillId="20" borderId="25" xfId="0" applyFill="1" applyBorder="1" applyAlignment="1">
      <alignment horizontal="left" vertical="top" wrapText="1"/>
    </xf>
    <xf numFmtId="14" fontId="0" fillId="20" borderId="25" xfId="0" applyNumberFormat="1" applyFill="1" applyBorder="1" applyAlignment="1">
      <alignment horizontal="left" vertical="top" wrapText="1"/>
    </xf>
    <xf numFmtId="0" fontId="0" fillId="20" borderId="0" xfId="0" applyFill="1" applyAlignment="1">
      <alignment horizontal="left" vertical="top" wrapText="1"/>
    </xf>
    <xf numFmtId="0" fontId="3" fillId="20" borderId="0" xfId="0" applyFont="1" applyFill="1" applyAlignment="1" applyProtection="1">
      <alignment horizontal="left"/>
      <protection locked="0"/>
    </xf>
    <xf numFmtId="0" fontId="3" fillId="20" borderId="10" xfId="0" applyFont="1" applyFill="1" applyBorder="1" applyAlignment="1" applyProtection="1">
      <alignment horizontal="left"/>
      <protection locked="0"/>
    </xf>
    <xf numFmtId="0" fontId="3" fillId="20" borderId="14" xfId="0" applyFont="1" applyFill="1" applyBorder="1" applyAlignment="1" applyProtection="1">
      <alignment horizontal="left"/>
      <protection locked="0"/>
    </xf>
    <xf numFmtId="0" fontId="3" fillId="20" borderId="20" xfId="0" applyFont="1" applyFill="1" applyBorder="1" applyAlignment="1" applyProtection="1">
      <alignment horizontal="left"/>
      <protection locked="0"/>
    </xf>
    <xf numFmtId="14" fontId="0" fillId="20" borderId="20" xfId="0" applyNumberFormat="1" applyFill="1" applyBorder="1" applyAlignment="1">
      <alignment horizontal="left" vertical="top" wrapText="1"/>
    </xf>
    <xf numFmtId="0" fontId="0" fillId="20" borderId="20" xfId="0" applyFill="1" applyBorder="1" applyAlignment="1" applyProtection="1">
      <alignment horizontal="center"/>
      <protection locked="0"/>
    </xf>
    <xf numFmtId="0" fontId="0" fillId="20" borderId="31" xfId="0" applyFill="1" applyBorder="1" applyAlignment="1" applyProtection="1">
      <alignment horizontal="center"/>
      <protection locked="0"/>
    </xf>
    <xf numFmtId="0" fontId="0" fillId="20" borderId="10" xfId="0" applyFill="1" applyBorder="1" applyAlignment="1" applyProtection="1">
      <alignment horizontal="center"/>
      <protection locked="0"/>
    </xf>
    <xf numFmtId="0" fontId="0" fillId="20" borderId="14" xfId="0" applyFill="1" applyBorder="1" applyAlignment="1" applyProtection="1">
      <alignment horizontal="center"/>
      <protection locked="0"/>
    </xf>
    <xf numFmtId="0" fontId="0" fillId="20" borderId="20" xfId="0" applyFill="1" applyBorder="1" applyAlignment="1">
      <alignment horizontal="left" vertical="top" wrapText="1"/>
    </xf>
    <xf numFmtId="14" fontId="6" fillId="20" borderId="19" xfId="0" applyNumberFormat="1" applyFont="1" applyFill="1" applyBorder="1" applyAlignment="1" applyProtection="1">
      <alignment horizontal="center" vertical="center"/>
      <protection locked="0"/>
    </xf>
    <xf numFmtId="0" fontId="5" fillId="20" borderId="20" xfId="0" applyFont="1" applyFill="1" applyBorder="1" applyAlignment="1" applyProtection="1">
      <alignment horizontal="center" vertical="center"/>
      <protection locked="0"/>
    </xf>
    <xf numFmtId="14" fontId="0" fillId="20" borderId="20" xfId="0" applyNumberFormat="1" applyFill="1" applyBorder="1" applyAlignment="1">
      <alignment horizontal="center" vertical="top" wrapText="1" indent="1"/>
    </xf>
    <xf numFmtId="14" fontId="6" fillId="19" borderId="25" xfId="0" applyNumberFormat="1" applyFont="1" applyFill="1" applyBorder="1" applyAlignment="1" applyProtection="1">
      <alignment horizontal="left" vertical="center"/>
      <protection locked="0"/>
    </xf>
    <xf numFmtId="0" fontId="6" fillId="19" borderId="25" xfId="0" applyFont="1" applyFill="1" applyBorder="1" applyAlignment="1" applyProtection="1">
      <alignment horizontal="left" vertical="center"/>
      <protection locked="0"/>
    </xf>
    <xf numFmtId="14" fontId="0" fillId="16" borderId="20" xfId="0" applyNumberFormat="1" applyFill="1" applyBorder="1" applyAlignment="1">
      <alignment horizontal="left" vertical="top" wrapText="1" indent="1"/>
    </xf>
    <xf numFmtId="14" fontId="6" fillId="19" borderId="20" xfId="0" applyNumberFormat="1" applyFont="1" applyFill="1" applyBorder="1" applyAlignment="1" applyProtection="1">
      <alignment horizontal="center" vertical="center"/>
      <protection locked="0"/>
    </xf>
    <xf numFmtId="0" fontId="6" fillId="19" borderId="20" xfId="0" applyFont="1" applyFill="1" applyBorder="1" applyAlignment="1" applyProtection="1">
      <alignment horizontal="center" vertical="center"/>
      <protection locked="0"/>
    </xf>
    <xf numFmtId="0" fontId="0" fillId="16" borderId="0" xfId="0" applyFill="1" applyAlignment="1">
      <alignment horizontal="left" vertical="top" wrapText="1" indent="1"/>
    </xf>
    <xf numFmtId="14" fontId="0" fillId="0" borderId="20" xfId="0" applyNumberFormat="1" applyBorder="1" applyAlignment="1">
      <alignment horizontal="center" vertical="top" wrapText="1" indent="1"/>
    </xf>
    <xf numFmtId="14" fontId="0" fillId="19" borderId="20" xfId="0" applyNumberFormat="1" applyFill="1" applyBorder="1" applyAlignment="1">
      <alignment horizontal="left" vertical="top" wrapText="1" indent="1"/>
    </xf>
    <xf numFmtId="0" fontId="0" fillId="19" borderId="20" xfId="0" applyFill="1" applyBorder="1" applyAlignment="1">
      <alignment horizontal="left" vertical="top" wrapText="1" indent="1"/>
    </xf>
    <xf numFmtId="14" fontId="0" fillId="19" borderId="20" xfId="0" applyNumberFormat="1" applyFill="1" applyBorder="1" applyAlignment="1">
      <alignment horizontal="left" vertical="top" wrapText="1"/>
    </xf>
    <xf numFmtId="0" fontId="0" fillId="19" borderId="20" xfId="0" applyFill="1" applyBorder="1" applyAlignment="1">
      <alignment horizontal="left" vertical="top" wrapText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BC0" displayName="TagsBC0" ref="A1:P73" totalsRowShown="0" headerRowDxfId="130" tableBorderDxfId="129">
  <autoFilter ref="A1:P73" xr:uid="{9A30CA9B-DA8B-4A97-B359-BE83BEB9C023}"/>
  <tableColumns count="16">
    <tableColumn id="1" xr3:uid="{9409621A-FA97-4D44-A971-C80D75A85520}" name="Unit No." dataDxfId="128"/>
    <tableColumn id="2" xr3:uid="{767F9C47-9486-4409-B3DC-CF5F1DE5F6EA}" name="DATE" dataDxfId="127"/>
    <tableColumn id="3" xr3:uid="{EEB06000-F845-4A8C-BEB8-C277E6B81D6B}" name="Status" dataDxfId="126"/>
    <tableColumn id="4" xr3:uid="{C1AA4EE1-8014-48D1-A0DC-6239D1ED671A}" name="Number of cars affected by graffiti/shadows on this unit" dataDxfId="125"/>
    <tableColumn id="5" xr3:uid="{AFABA8DB-E3A8-4902-9E07-B8EF42042661}" name="Total Number of Tags found" dataDxfId="124"/>
    <tableColumn id="6" xr3:uid="{5207B806-6F84-4FBA-85A4-B030778D217A}" name="Total Tags Removed / Cleaned" dataDxfId="123"/>
    <tableColumn id="7" xr3:uid="{171DCA55-F134-44DC-BC23-EF5E4056C8B3}" name="Total Tags Not Cleaned on this Unit" dataDxfId="122"/>
    <tableColumn id="8" xr3:uid="{58D4A002-73FD-4B36-A17E-A0B9D61A1B83}" name="Car Number (s)  of Tags not cleaned (shadows)" dataDxfId="121"/>
    <tableColumn id="9" xr3:uid="{64F5DBE7-51DE-4A14-8F68-D05D22BE2408}" name="Date of 2nd visit to clean remaining tags"/>
    <tableColumn id="10" xr3:uid="{F19B294F-662A-41CD-9B2C-B10C8D8A1888}" name="Number of tags removed" dataDxfId="120"/>
    <tableColumn id="11" xr3:uid="{A0FF4F57-E630-4CAA-A2F5-40B0A0B1DAF8}" name="Date of 3rd visit to clean remaining tags" dataDxfId="119"/>
    <tableColumn id="12" xr3:uid="{9D58AB19-BDFD-4E48-9B5B-20DC35141140}" name="Number of tags removed2" dataDxfId="118"/>
    <tableColumn id="13" xr3:uid="{52F656F6-5943-4A6C-940C-81A4A0F3DAD7}" name="Train Inspected and Fit for service    (Y/N)" dataDxfId="117"/>
    <tableColumn id="14" xr3:uid="{C32752A7-C4DC-4AA7-ADD0-C38A3A2BAD69}" name="Inspected by Supervisor/Manager (Name)" dataDxfId="116"/>
    <tableColumn id="15" xr3:uid="{9C95AF34-AFC6-4F4E-B691-68B01D1E8696}" name="Date of Completing all shadows (Tags) on this Unit excluding acid etched shadows" dataDxfId="115"/>
    <tableColumn id="16" xr3:uid="{3B10A84F-A784-43B5-A37B-A4DCC7D9125D}" name="Car Number (s)  of Tags not cleaned due to acid etched shadows" dataDxfId="1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BC1" displayName="TagsBC1" ref="A1:P73" totalsRowShown="0" headerRowDxfId="113" dataDxfId="112" tableBorderDxfId="111">
  <autoFilter ref="A1:P73" xr:uid="{8113B4F9-CE62-45E7-9C80-66A83BA9DA2A}"/>
  <tableColumns count="16">
    <tableColumn id="1" xr3:uid="{2F1EACBE-5094-45B3-B813-DFB9DF440A26}" name="Unit No." dataDxfId="110"/>
    <tableColumn id="2" xr3:uid="{1FF8EECD-1486-4B60-87D4-289532F08B25}" name="DATE" dataDxfId="109"/>
    <tableColumn id="3" xr3:uid="{FACC626E-0F72-4234-849C-3935B7D14E1A}" name="Status" dataDxfId="108"/>
    <tableColumn id="4" xr3:uid="{7F423D2B-F86D-4F28-994E-E536DC948F56}" name="Number of cars affected by graffiti/shadows on this unit" dataDxfId="107"/>
    <tableColumn id="5" xr3:uid="{ADDE4F20-5569-4364-A833-8D7C058B4C14}" name="Total Number of Tags found" dataDxfId="106"/>
    <tableColumn id="6" xr3:uid="{C44DF7BB-86CC-4EC0-A303-37D3A7E2DEA9}" name="Total Tags Removed / Cleaned" dataDxfId="105"/>
    <tableColumn id="7" xr3:uid="{0777ABC2-5C06-4770-9CA6-2EB505DFDBA7}" name="Total Tags Not Cleaned on this Unit" dataDxfId="104"/>
    <tableColumn id="8" xr3:uid="{E330664F-5A74-4D4E-B998-3FEE2AFF81D6}" name="Car Number (s)  of Tags not cleaned (shadows)" dataDxfId="103"/>
    <tableColumn id="9" xr3:uid="{BD55285F-4030-4E7B-A1A8-70A805439D2E}" name="Date of 2nd visit to clean remaining tags"/>
    <tableColumn id="10" xr3:uid="{B8CE50C6-7DB2-4520-A626-AF07F669515F}" name="Number of tags removed" dataDxfId="102"/>
    <tableColumn id="11" xr3:uid="{4B7E7B4A-9541-4687-B399-FE029B5EE90D}" name="Date of 3rd visit to clean remaining tags" dataDxfId="101"/>
    <tableColumn id="12" xr3:uid="{99631F5F-E59A-4C79-88A8-678D24CF8DCE}" name="Number of tags removed2" dataDxfId="100"/>
    <tableColumn id="13" xr3:uid="{FF75606A-6994-47EC-A3D0-9AB7D2F7ADF7}" name="Train Inspected and Fit for service    (Y/N)" dataDxfId="99"/>
    <tableColumn id="14" xr3:uid="{3194B9B2-9110-42F0-ABA6-DC4BF73B51D5}" name="Inspected by Supervisor/Manager (Name)" dataDxfId="98"/>
    <tableColumn id="15" xr3:uid="{D9C75190-8916-4BA4-A8F7-91879CF08C47}" name="Date of Completing all shadows (Tags) on this Unit excluding acid etched shadows" dataDxfId="97"/>
    <tableColumn id="16" xr3:uid="{38CD55A3-CA62-4F43-A7AA-8E74B72B417C}" name="Car Number (s)  of Tags not cleaned due to acid etched shadows" dataDxfId="9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BC2" displayName="TagsBC2" ref="A1:P73" totalsRowShown="0" headerRowDxfId="95" tableBorderDxfId="94">
  <autoFilter ref="A1:P73" xr:uid="{6AEA6E20-AED4-4387-B8FB-FC130C200D94}"/>
  <tableColumns count="16">
    <tableColumn id="1" xr3:uid="{C5D9FF2E-258F-44E4-B0CF-BB190599EB52}" name="Unit No." dataDxfId="93"/>
    <tableColumn id="2" xr3:uid="{8ADB687F-D9BE-4FED-9CB9-33AE0BBC1BE5}" name="DATE"/>
    <tableColumn id="3" xr3:uid="{9925AC05-E548-47EA-9A36-93B496141928}" name="Status"/>
    <tableColumn id="4" xr3:uid="{557C8AB9-F99D-4EE4-BBD9-7FDCD52BBA40}" name="Number of cars affected by graffiti/shadows on this unit" dataDxfId="92"/>
    <tableColumn id="5" xr3:uid="{A364BC28-25D3-4709-81D7-8B83CE39DF54}" name="Total Number of Tags found" dataDxfId="91"/>
    <tableColumn id="6" xr3:uid="{4EF5ACD6-8DF1-4F8F-8CA1-4278478E63C1}" name="Total Tags Removed / Cleaned" dataDxfId="90"/>
    <tableColumn id="7" xr3:uid="{B0585672-AD1B-4186-B0DA-7E8AE3BAC2E2}" name="Total Tags Not Cleaned on this Unit" dataDxfId="89"/>
    <tableColumn id="8" xr3:uid="{9E70350D-80F7-4E79-8F3E-12ADEB6F08BC}" name="Car Number (s)  of Tags not cleaned (shadows)" dataDxfId="88"/>
    <tableColumn id="9" xr3:uid="{44556474-E5A5-4DD6-9F4E-71515143536B}" name="Date of 2nd visit to clean remaining tags"/>
    <tableColumn id="10" xr3:uid="{C36CB8EC-DE77-4E53-AB7A-53B8AE301DE9}" name="Number of tags removed" dataDxfId="87"/>
    <tableColumn id="11" xr3:uid="{3596CAA3-34D5-498E-ACD0-0C1CB166136B}" name="Date of 3rd visit to clean remaining tags" dataDxfId="86"/>
    <tableColumn id="12" xr3:uid="{B8D49440-BE0B-4CD0-9D24-5ECD9A0FBE4B}" name="Number of tags removed2" dataDxfId="85"/>
    <tableColumn id="13" xr3:uid="{765FC496-92E2-4341-B356-C21D9AE69BB6}" name="Train Inspected and Fit for service    (Y/N)" dataDxfId="84"/>
    <tableColumn id="14" xr3:uid="{288ADB1D-D545-4098-9F92-D5EF5CEB8F6E}" name="Inspected by Supervisor/Manager (Name)" dataDxfId="83"/>
    <tableColumn id="15" xr3:uid="{CBBF6CDA-1B76-4606-BAA5-EAF82E8A9353}" name="Date of Completing all shadows (Tags) on this Unit excluding acid etched shadows" dataDxfId="82"/>
    <tableColumn id="16" xr3:uid="{F08274BB-27EB-4215-BE94-CFC51275C72D}" name="Car Number (s)  of Tags not cleaned due to acid etched shadows" dataDxfId="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BC3" displayName="TagsBC3" ref="A1:P73" totalsRowShown="0" headerRowDxfId="80" tableBorderDxfId="79">
  <autoFilter ref="A1:P73" xr:uid="{9134964E-5BA1-454C-B217-D34D00A5B099}"/>
  <tableColumns count="16">
    <tableColumn id="1" xr3:uid="{66D0CF0A-2067-4961-A5A5-12258E91C670}" name="Unit No." dataDxfId="78"/>
    <tableColumn id="2" xr3:uid="{EBDC271C-EC77-4C33-B962-D147FF1E9CF0}" name="DATE"/>
    <tableColumn id="3" xr3:uid="{15E581E6-F2AA-4C93-A8C0-EA9D3659BC9F}" name="Status"/>
    <tableColumn id="4" xr3:uid="{3B010436-D104-43D6-B30C-EEA4EE727E68}" name="Number of cars affected by graffiti/shadows on this unit" dataDxfId="77"/>
    <tableColumn id="5" xr3:uid="{6E992F19-1600-4C0F-B468-C38228C832C0}" name="Total Number of Tags found"/>
    <tableColumn id="6" xr3:uid="{EE59564E-2AF0-48D4-850D-2527A1B708A9}" name="Total Tags Removed / Cleaned"/>
    <tableColumn id="7" xr3:uid="{CA70D91E-B1E0-4520-A481-BDECE1386830}" name="Total Tags Not Cleaned on this Unit"/>
    <tableColumn id="8" xr3:uid="{8DF3674E-7D8E-4FD7-B627-919455B8FEA0}" name="Car Number (s)  of Tags not cleaned (shadows)"/>
    <tableColumn id="9" xr3:uid="{5FD6BA7C-60D9-4E2F-996D-683FDF2B37EC}" name="Date of 2nd visit to clean remaining tags"/>
    <tableColumn id="10" xr3:uid="{3C1563C6-C940-48C4-98C5-AF78DC1D44FC}" name="Number of tags removed" dataDxfId="76"/>
    <tableColumn id="11" xr3:uid="{DFB2916F-E249-4503-BDE7-F6092B9E5EEC}" name="Date of 3rd visit to clean remaining tags" dataDxfId="75"/>
    <tableColumn id="12" xr3:uid="{2A7D714C-E437-4C1E-BD92-AB233D8987F1}" name="Number of tags removed2" dataDxfId="74"/>
    <tableColumn id="13" xr3:uid="{3BB186B1-8514-4EF7-A8A1-E6B804BA0BC3}" name="Train Inspected and Fit for service    (Y/N)"/>
    <tableColumn id="14" xr3:uid="{3FD82427-7078-4A57-8B6B-2D4D8D663C8E}" name="Inspected by Supervisor/Manager (Name)"/>
    <tableColumn id="15" xr3:uid="{4D6D6456-9689-4F93-8EFC-6F11D19C619F}" name="Date of Completing all shadows (Tags) on this Unit excluding acid etched shadows" dataDxfId="73"/>
    <tableColumn id="16" xr3:uid="{F5F15C0E-8F95-40D7-AF89-42A4A2E248B3}" name="Car Number (s)  of Tags not cleaned due to acid etched shadows" dataDxfId="7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BC4" displayName="TagsBC4" ref="A1:P73" totalsRowShown="0" headerRowDxfId="71" tableBorderDxfId="70">
  <autoFilter ref="A1:P73" xr:uid="{6A038AD4-D0C0-4CF3-939A-FC079A4A6B73}"/>
  <tableColumns count="16">
    <tableColumn id="1" xr3:uid="{102C8124-4BB1-4E00-A2AA-6688E32BF655}" name="Unit No." dataDxfId="69"/>
    <tableColumn id="2" xr3:uid="{5CA570A0-BFA9-430F-9523-C67F3F8D18F0}" name="DATE" dataDxfId="68"/>
    <tableColumn id="3" xr3:uid="{6AE4E675-6751-42A2-A8F3-62E6367B8B28}" name="Status" dataDxfId="67"/>
    <tableColumn id="4" xr3:uid="{91961ED3-5A59-4D2C-BF5E-4461026D75DD}" name="Number of cars affected by graffiti/shadows on this unit" dataDxfId="66"/>
    <tableColumn id="5" xr3:uid="{0A6954F2-150C-4343-981D-3F06EF888A8F}" name="Total Number of Tags found" dataDxfId="65"/>
    <tableColumn id="6" xr3:uid="{E5D07A0B-D35B-4818-9233-59C328038068}" name="Total Tags Removed / Cleaned" dataDxfId="64"/>
    <tableColumn id="7" xr3:uid="{E59A07C7-2C8E-42E2-A88C-0C730F69A0FB}" name="Total Tags Not Cleaned on this Unit" dataDxfId="63"/>
    <tableColumn id="8" xr3:uid="{103CBAD2-AFE7-411B-B063-6A0002B6E573}" name="Car Number (s)  of Tags not cleaned (shadows)" dataDxfId="62"/>
    <tableColumn id="9" xr3:uid="{841394F9-A85A-4346-BDC2-DA4281D8116F}" name="Date of 2nd visit to clean remaining tags" dataDxfId="61"/>
    <tableColumn id="10" xr3:uid="{9AAF110A-420E-44D0-B122-7FB50BD6DADF}" name="Number of tags removed" dataDxfId="60"/>
    <tableColumn id="11" xr3:uid="{0FF8E53B-DB4E-4EAE-ACEA-58C63C33B777}" name="Date of 3rd visit to clean remaining tags" dataDxfId="59"/>
    <tableColumn id="12" xr3:uid="{60C3882B-FBA1-4763-9DB8-2637E02D28AB}" name="Number of tags removed2" dataDxfId="58"/>
    <tableColumn id="13" xr3:uid="{71284C49-DCAE-4BC7-AA46-3C388560B24D}" name="Train Inspected and Fit for service    (Y/N)" dataDxfId="57"/>
    <tableColumn id="14" xr3:uid="{01EE9898-5ADE-47E8-B896-E2E492C3CDFA}" name="Inspected by Supervisor/Manager (Name)" dataDxfId="56"/>
    <tableColumn id="15" xr3:uid="{1A992BF9-0268-4791-A36D-4FAE9F50C658}" name="Date of Completing all shadows (Tags) on this Unit excluding acid etched shadows" dataDxfId="55"/>
    <tableColumn id="16" xr3:uid="{A0B73C68-0A56-4E02-93E2-B011D81CD72D}" name="Car Number (s)  of Tags not cleaned due to acid etched shadows" dataDxfId="5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BC5" displayName="TagsBC5" ref="A1:P73" totalsRowShown="0" headerRowDxfId="53" tableBorderDxfId="52">
  <autoFilter ref="A1:P73" xr:uid="{C6350460-2C9C-4CF9-9991-E066DFBD561D}"/>
  <tableColumns count="16">
    <tableColumn id="1" xr3:uid="{9FDE95C7-3501-46A2-9A94-00902270F465}" name="Unit No." dataDxfId="51"/>
    <tableColumn id="2" xr3:uid="{3EF9D1AE-2C4A-47AA-B42C-89B4DC40D965}" name="DATE" dataDxfId="50"/>
    <tableColumn id="3" xr3:uid="{079F7728-BD40-4CF4-BEB5-5A718E9A04D7}" name="Status" dataDxfId="49"/>
    <tableColumn id="4" xr3:uid="{977CEA16-21F9-4171-9B78-ED90B0366487}" name="Number of cars affected by graffiti/shadows on this unit" dataDxfId="48"/>
    <tableColumn id="5" xr3:uid="{67633657-6D91-4E74-9AD3-B89B95C4FE5A}" name="Total Number of Tags found" dataDxfId="47"/>
    <tableColumn id="6" xr3:uid="{7574F745-118D-4E3D-B50A-98481FCB0720}" name="Total Tags Removed / Cleaned" dataDxfId="46"/>
    <tableColumn id="7" xr3:uid="{C1C8A734-2972-44BC-AC78-5B9707C5F7E6}" name="Total Tags Not Cleaned on this Unit" dataDxfId="45"/>
    <tableColumn id="8" xr3:uid="{F496D8DA-B426-4C3B-9E96-EFD397FCF819}" name="Car Number (s)  of Tags not cleaned (shadows)" dataDxfId="44"/>
    <tableColumn id="9" xr3:uid="{170DFCD4-210B-4913-88AC-D30A8145C926}" name="Date of 2nd visit to clean remaining tags" dataDxfId="43"/>
    <tableColumn id="10" xr3:uid="{8710C123-892B-4B3F-9FA9-155E8751FA4A}" name="Number of tags removed" dataDxfId="42"/>
    <tableColumn id="11" xr3:uid="{E6C08543-2DDB-4A53-8270-A18C92C111CF}" name="Date of 3rd visit to clean remaining tags" dataDxfId="41"/>
    <tableColumn id="12" xr3:uid="{68BF4629-942C-494D-BE12-B6F29FD290DE}" name="Number of tags removed2" dataDxfId="40"/>
    <tableColumn id="13" xr3:uid="{48C671DC-4B18-414C-B638-458984E8E84F}" name="Train Inspected and Fit for service    (Y/N)" dataDxfId="39"/>
    <tableColumn id="14" xr3:uid="{79B77BC9-4E33-41F8-96CA-C59EDE3B1AA2}" name="Inspected by Supervisor/Manager (Name)" dataDxfId="38"/>
    <tableColumn id="15" xr3:uid="{D5C542DD-0F17-4FD8-9EB7-D6BE51884D5D}" name="Date of Completing all shadows (Tags) on this Unit excluding acid etched shadows" dataDxfId="37"/>
    <tableColumn id="16" xr3:uid="{1862A861-BDD3-4481-944C-0C9466505EC3}" name="Car Number (s)  of Tags not cleaned due to acid etched shadows" dataDxfId="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BC6" displayName="TagsBC6" ref="A1:P73" totalsRowShown="0" headerRowDxfId="35" tableBorderDxfId="34">
  <autoFilter ref="A1:P73" xr:uid="{30E73D74-4515-4083-9342-4DA04CAF52D8}"/>
  <tableColumns count="16">
    <tableColumn id="1" xr3:uid="{96ABC57B-8511-492C-BBA7-3000818447D5}" name="Unit No." dataDxfId="33"/>
    <tableColumn id="2" xr3:uid="{043089C2-436D-440E-A640-B8F6251A1F27}" name="DATE" dataDxfId="32"/>
    <tableColumn id="3" xr3:uid="{A3A6A87A-157E-4961-87AC-760F055D854E}" name="Status" dataDxfId="31"/>
    <tableColumn id="4" xr3:uid="{CE85EEEC-8D55-4237-BA09-D5BCEC084730}" name="Number of cars affected by graffiti/shadows on this unit" dataDxfId="30"/>
    <tableColumn id="5" xr3:uid="{33BD35C9-7B39-44E0-9A60-830F17A2910E}" name="Total Number of Tags found" dataDxfId="29"/>
    <tableColumn id="6" xr3:uid="{6D89995F-9850-4B3D-A24C-ABAEEA668AAF}" name="Total Tags Removed / Cleaned" dataDxfId="28"/>
    <tableColumn id="7" xr3:uid="{AF35070B-E506-4035-8E5D-CF2DDBD2176C}" name="Total Tags Not Cleaned on this Unit" dataDxfId="27"/>
    <tableColumn id="8" xr3:uid="{E5C3F43B-422B-4CAB-B621-722B7A2473D0}" name="Car Number (s)  of Tags not cleaned (shadows)" dataDxfId="26"/>
    <tableColumn id="9" xr3:uid="{7EB39E42-1146-408F-B9D6-CF617D9BC104}" name="Date of 2nd visit to clean remaining tags" dataDxfId="25"/>
    <tableColumn id="10" xr3:uid="{9AAFE50A-ED5C-430D-A1CB-54B0257CBE53}" name="Number of tags removed" dataDxfId="24"/>
    <tableColumn id="11" xr3:uid="{C1624AB0-8E92-4171-B29C-EC37D8239D33}" name="Date of 3rd visit to clean remaining tags" dataDxfId="23"/>
    <tableColumn id="12" xr3:uid="{B470A119-FEC0-4657-B6B3-9370FA8F2CC7}" name="Number of tags removed2" dataDxfId="22"/>
    <tableColumn id="13" xr3:uid="{31A2FB90-39CC-436B-BE01-A30A57B0E122}" name="Train Inspected and Fit for service    (Y/N)" dataDxfId="21"/>
    <tableColumn id="14" xr3:uid="{F633CFC3-15B6-4FD3-8D20-5AC800AEB9FA}" name="Inspected by Supervisor/Manager (Name)" dataDxfId="20"/>
    <tableColumn id="15" xr3:uid="{E502D8B2-CF67-4355-A3E0-0F7B716EEFDF}" name="Date of Completing all shadows (Tags) on this Unit excluding acid etched shadows" dataDxfId="19"/>
    <tableColumn id="16" xr3:uid="{53DE94BA-4EB7-4BCC-BB3C-568529F83EED}" name="Car Number (s)  of Tags not cleaned due to acid etched shadows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BC69" displayName="TagsBC69" ref="A1:P73" totalsRowShown="0" headerRowDxfId="17" tableBorderDxfId="16">
  <autoFilter ref="A1:P73" xr:uid="{30E73D74-4515-4083-9342-4DA04CAF52D8}"/>
  <tableColumns count="16">
    <tableColumn id="1" xr3:uid="{41BD9426-EEC3-4CC6-9176-491E5132E1D7}" name="Unit No." dataDxfId="15"/>
    <tableColumn id="2" xr3:uid="{DC05083F-F159-4DB0-A957-B556F4070FDC}" name="DATE" dataDxfId="14"/>
    <tableColumn id="3" xr3:uid="{00227D91-7302-4DF8-8167-2EFA3BFC59FD}" name="Status" dataDxfId="13"/>
    <tableColumn id="4" xr3:uid="{F7A143F2-F2CC-4C9C-AC53-EE5299F72F8E}" name="Number of cars affected by graffiti/shadows on this unit" dataDxfId="12"/>
    <tableColumn id="5" xr3:uid="{C32330CD-9A86-4577-9184-4A25BB358E81}" name="Total Number of Tags found" dataDxfId="11"/>
    <tableColumn id="6" xr3:uid="{B5B5D159-73F8-4B41-B42A-033A16865AF4}" name="Total Tags Removed / Cleaned" dataDxfId="10"/>
    <tableColumn id="7" xr3:uid="{2D4D24FA-D87D-4832-96A1-B4CAC5D6D116}" name="Total Tags Not Cleaned on this Unit" dataDxfId="9"/>
    <tableColumn id="8" xr3:uid="{DE85F566-E148-46FE-80BA-2A418C062057}" name="Car Number (s)  of Tags not cleaned (shadows)" dataDxfId="8"/>
    <tableColumn id="9" xr3:uid="{8808B5A7-3D66-4FF9-B2E0-EC6AF01B57C1}" name="Date of 2nd visit to clean remaining tags" dataDxfId="7"/>
    <tableColumn id="10" xr3:uid="{DD1E7555-F301-4EEC-BDF7-45E7124FF4F5}" name="Number of tags removed" dataDxfId="6"/>
    <tableColumn id="11" xr3:uid="{5646E038-6BFC-45E2-982B-CFB319D64A2A}" name="Date of 3rd visit to clean remaining tags" dataDxfId="5"/>
    <tableColumn id="12" xr3:uid="{DF8D9E91-9461-4342-95FB-5E5076DF82D5}" name="Number of tags removed2" dataDxfId="4"/>
    <tableColumn id="13" xr3:uid="{DBDF7F11-4367-468F-A12D-E41C30FDB178}" name="Train Inspected and Fit for service    (Y/N)" dataDxfId="3"/>
    <tableColumn id="14" xr3:uid="{7FE6CF15-67D3-4C50-BC17-3A0D60BC818D}" name="Inspected by Supervisor/Manager (Name)" dataDxfId="2"/>
    <tableColumn id="15" xr3:uid="{FE3F1BE2-9E6B-4C5E-B0EE-B9289032FB5E}" name="Date of Completing all shadows (Tags) on this Unit excluding acid etched shadows" dataDxfId="1"/>
    <tableColumn id="16" xr3:uid="{C84F1D2C-D995-47EB-9D18-E6A74CDCBAD1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workbookViewId="0">
      <selection activeCell="M52" sqref="M52"/>
    </sheetView>
  </sheetViews>
  <sheetFormatPr defaultColWidth="19.1796875" defaultRowHeight="14.5" x14ac:dyDescent="0.35"/>
  <cols>
    <col min="1" max="1" width="9.1796875" style="1" customWidth="1"/>
    <col min="2" max="2" width="11.81640625" style="1" customWidth="1"/>
    <col min="3" max="3" width="12.54296875" style="1" customWidth="1"/>
    <col min="4" max="4" width="23.1796875" style="8" customWidth="1"/>
    <col min="5" max="5" width="11.1796875" style="1" customWidth="1"/>
    <col min="6" max="6" width="13.81640625" style="1" customWidth="1"/>
    <col min="7" max="7" width="13.1796875" style="1" customWidth="1"/>
    <col min="8" max="8" width="17.81640625" style="1" customWidth="1"/>
    <col min="9" max="9" width="14.453125" style="1" customWidth="1"/>
    <col min="10" max="10" width="11" style="1" customWidth="1"/>
    <col min="11" max="11" width="15.453125" style="1" customWidth="1"/>
    <col min="12" max="12" width="13" style="1" customWidth="1"/>
    <col min="13" max="13" width="16" style="1" customWidth="1"/>
    <col min="14" max="14" width="15.54296875" style="1" customWidth="1"/>
    <col min="15" max="15" width="30.1796875" style="69" customWidth="1"/>
    <col min="16" max="16" width="25.81640625" style="69" customWidth="1"/>
    <col min="17" max="16384" width="19.1796875" style="1"/>
  </cols>
  <sheetData>
    <row r="1" spans="1:21" ht="44" thickBot="1" x14ac:dyDescent="0.4">
      <c r="A1" s="151" t="s">
        <v>0</v>
      </c>
      <c r="B1" s="140" t="s">
        <v>1</v>
      </c>
      <c r="C1" s="140" t="s">
        <v>32</v>
      </c>
      <c r="D1" s="152" t="s">
        <v>2</v>
      </c>
      <c r="E1" s="141" t="s">
        <v>3</v>
      </c>
      <c r="F1" s="141" t="s">
        <v>4</v>
      </c>
      <c r="G1" s="141" t="s">
        <v>5</v>
      </c>
      <c r="H1" s="141" t="s">
        <v>6</v>
      </c>
      <c r="I1" s="142" t="s">
        <v>7</v>
      </c>
      <c r="J1" s="142" t="s">
        <v>8</v>
      </c>
      <c r="K1" s="143" t="s">
        <v>9</v>
      </c>
      <c r="L1" s="143" t="s">
        <v>33</v>
      </c>
      <c r="M1" s="144" t="s">
        <v>10</v>
      </c>
      <c r="N1" s="153" t="s">
        <v>11</v>
      </c>
      <c r="O1" s="146" t="s">
        <v>12</v>
      </c>
      <c r="P1" s="147" t="s">
        <v>13</v>
      </c>
    </row>
    <row r="2" spans="1:21" ht="15" customHeight="1" x14ac:dyDescent="0.45">
      <c r="A2" s="51">
        <v>3231</v>
      </c>
      <c r="B2" s="21">
        <v>45792</v>
      </c>
      <c r="C2" s="21"/>
      <c r="D2" s="35">
        <v>4</v>
      </c>
      <c r="E2" s="45">
        <v>152</v>
      </c>
      <c r="F2" s="45">
        <v>152</v>
      </c>
      <c r="G2" s="45">
        <v>0</v>
      </c>
      <c r="H2" s="45">
        <v>0</v>
      </c>
      <c r="I2" s="45"/>
      <c r="J2" s="45"/>
      <c r="K2" s="45"/>
      <c r="L2" s="45"/>
      <c r="M2" s="45" t="s">
        <v>29</v>
      </c>
      <c r="N2" s="45" t="s">
        <v>14</v>
      </c>
      <c r="O2" s="154">
        <v>45792</v>
      </c>
      <c r="P2" s="13">
        <v>3231</v>
      </c>
      <c r="R2" s="229" t="s">
        <v>15</v>
      </c>
      <c r="S2" s="230"/>
      <c r="T2" s="230"/>
      <c r="U2" s="231"/>
    </row>
    <row r="3" spans="1:21" ht="15" customHeight="1" x14ac:dyDescent="0.45">
      <c r="A3" s="51">
        <v>3232</v>
      </c>
      <c r="B3" s="21">
        <v>45813</v>
      </c>
      <c r="C3" s="21"/>
      <c r="D3" s="35">
        <v>4</v>
      </c>
      <c r="E3" s="45">
        <v>224</v>
      </c>
      <c r="F3" s="45">
        <v>179</v>
      </c>
      <c r="G3" s="45">
        <v>65</v>
      </c>
      <c r="H3" s="45">
        <v>2</v>
      </c>
      <c r="I3" s="46">
        <v>45838</v>
      </c>
      <c r="J3" s="45">
        <v>30</v>
      </c>
      <c r="K3" s="46"/>
      <c r="L3" s="46"/>
      <c r="M3" s="45" t="s">
        <v>29</v>
      </c>
      <c r="N3" s="46" t="s">
        <v>14</v>
      </c>
      <c r="O3" s="154">
        <v>45838</v>
      </c>
      <c r="P3" s="70"/>
      <c r="R3" s="24" t="s">
        <v>16</v>
      </c>
      <c r="S3" s="25" t="s">
        <v>17</v>
      </c>
      <c r="T3" s="26" t="s">
        <v>27</v>
      </c>
      <c r="U3" s="27" t="s">
        <v>19</v>
      </c>
    </row>
    <row r="4" spans="1:21" ht="15" customHeight="1" thickBot="1" x14ac:dyDescent="0.5">
      <c r="A4" s="55">
        <v>3233</v>
      </c>
      <c r="B4" s="49">
        <v>45812</v>
      </c>
      <c r="C4" s="49" t="s">
        <v>34</v>
      </c>
      <c r="D4" s="35">
        <v>4</v>
      </c>
      <c r="E4" s="45">
        <v>139</v>
      </c>
      <c r="F4" s="45">
        <v>43</v>
      </c>
      <c r="G4" s="45">
        <v>96</v>
      </c>
      <c r="H4" s="45">
        <v>3</v>
      </c>
      <c r="I4" s="46">
        <v>45823</v>
      </c>
      <c r="J4" s="45">
        <v>47</v>
      </c>
      <c r="K4" s="45"/>
      <c r="L4" s="45"/>
      <c r="M4" s="45" t="s">
        <v>29</v>
      </c>
      <c r="N4" s="45" t="s">
        <v>14</v>
      </c>
      <c r="O4" s="155">
        <v>45823</v>
      </c>
      <c r="P4" s="13">
        <v>3233</v>
      </c>
      <c r="R4" s="28">
        <v>36</v>
      </c>
      <c r="S4" s="29">
        <f>R4*2</f>
        <v>72</v>
      </c>
      <c r="T4" s="29">
        <f>COUNTA(O:O)-1</f>
        <v>66</v>
      </c>
      <c r="U4" s="30">
        <f>T4/S4</f>
        <v>0.91666666666666663</v>
      </c>
    </row>
    <row r="5" spans="1:21" ht="15" customHeight="1" x14ac:dyDescent="0.45">
      <c r="A5" s="51">
        <v>3234</v>
      </c>
      <c r="B5" s="21">
        <v>45818</v>
      </c>
      <c r="C5" s="21"/>
      <c r="D5" s="35">
        <v>4</v>
      </c>
      <c r="E5" s="47">
        <v>311</v>
      </c>
      <c r="F5" s="47">
        <v>254</v>
      </c>
      <c r="G5" s="47">
        <v>57</v>
      </c>
      <c r="H5" s="47">
        <v>1</v>
      </c>
      <c r="I5" s="46">
        <v>45839</v>
      </c>
      <c r="J5" s="47">
        <v>59</v>
      </c>
      <c r="K5" s="47"/>
      <c r="L5" s="47"/>
      <c r="M5" s="45" t="s">
        <v>29</v>
      </c>
      <c r="N5" s="47" t="s">
        <v>14</v>
      </c>
      <c r="O5" s="154">
        <v>45826</v>
      </c>
      <c r="P5" s="156">
        <v>3234</v>
      </c>
    </row>
    <row r="6" spans="1:21" ht="15" customHeight="1" x14ac:dyDescent="0.45">
      <c r="A6" s="51">
        <v>3235</v>
      </c>
      <c r="B6" s="21">
        <v>45826</v>
      </c>
      <c r="C6" s="21"/>
      <c r="D6" s="35">
        <v>4</v>
      </c>
      <c r="E6" s="47">
        <v>340</v>
      </c>
      <c r="F6" s="47">
        <v>340</v>
      </c>
      <c r="G6" s="48">
        <v>0</v>
      </c>
      <c r="H6" s="48">
        <v>0</v>
      </c>
      <c r="I6" s="46"/>
      <c r="J6" s="46"/>
      <c r="K6" s="46"/>
      <c r="L6" s="46"/>
      <c r="M6" s="45" t="s">
        <v>29</v>
      </c>
      <c r="N6" s="46" t="s">
        <v>14</v>
      </c>
      <c r="O6" s="154">
        <v>45826</v>
      </c>
      <c r="P6" s="156">
        <v>3235</v>
      </c>
    </row>
    <row r="7" spans="1:21" ht="15" customHeight="1" x14ac:dyDescent="0.45">
      <c r="A7" s="51">
        <v>3236</v>
      </c>
      <c r="B7" s="21">
        <v>45806</v>
      </c>
      <c r="C7" s="21"/>
      <c r="D7" s="35">
        <v>4</v>
      </c>
      <c r="E7" s="48">
        <v>175</v>
      </c>
      <c r="F7" s="48">
        <v>175</v>
      </c>
      <c r="G7" s="48">
        <v>0</v>
      </c>
      <c r="H7" s="48">
        <v>0</v>
      </c>
      <c r="I7" s="48"/>
      <c r="J7" s="48"/>
      <c r="K7" s="48"/>
      <c r="L7" s="48"/>
      <c r="M7" s="45" t="s">
        <v>29</v>
      </c>
      <c r="N7" s="48" t="s">
        <v>14</v>
      </c>
      <c r="O7" s="154">
        <v>45806</v>
      </c>
      <c r="P7" s="157">
        <v>3236</v>
      </c>
    </row>
    <row r="8" spans="1:21" ht="15" customHeight="1" x14ac:dyDescent="0.45">
      <c r="A8" s="51">
        <v>3237</v>
      </c>
      <c r="B8" s="21">
        <v>45774</v>
      </c>
      <c r="C8" s="21"/>
      <c r="D8" s="35">
        <v>4</v>
      </c>
      <c r="E8" s="45">
        <v>155</v>
      </c>
      <c r="F8" s="45">
        <v>20</v>
      </c>
      <c r="G8" s="45">
        <v>135</v>
      </c>
      <c r="H8" s="45">
        <v>3</v>
      </c>
      <c r="I8" s="46">
        <v>45785</v>
      </c>
      <c r="J8" s="45">
        <v>70</v>
      </c>
      <c r="K8" s="46">
        <v>45803</v>
      </c>
      <c r="L8" s="45">
        <v>65</v>
      </c>
      <c r="M8" s="45" t="s">
        <v>29</v>
      </c>
      <c r="N8" s="46" t="s">
        <v>14</v>
      </c>
      <c r="O8" s="154">
        <v>45803</v>
      </c>
      <c r="P8" s="13">
        <v>3237</v>
      </c>
    </row>
    <row r="9" spans="1:21" ht="15" customHeight="1" x14ac:dyDescent="0.45">
      <c r="A9" s="51">
        <v>3238</v>
      </c>
      <c r="B9" s="21">
        <v>45791</v>
      </c>
      <c r="C9" s="21"/>
      <c r="D9" s="35">
        <v>4</v>
      </c>
      <c r="E9" s="45">
        <v>89</v>
      </c>
      <c r="F9" s="45">
        <v>77</v>
      </c>
      <c r="G9" s="45">
        <v>12</v>
      </c>
      <c r="H9" s="45">
        <v>3</v>
      </c>
      <c r="I9" s="46">
        <v>45825</v>
      </c>
      <c r="J9" s="45">
        <v>165</v>
      </c>
      <c r="K9" s="45"/>
      <c r="L9" s="45"/>
      <c r="M9" s="45" t="s">
        <v>29</v>
      </c>
      <c r="N9" s="45" t="s">
        <v>14</v>
      </c>
      <c r="O9" s="154">
        <v>45825</v>
      </c>
      <c r="P9" s="13">
        <v>4338</v>
      </c>
    </row>
    <row r="10" spans="1:21" ht="15" customHeight="1" x14ac:dyDescent="0.45">
      <c r="A10" s="51">
        <v>3239</v>
      </c>
      <c r="B10" s="21">
        <v>45830</v>
      </c>
      <c r="C10" s="21"/>
      <c r="D10" s="35">
        <v>4</v>
      </c>
      <c r="E10" s="45">
        <v>435</v>
      </c>
      <c r="F10" s="45">
        <v>435</v>
      </c>
      <c r="G10" s="45">
        <v>0</v>
      </c>
      <c r="H10" s="45">
        <v>0</v>
      </c>
      <c r="I10" s="45"/>
      <c r="J10" s="45"/>
      <c r="K10" s="45"/>
      <c r="L10" s="45"/>
      <c r="M10" s="45" t="s">
        <v>29</v>
      </c>
      <c r="N10" s="45" t="s">
        <v>14</v>
      </c>
      <c r="O10" s="154">
        <v>45830</v>
      </c>
      <c r="P10" s="13">
        <v>3239</v>
      </c>
    </row>
    <row r="11" spans="1:21" ht="15" customHeight="1" x14ac:dyDescent="0.45">
      <c r="A11" s="51">
        <v>3240</v>
      </c>
      <c r="B11" s="21">
        <v>45821</v>
      </c>
      <c r="C11" s="21"/>
      <c r="D11" s="35">
        <v>4</v>
      </c>
      <c r="E11" s="45">
        <v>301</v>
      </c>
      <c r="F11" s="45">
        <v>301</v>
      </c>
      <c r="G11" s="45">
        <v>0</v>
      </c>
      <c r="H11" s="45">
        <v>0</v>
      </c>
      <c r="I11" s="46"/>
      <c r="J11" s="46"/>
      <c r="K11" s="46"/>
      <c r="L11" s="46"/>
      <c r="M11" s="45" t="s">
        <v>29</v>
      </c>
      <c r="N11" s="46" t="s">
        <v>14</v>
      </c>
      <c r="O11" s="154">
        <v>45821</v>
      </c>
      <c r="P11" s="13">
        <v>3240</v>
      </c>
    </row>
    <row r="12" spans="1:21" ht="15" customHeight="1" x14ac:dyDescent="0.45">
      <c r="A12" s="51">
        <v>3241</v>
      </c>
      <c r="B12" s="49">
        <v>45771</v>
      </c>
      <c r="C12" s="49"/>
      <c r="D12" s="35">
        <v>4</v>
      </c>
      <c r="E12" s="45">
        <v>205</v>
      </c>
      <c r="F12" s="45">
        <v>90</v>
      </c>
      <c r="G12" s="45">
        <v>115</v>
      </c>
      <c r="H12" s="45">
        <v>3</v>
      </c>
      <c r="I12" s="46">
        <v>45805</v>
      </c>
      <c r="J12" s="45">
        <v>115</v>
      </c>
      <c r="K12" s="45"/>
      <c r="L12" s="45"/>
      <c r="M12" s="45" t="s">
        <v>29</v>
      </c>
      <c r="N12" s="46" t="s">
        <v>14</v>
      </c>
      <c r="O12" s="155">
        <v>45805</v>
      </c>
      <c r="P12" s="13">
        <v>3241</v>
      </c>
      <c r="R12" s="8"/>
    </row>
    <row r="13" spans="1:21" ht="15" customHeight="1" x14ac:dyDescent="0.45">
      <c r="A13" s="51">
        <v>3242</v>
      </c>
      <c r="B13" s="49">
        <v>45764</v>
      </c>
      <c r="C13" s="49"/>
      <c r="D13" s="35">
        <v>4</v>
      </c>
      <c r="E13" s="45">
        <v>360</v>
      </c>
      <c r="F13" s="45">
        <v>360</v>
      </c>
      <c r="G13" s="45">
        <v>0</v>
      </c>
      <c r="H13" s="45">
        <v>0</v>
      </c>
      <c r="I13" s="45"/>
      <c r="J13" s="45"/>
      <c r="K13" s="45"/>
      <c r="L13" s="45"/>
      <c r="M13" s="45" t="s">
        <v>29</v>
      </c>
      <c r="N13" s="46" t="s">
        <v>14</v>
      </c>
      <c r="O13" s="155">
        <v>45764</v>
      </c>
      <c r="P13" s="13">
        <v>3242</v>
      </c>
    </row>
    <row r="14" spans="1:21" ht="15" customHeight="1" x14ac:dyDescent="0.45">
      <c r="A14" s="51">
        <v>3243</v>
      </c>
      <c r="B14" s="21">
        <v>45797</v>
      </c>
      <c r="C14" s="21"/>
      <c r="D14" s="35">
        <v>4</v>
      </c>
      <c r="E14" s="45">
        <v>384</v>
      </c>
      <c r="F14" s="45">
        <v>384</v>
      </c>
      <c r="G14" s="45">
        <v>0</v>
      </c>
      <c r="H14" s="45">
        <v>0</v>
      </c>
      <c r="I14" s="45"/>
      <c r="J14" s="45"/>
      <c r="K14" s="45"/>
      <c r="L14" s="45"/>
      <c r="M14" s="45" t="s">
        <v>29</v>
      </c>
      <c r="N14" s="46" t="s">
        <v>14</v>
      </c>
      <c r="O14" s="154">
        <v>45797</v>
      </c>
      <c r="P14" s="13">
        <v>3243</v>
      </c>
      <c r="R14" s="8"/>
    </row>
    <row r="15" spans="1:21" ht="15" customHeight="1" x14ac:dyDescent="0.45">
      <c r="A15" s="51">
        <v>3244</v>
      </c>
      <c r="B15" s="21">
        <v>45776</v>
      </c>
      <c r="C15" s="21"/>
      <c r="D15" s="35">
        <v>1</v>
      </c>
      <c r="E15" s="45">
        <v>213</v>
      </c>
      <c r="F15" s="45">
        <v>63</v>
      </c>
      <c r="G15" s="45">
        <v>150</v>
      </c>
      <c r="H15" s="45">
        <v>0</v>
      </c>
      <c r="I15" s="46">
        <v>45838</v>
      </c>
      <c r="J15" s="45">
        <v>105</v>
      </c>
      <c r="K15" s="45"/>
      <c r="L15" s="45"/>
      <c r="M15" s="45" t="s">
        <v>29</v>
      </c>
      <c r="N15" s="46" t="s">
        <v>14</v>
      </c>
      <c r="O15" s="154">
        <v>45809</v>
      </c>
      <c r="P15" s="13">
        <v>3244</v>
      </c>
    </row>
    <row r="16" spans="1:21" ht="15" customHeight="1" x14ac:dyDescent="0.45">
      <c r="A16" s="55">
        <v>3245</v>
      </c>
      <c r="B16" s="21">
        <v>45776</v>
      </c>
      <c r="C16" s="49" t="s">
        <v>34</v>
      </c>
      <c r="D16" s="35">
        <v>4</v>
      </c>
      <c r="E16" s="45">
        <v>105</v>
      </c>
      <c r="F16" s="45">
        <v>105</v>
      </c>
      <c r="G16" s="45">
        <v>0</v>
      </c>
      <c r="H16" s="45">
        <v>0</v>
      </c>
      <c r="I16" s="45"/>
      <c r="J16" s="45"/>
      <c r="K16" s="45"/>
      <c r="L16" s="45"/>
      <c r="M16" s="45" t="s">
        <v>29</v>
      </c>
      <c r="N16" s="46" t="s">
        <v>14</v>
      </c>
      <c r="O16" s="154">
        <v>45776</v>
      </c>
      <c r="P16" s="13">
        <v>3245</v>
      </c>
    </row>
    <row r="17" spans="1:18" ht="15" customHeight="1" x14ac:dyDescent="0.45">
      <c r="A17" s="51">
        <v>3246</v>
      </c>
      <c r="B17" s="49">
        <v>45781</v>
      </c>
      <c r="C17" s="49"/>
      <c r="D17" s="35">
        <v>4</v>
      </c>
      <c r="E17" s="48">
        <v>177</v>
      </c>
      <c r="F17" s="48">
        <v>14</v>
      </c>
      <c r="G17" s="48">
        <v>163</v>
      </c>
      <c r="H17" s="48">
        <v>3</v>
      </c>
      <c r="I17" s="59">
        <v>45833</v>
      </c>
      <c r="J17" s="48">
        <v>163</v>
      </c>
      <c r="K17" s="48"/>
      <c r="L17" s="48"/>
      <c r="M17" s="45" t="s">
        <v>29</v>
      </c>
      <c r="N17" s="48" t="s">
        <v>14</v>
      </c>
      <c r="O17" s="155">
        <v>45833</v>
      </c>
      <c r="P17" s="157">
        <v>3346</v>
      </c>
    </row>
    <row r="18" spans="1:18" ht="15" customHeight="1" x14ac:dyDescent="0.45">
      <c r="A18" s="55">
        <v>3247</v>
      </c>
      <c r="B18" s="21"/>
      <c r="C18" s="21"/>
      <c r="D18" s="35">
        <v>4</v>
      </c>
      <c r="E18" s="48">
        <v>0</v>
      </c>
      <c r="F18" s="48">
        <v>0</v>
      </c>
      <c r="G18" s="48">
        <v>0</v>
      </c>
      <c r="H18" s="48">
        <v>0</v>
      </c>
      <c r="I18" s="48"/>
      <c r="J18" s="48"/>
      <c r="K18" s="48"/>
      <c r="L18" s="48"/>
      <c r="M18" s="48"/>
      <c r="N18" s="48"/>
      <c r="O18" s="154"/>
      <c r="P18" s="157"/>
    </row>
    <row r="19" spans="1:18" ht="15" customHeight="1" x14ac:dyDescent="0.45">
      <c r="A19" s="51">
        <v>3248</v>
      </c>
      <c r="B19" s="21">
        <v>45834</v>
      </c>
      <c r="C19" s="21"/>
      <c r="D19" s="35">
        <v>4</v>
      </c>
      <c r="E19" s="45">
        <v>272</v>
      </c>
      <c r="F19" s="45">
        <v>272</v>
      </c>
      <c r="G19" s="45">
        <v>0</v>
      </c>
      <c r="H19" s="45">
        <v>0</v>
      </c>
      <c r="I19" s="45"/>
      <c r="J19" s="45"/>
      <c r="K19" s="45"/>
      <c r="L19" s="45"/>
      <c r="M19" s="45" t="s">
        <v>29</v>
      </c>
      <c r="N19" s="45" t="s">
        <v>14</v>
      </c>
      <c r="O19" s="154">
        <v>45842</v>
      </c>
      <c r="P19" s="13">
        <v>3248</v>
      </c>
    </row>
    <row r="20" spans="1:18" ht="15" customHeight="1" x14ac:dyDescent="0.45">
      <c r="A20" s="51">
        <v>3250</v>
      </c>
      <c r="B20" s="21">
        <v>45783</v>
      </c>
      <c r="C20" s="21"/>
      <c r="D20" s="35">
        <v>4</v>
      </c>
      <c r="E20" s="45">
        <v>247</v>
      </c>
      <c r="F20" s="45">
        <v>205</v>
      </c>
      <c r="G20" s="48">
        <v>42</v>
      </c>
      <c r="H20" s="45">
        <v>2</v>
      </c>
      <c r="I20" s="46">
        <v>45828</v>
      </c>
      <c r="J20" s="45">
        <v>145</v>
      </c>
      <c r="K20" s="45"/>
      <c r="L20" s="45"/>
      <c r="M20" s="45" t="s">
        <v>29</v>
      </c>
      <c r="N20" s="46" t="s">
        <v>14</v>
      </c>
      <c r="O20" s="154">
        <v>45828</v>
      </c>
      <c r="P20" s="157">
        <v>3250</v>
      </c>
    </row>
    <row r="21" spans="1:18" ht="15" customHeight="1" x14ac:dyDescent="0.45">
      <c r="A21" s="55">
        <v>3251</v>
      </c>
      <c r="B21" s="21">
        <v>45778</v>
      </c>
      <c r="C21" s="21"/>
      <c r="D21" s="35">
        <v>4</v>
      </c>
      <c r="E21" s="45">
        <v>163</v>
      </c>
      <c r="F21" s="45">
        <v>113</v>
      </c>
      <c r="G21" s="45">
        <v>50</v>
      </c>
      <c r="H21" s="45">
        <v>2</v>
      </c>
      <c r="I21" s="46">
        <v>45819</v>
      </c>
      <c r="J21" s="45">
        <v>115</v>
      </c>
      <c r="K21" s="45"/>
      <c r="L21" s="45"/>
      <c r="M21" s="45" t="s">
        <v>29</v>
      </c>
      <c r="N21" s="46" t="s">
        <v>14</v>
      </c>
      <c r="O21" s="154">
        <v>45819</v>
      </c>
      <c r="P21" s="13">
        <v>3251</v>
      </c>
    </row>
    <row r="22" spans="1:18" ht="15" customHeight="1" x14ac:dyDescent="0.45">
      <c r="A22" s="97">
        <v>3252</v>
      </c>
      <c r="B22" s="21">
        <v>45816</v>
      </c>
      <c r="C22" s="181"/>
      <c r="D22" s="35">
        <v>4</v>
      </c>
      <c r="E22" s="45">
        <v>341</v>
      </c>
      <c r="F22" s="45">
        <v>284</v>
      </c>
      <c r="G22" s="45">
        <v>57</v>
      </c>
      <c r="H22" s="45">
        <v>1</v>
      </c>
      <c r="I22" s="46">
        <v>45819</v>
      </c>
      <c r="J22" s="45">
        <v>42</v>
      </c>
      <c r="K22" s="46">
        <v>45819</v>
      </c>
      <c r="L22" s="45">
        <v>104</v>
      </c>
      <c r="M22" s="45" t="s">
        <v>29</v>
      </c>
      <c r="N22" s="46" t="s">
        <v>14</v>
      </c>
      <c r="O22" s="154">
        <v>45819</v>
      </c>
      <c r="P22" s="13">
        <v>3352</v>
      </c>
    </row>
    <row r="23" spans="1:18" ht="15" customHeight="1" x14ac:dyDescent="0.45">
      <c r="A23" s="55">
        <v>3253</v>
      </c>
      <c r="B23" s="21"/>
      <c r="C23" s="21"/>
      <c r="D23" s="35">
        <v>4</v>
      </c>
      <c r="E23" s="45">
        <v>0</v>
      </c>
      <c r="F23" s="45">
        <v>0</v>
      </c>
      <c r="G23" s="45">
        <v>0</v>
      </c>
      <c r="H23" s="45">
        <v>0</v>
      </c>
      <c r="I23" s="46"/>
      <c r="J23" s="46"/>
      <c r="K23" s="46"/>
      <c r="L23" s="46"/>
      <c r="M23" s="46"/>
      <c r="N23" s="46"/>
      <c r="O23" s="154"/>
      <c r="P23" s="13"/>
    </row>
    <row r="24" spans="1:18" ht="15" customHeight="1" x14ac:dyDescent="0.45">
      <c r="A24" s="51">
        <v>3254</v>
      </c>
      <c r="B24" s="21">
        <v>45820</v>
      </c>
      <c r="C24" s="21"/>
      <c r="D24" s="35">
        <v>4</v>
      </c>
      <c r="E24" s="45">
        <v>488</v>
      </c>
      <c r="F24" s="45">
        <v>488</v>
      </c>
      <c r="G24" s="45">
        <v>0</v>
      </c>
      <c r="H24" s="45">
        <v>0</v>
      </c>
      <c r="I24" s="46"/>
      <c r="J24" s="46"/>
      <c r="K24" s="46"/>
      <c r="L24" s="46"/>
      <c r="M24" s="46" t="s">
        <v>29</v>
      </c>
      <c r="N24" s="46" t="s">
        <v>14</v>
      </c>
      <c r="O24" s="154">
        <v>45820</v>
      </c>
      <c r="P24" s="13">
        <v>3254</v>
      </c>
    </row>
    <row r="25" spans="1:18" ht="15" customHeight="1" x14ac:dyDescent="0.45">
      <c r="A25" s="51">
        <v>3255</v>
      </c>
      <c r="B25" s="49">
        <v>45795</v>
      </c>
      <c r="C25" s="49"/>
      <c r="D25" s="35">
        <v>4</v>
      </c>
      <c r="E25" s="45">
        <v>372</v>
      </c>
      <c r="F25" s="45">
        <v>352</v>
      </c>
      <c r="G25" s="45">
        <v>0</v>
      </c>
      <c r="H25" s="45">
        <v>1</v>
      </c>
      <c r="I25" s="46">
        <v>45795</v>
      </c>
      <c r="J25" s="45">
        <v>105</v>
      </c>
      <c r="K25" s="46">
        <v>45824</v>
      </c>
      <c r="L25" s="45">
        <v>52</v>
      </c>
      <c r="M25" s="46" t="s">
        <v>29</v>
      </c>
      <c r="N25" s="46" t="s">
        <v>14</v>
      </c>
      <c r="O25" s="155">
        <v>45824</v>
      </c>
      <c r="P25" s="13">
        <v>3255</v>
      </c>
    </row>
    <row r="26" spans="1:18" ht="15" customHeight="1" x14ac:dyDescent="0.45">
      <c r="A26" s="55">
        <v>3256</v>
      </c>
      <c r="B26" s="49">
        <v>45834</v>
      </c>
      <c r="C26" s="49" t="s">
        <v>34</v>
      </c>
      <c r="D26" s="35">
        <v>4</v>
      </c>
      <c r="E26" s="45">
        <v>324</v>
      </c>
      <c r="F26" s="45">
        <v>144</v>
      </c>
      <c r="G26" s="45">
        <v>180</v>
      </c>
      <c r="H26" s="45">
        <v>2</v>
      </c>
      <c r="I26" s="46">
        <v>45841</v>
      </c>
      <c r="J26" s="45">
        <v>87</v>
      </c>
      <c r="K26" s="46">
        <v>45842</v>
      </c>
      <c r="L26" s="45">
        <v>93</v>
      </c>
      <c r="M26" s="46" t="s">
        <v>29</v>
      </c>
      <c r="N26" s="45" t="s">
        <v>14</v>
      </c>
      <c r="O26" s="155">
        <v>45842</v>
      </c>
      <c r="P26" s="13">
        <v>3256</v>
      </c>
    </row>
    <row r="27" spans="1:18" ht="15" customHeight="1" x14ac:dyDescent="0.45">
      <c r="A27" s="51">
        <v>3258</v>
      </c>
      <c r="B27" s="21">
        <v>45803</v>
      </c>
      <c r="C27" s="21"/>
      <c r="D27" s="35">
        <v>4</v>
      </c>
      <c r="E27" s="45">
        <v>190</v>
      </c>
      <c r="F27" s="45">
        <v>190</v>
      </c>
      <c r="G27" s="45">
        <v>0</v>
      </c>
      <c r="H27" s="45">
        <v>0</v>
      </c>
      <c r="I27" s="45"/>
      <c r="J27" s="45"/>
      <c r="K27" s="45"/>
      <c r="L27" s="45"/>
      <c r="M27" s="46" t="s">
        <v>29</v>
      </c>
      <c r="N27" s="46" t="s">
        <v>14</v>
      </c>
      <c r="O27" s="154">
        <v>45803</v>
      </c>
      <c r="P27" s="13">
        <v>3258</v>
      </c>
      <c r="R27" s="8"/>
    </row>
    <row r="28" spans="1:18" ht="15" customHeight="1" x14ac:dyDescent="0.45">
      <c r="A28" s="51">
        <v>3259</v>
      </c>
      <c r="B28" s="21">
        <v>45827</v>
      </c>
      <c r="C28" s="21"/>
      <c r="D28" s="35">
        <v>4</v>
      </c>
      <c r="E28" s="48">
        <v>458</v>
      </c>
      <c r="F28" s="48">
        <v>458</v>
      </c>
      <c r="G28" s="48">
        <v>0</v>
      </c>
      <c r="H28" s="48">
        <v>0</v>
      </c>
      <c r="I28" s="48"/>
      <c r="J28" s="48"/>
      <c r="K28" s="48"/>
      <c r="L28" s="48"/>
      <c r="M28" s="46" t="s">
        <v>29</v>
      </c>
      <c r="N28" s="48" t="s">
        <v>14</v>
      </c>
      <c r="O28" s="154">
        <v>45827</v>
      </c>
      <c r="P28" s="157">
        <v>3259</v>
      </c>
    </row>
    <row r="29" spans="1:18" ht="15" customHeight="1" x14ac:dyDescent="0.45">
      <c r="A29" s="55">
        <v>3260</v>
      </c>
      <c r="B29" s="21"/>
      <c r="C29" s="21"/>
      <c r="D29" s="35">
        <v>4</v>
      </c>
      <c r="E29" s="48">
        <v>0</v>
      </c>
      <c r="F29" s="48">
        <v>0</v>
      </c>
      <c r="G29" s="48">
        <v>0</v>
      </c>
      <c r="H29" s="48">
        <v>0</v>
      </c>
      <c r="I29" s="48"/>
      <c r="J29" s="48"/>
      <c r="K29" s="48"/>
      <c r="L29" s="48"/>
      <c r="M29" s="48"/>
      <c r="N29" s="48"/>
      <c r="O29" s="154"/>
      <c r="P29" s="157"/>
      <c r="R29" s="1" t="s">
        <v>25</v>
      </c>
    </row>
    <row r="30" spans="1:18" ht="15" customHeight="1" x14ac:dyDescent="0.45">
      <c r="A30" s="51">
        <v>3261</v>
      </c>
      <c r="B30" s="49">
        <v>45796</v>
      </c>
      <c r="C30" s="49"/>
      <c r="D30" s="161">
        <v>4</v>
      </c>
      <c r="E30" s="45">
        <v>195</v>
      </c>
      <c r="F30" s="45">
        <v>195</v>
      </c>
      <c r="G30" s="45">
        <v>0</v>
      </c>
      <c r="H30" s="45">
        <v>0</v>
      </c>
      <c r="I30" s="45"/>
      <c r="J30" s="45"/>
      <c r="K30" s="45"/>
      <c r="L30" s="45"/>
      <c r="M30" s="160" t="s">
        <v>29</v>
      </c>
      <c r="N30" s="160" t="s">
        <v>14</v>
      </c>
      <c r="O30" s="155">
        <v>45796</v>
      </c>
      <c r="P30" s="13">
        <v>3261</v>
      </c>
    </row>
    <row r="31" spans="1:18" ht="15" customHeight="1" x14ac:dyDescent="0.45">
      <c r="A31" s="51">
        <v>3262</v>
      </c>
      <c r="B31" s="21">
        <v>45761</v>
      </c>
      <c r="C31" s="21"/>
      <c r="D31" s="35">
        <v>4</v>
      </c>
      <c r="E31" s="45">
        <v>116</v>
      </c>
      <c r="F31" s="45">
        <v>116</v>
      </c>
      <c r="G31" s="45">
        <v>0</v>
      </c>
      <c r="H31" s="45">
        <v>0</v>
      </c>
      <c r="I31" s="45"/>
      <c r="J31" s="45"/>
      <c r="K31" s="45"/>
      <c r="L31" s="45"/>
      <c r="M31" s="160" t="s">
        <v>29</v>
      </c>
      <c r="N31" s="45" t="s">
        <v>14</v>
      </c>
      <c r="O31" s="154">
        <v>45761</v>
      </c>
      <c r="P31" s="13"/>
    </row>
    <row r="32" spans="1:18" ht="15" customHeight="1" x14ac:dyDescent="0.45">
      <c r="A32" s="51">
        <v>3263</v>
      </c>
      <c r="B32" s="21">
        <v>45762</v>
      </c>
      <c r="C32" s="21"/>
      <c r="D32" s="35">
        <v>4</v>
      </c>
      <c r="E32" s="45">
        <v>59</v>
      </c>
      <c r="F32" s="45">
        <v>59</v>
      </c>
      <c r="G32" s="45">
        <v>0</v>
      </c>
      <c r="H32" s="45">
        <v>2</v>
      </c>
      <c r="I32" s="46">
        <v>45828</v>
      </c>
      <c r="J32" s="45">
        <v>42</v>
      </c>
      <c r="K32" s="46">
        <v>45833</v>
      </c>
      <c r="L32" s="45">
        <v>39</v>
      </c>
      <c r="M32" s="160" t="s">
        <v>29</v>
      </c>
      <c r="N32" s="46" t="s">
        <v>14</v>
      </c>
      <c r="O32" s="154">
        <v>45833</v>
      </c>
      <c r="P32" s="13">
        <v>3263</v>
      </c>
    </row>
    <row r="33" spans="1:19" ht="15" customHeight="1" x14ac:dyDescent="0.45">
      <c r="A33" s="51">
        <v>3264</v>
      </c>
      <c r="B33" s="21">
        <v>45784</v>
      </c>
      <c r="C33" s="21"/>
      <c r="D33" s="35">
        <v>4</v>
      </c>
      <c r="E33" s="45">
        <v>201</v>
      </c>
      <c r="F33" s="45">
        <v>201</v>
      </c>
      <c r="G33" s="45">
        <v>0</v>
      </c>
      <c r="H33" s="45">
        <v>0</v>
      </c>
      <c r="I33" s="45"/>
      <c r="J33" s="45"/>
      <c r="K33" s="45"/>
      <c r="L33" s="45"/>
      <c r="M33" s="160" t="s">
        <v>29</v>
      </c>
      <c r="N33" s="46" t="s">
        <v>14</v>
      </c>
      <c r="O33" s="154">
        <v>45784</v>
      </c>
      <c r="P33" s="13">
        <v>3264</v>
      </c>
    </row>
    <row r="34" spans="1:19" ht="15" customHeight="1" x14ac:dyDescent="0.45">
      <c r="A34" s="51">
        <v>3265</v>
      </c>
      <c r="B34" s="21">
        <v>45823</v>
      </c>
      <c r="C34" s="21"/>
      <c r="D34" s="35">
        <v>4</v>
      </c>
      <c r="E34" s="45">
        <v>430</v>
      </c>
      <c r="F34" s="45">
        <v>359</v>
      </c>
      <c r="G34" s="45">
        <v>71</v>
      </c>
      <c r="H34" s="45">
        <v>0</v>
      </c>
      <c r="I34" s="45"/>
      <c r="J34" s="45"/>
      <c r="K34" s="45"/>
      <c r="L34" s="45"/>
      <c r="M34" s="160" t="s">
        <v>29</v>
      </c>
      <c r="N34" s="45" t="s">
        <v>14</v>
      </c>
      <c r="O34" s="154">
        <v>45823</v>
      </c>
      <c r="P34" s="13">
        <v>3265</v>
      </c>
    </row>
    <row r="35" spans="1:19" ht="15" customHeight="1" x14ac:dyDescent="0.45">
      <c r="A35" s="97">
        <v>3266</v>
      </c>
      <c r="B35" s="21">
        <v>45778</v>
      </c>
      <c r="C35" s="21"/>
      <c r="D35" s="35">
        <v>4</v>
      </c>
      <c r="E35" s="45">
        <v>167</v>
      </c>
      <c r="F35" s="45">
        <v>167</v>
      </c>
      <c r="G35" s="45">
        <v>0</v>
      </c>
      <c r="H35" s="45">
        <v>0</v>
      </c>
      <c r="I35" s="45"/>
      <c r="J35" s="45"/>
      <c r="K35" s="45"/>
      <c r="L35" s="45"/>
      <c r="M35" s="160" t="s">
        <v>29</v>
      </c>
      <c r="N35" s="46" t="s">
        <v>14</v>
      </c>
      <c r="O35" s="154">
        <v>45778</v>
      </c>
      <c r="P35" s="13">
        <v>3266</v>
      </c>
    </row>
    <row r="36" spans="1:19" ht="15" customHeight="1" x14ac:dyDescent="0.45">
      <c r="A36" s="55">
        <v>3267</v>
      </c>
      <c r="B36" s="21">
        <v>45776</v>
      </c>
      <c r="C36" s="49" t="s">
        <v>34</v>
      </c>
      <c r="D36" s="35">
        <v>3</v>
      </c>
      <c r="E36" s="45">
        <v>177</v>
      </c>
      <c r="F36" s="45">
        <v>173</v>
      </c>
      <c r="G36" s="45">
        <v>4</v>
      </c>
      <c r="H36" s="45">
        <v>1</v>
      </c>
      <c r="I36" s="45"/>
      <c r="J36" s="45"/>
      <c r="K36" s="45"/>
      <c r="L36" s="45"/>
      <c r="M36" s="160" t="s">
        <v>29</v>
      </c>
      <c r="N36" s="46" t="s">
        <v>14</v>
      </c>
      <c r="O36" s="154"/>
      <c r="P36" s="13"/>
    </row>
    <row r="37" spans="1:19" ht="15" customHeight="1" x14ac:dyDescent="0.45">
      <c r="A37" s="51">
        <v>3299</v>
      </c>
      <c r="B37" s="21">
        <v>45788</v>
      </c>
      <c r="C37" s="21"/>
      <c r="D37" s="35">
        <v>4</v>
      </c>
      <c r="E37" s="45">
        <v>123</v>
      </c>
      <c r="F37" s="45">
        <v>123</v>
      </c>
      <c r="G37" s="45">
        <v>0</v>
      </c>
      <c r="H37" s="45">
        <v>2</v>
      </c>
      <c r="I37" s="46">
        <v>45820</v>
      </c>
      <c r="J37" s="45">
        <v>35</v>
      </c>
      <c r="K37" s="45"/>
      <c r="L37" s="45"/>
      <c r="M37" s="160" t="s">
        <v>29</v>
      </c>
      <c r="N37" s="46" t="s">
        <v>14</v>
      </c>
      <c r="O37" s="154">
        <v>45820</v>
      </c>
      <c r="P37" s="13">
        <v>3299</v>
      </c>
    </row>
    <row r="38" spans="1:19" ht="15" customHeight="1" x14ac:dyDescent="0.45">
      <c r="A38" s="51">
        <v>3531</v>
      </c>
      <c r="B38" s="49">
        <v>45790</v>
      </c>
      <c r="C38" s="49"/>
      <c r="D38" s="35">
        <v>3</v>
      </c>
      <c r="E38" s="45">
        <v>146</v>
      </c>
      <c r="F38" s="45">
        <v>105</v>
      </c>
      <c r="G38" s="45">
        <v>41</v>
      </c>
      <c r="H38" s="45">
        <v>2</v>
      </c>
      <c r="I38" s="46">
        <v>45832</v>
      </c>
      <c r="J38" s="45">
        <v>473</v>
      </c>
      <c r="K38" s="45"/>
      <c r="L38" s="45"/>
      <c r="M38" s="160" t="s">
        <v>29</v>
      </c>
      <c r="N38" s="48" t="s">
        <v>14</v>
      </c>
      <c r="O38" s="155">
        <v>45832</v>
      </c>
      <c r="P38" s="157">
        <v>3431</v>
      </c>
    </row>
    <row r="39" spans="1:19" ht="15" customHeight="1" x14ac:dyDescent="0.45">
      <c r="A39" s="55">
        <v>3532</v>
      </c>
      <c r="B39" s="49"/>
      <c r="C39" s="49"/>
      <c r="D39" s="35">
        <v>3</v>
      </c>
      <c r="E39" s="45">
        <v>0</v>
      </c>
      <c r="F39" s="45">
        <v>0</v>
      </c>
      <c r="G39" s="45">
        <v>0</v>
      </c>
      <c r="H39" s="45">
        <v>0</v>
      </c>
      <c r="I39" s="45"/>
      <c r="J39" s="45"/>
      <c r="K39" s="45"/>
      <c r="L39" s="45"/>
      <c r="M39" s="46"/>
      <c r="N39" s="46"/>
      <c r="O39" s="155"/>
      <c r="P39" s="70"/>
    </row>
    <row r="40" spans="1:19" ht="15" customHeight="1" x14ac:dyDescent="0.45">
      <c r="A40" s="55">
        <v>3533</v>
      </c>
      <c r="B40" s="21"/>
      <c r="C40" s="21"/>
      <c r="D40" s="35">
        <v>3</v>
      </c>
      <c r="E40" s="45">
        <v>0</v>
      </c>
      <c r="F40" s="45">
        <v>0</v>
      </c>
      <c r="G40" s="45">
        <v>0</v>
      </c>
      <c r="H40" s="45">
        <v>0</v>
      </c>
      <c r="I40" s="45"/>
      <c r="J40" s="45"/>
      <c r="K40" s="45"/>
      <c r="L40" s="45"/>
      <c r="M40" s="46"/>
      <c r="N40" s="46"/>
      <c r="O40" s="154"/>
      <c r="P40" s="70"/>
      <c r="S40" s="9"/>
    </row>
    <row r="41" spans="1:19" ht="15" customHeight="1" x14ac:dyDescent="0.45">
      <c r="A41" s="55">
        <v>3534</v>
      </c>
      <c r="B41" s="21">
        <v>45840</v>
      </c>
      <c r="C41" s="49" t="s">
        <v>34</v>
      </c>
      <c r="D41" s="35">
        <v>3</v>
      </c>
      <c r="E41" s="45">
        <v>0</v>
      </c>
      <c r="F41" s="45">
        <v>0</v>
      </c>
      <c r="G41" s="45">
        <v>0</v>
      </c>
      <c r="H41" s="45">
        <v>0</v>
      </c>
      <c r="I41" s="45"/>
      <c r="J41" s="45"/>
      <c r="K41" s="45"/>
      <c r="L41" s="45"/>
      <c r="M41" s="46" t="s">
        <v>29</v>
      </c>
      <c r="N41" s="46" t="s">
        <v>14</v>
      </c>
      <c r="O41" s="154">
        <v>45840</v>
      </c>
      <c r="P41" s="70"/>
    </row>
    <row r="42" spans="1:19" ht="15" customHeight="1" x14ac:dyDescent="0.45">
      <c r="A42" s="51">
        <v>3535</v>
      </c>
      <c r="B42" s="21">
        <v>45834</v>
      </c>
      <c r="C42" s="21"/>
      <c r="D42" s="35">
        <v>2</v>
      </c>
      <c r="E42" s="45">
        <v>158</v>
      </c>
      <c r="F42" s="45">
        <v>158</v>
      </c>
      <c r="G42" s="45">
        <v>0</v>
      </c>
      <c r="H42" s="45">
        <v>1</v>
      </c>
      <c r="I42" s="46">
        <v>45839</v>
      </c>
      <c r="J42" s="45">
        <v>40</v>
      </c>
      <c r="K42" s="45"/>
      <c r="L42" s="45"/>
      <c r="M42" s="46" t="s">
        <v>29</v>
      </c>
      <c r="N42" s="48" t="s">
        <v>14</v>
      </c>
      <c r="O42" s="154">
        <v>45834</v>
      </c>
      <c r="P42" s="157">
        <v>3535</v>
      </c>
    </row>
    <row r="43" spans="1:19" ht="15" customHeight="1" x14ac:dyDescent="0.45">
      <c r="A43" s="178">
        <v>3536</v>
      </c>
      <c r="B43" s="21">
        <v>45804</v>
      </c>
      <c r="C43" s="49"/>
      <c r="D43" s="35">
        <v>3</v>
      </c>
      <c r="E43" s="45">
        <v>276</v>
      </c>
      <c r="F43" s="45">
        <v>276</v>
      </c>
      <c r="G43" s="45">
        <v>0</v>
      </c>
      <c r="H43" s="45">
        <v>0</v>
      </c>
      <c r="I43" s="45"/>
      <c r="J43" s="45"/>
      <c r="K43" s="45"/>
      <c r="L43" s="45"/>
      <c r="M43" s="46" t="s">
        <v>29</v>
      </c>
      <c r="N43" s="45" t="s">
        <v>14</v>
      </c>
      <c r="O43" s="154">
        <v>45804</v>
      </c>
      <c r="P43" s="13">
        <v>3536</v>
      </c>
    </row>
    <row r="44" spans="1:19" ht="15" customHeight="1" x14ac:dyDescent="0.45">
      <c r="A44" s="51">
        <v>3537</v>
      </c>
      <c r="B44" s="21">
        <v>45810</v>
      </c>
      <c r="C44" s="21"/>
      <c r="D44" s="35">
        <v>3</v>
      </c>
      <c r="E44" s="45">
        <v>188</v>
      </c>
      <c r="F44" s="45">
        <v>95</v>
      </c>
      <c r="G44" s="45">
        <v>93</v>
      </c>
      <c r="H44" s="45">
        <v>2</v>
      </c>
      <c r="I44" s="46">
        <v>45824</v>
      </c>
      <c r="J44" s="45">
        <v>144</v>
      </c>
      <c r="K44" s="45"/>
      <c r="L44" s="45"/>
      <c r="M44" s="46" t="s">
        <v>29</v>
      </c>
      <c r="N44" s="46" t="s">
        <v>14</v>
      </c>
      <c r="O44" s="154">
        <v>45824</v>
      </c>
      <c r="P44" s="13">
        <v>3437</v>
      </c>
    </row>
    <row r="45" spans="1:19" ht="15" customHeight="1" x14ac:dyDescent="0.45">
      <c r="A45" s="51">
        <v>3538</v>
      </c>
      <c r="B45" s="21">
        <v>45777</v>
      </c>
      <c r="C45" s="21"/>
      <c r="D45" s="35">
        <v>3</v>
      </c>
      <c r="E45" s="45">
        <v>265</v>
      </c>
      <c r="F45" s="45">
        <v>195</v>
      </c>
      <c r="G45" s="45">
        <v>70</v>
      </c>
      <c r="H45" s="45">
        <v>1</v>
      </c>
      <c r="I45" s="46">
        <v>45840</v>
      </c>
      <c r="J45" s="45">
        <v>55</v>
      </c>
      <c r="K45" s="45"/>
      <c r="L45" s="45"/>
      <c r="M45" s="46" t="s">
        <v>29</v>
      </c>
      <c r="N45" s="46" t="s">
        <v>14</v>
      </c>
      <c r="O45" s="154">
        <v>45777</v>
      </c>
      <c r="P45" s="157">
        <v>3538</v>
      </c>
    </row>
    <row r="46" spans="1:19" ht="15" customHeight="1" x14ac:dyDescent="0.45">
      <c r="A46" s="55">
        <v>3540</v>
      </c>
      <c r="B46" s="49">
        <v>45769</v>
      </c>
      <c r="C46" s="49" t="s">
        <v>34</v>
      </c>
      <c r="D46" s="35">
        <v>3</v>
      </c>
      <c r="E46" s="45">
        <v>30</v>
      </c>
      <c r="F46" s="45">
        <v>30</v>
      </c>
      <c r="G46" s="45">
        <v>0</v>
      </c>
      <c r="H46" s="45">
        <v>2</v>
      </c>
      <c r="I46" s="46">
        <v>45844</v>
      </c>
      <c r="J46" s="45">
        <v>162</v>
      </c>
      <c r="K46" s="45"/>
      <c r="L46" s="45"/>
      <c r="M46" s="46" t="s">
        <v>29</v>
      </c>
      <c r="N46" s="48" t="s">
        <v>14</v>
      </c>
      <c r="O46" s="155">
        <v>45844</v>
      </c>
      <c r="P46" s="157">
        <v>3540</v>
      </c>
    </row>
    <row r="47" spans="1:19" ht="15" customHeight="1" x14ac:dyDescent="0.45">
      <c r="A47" s="51">
        <v>3541</v>
      </c>
      <c r="B47" s="49">
        <v>45774</v>
      </c>
      <c r="C47" s="49"/>
      <c r="D47" s="35">
        <v>3</v>
      </c>
      <c r="E47" s="45">
        <v>356</v>
      </c>
      <c r="F47" s="45">
        <v>356</v>
      </c>
      <c r="G47" s="45">
        <v>0</v>
      </c>
      <c r="H47" s="45">
        <v>0</v>
      </c>
      <c r="I47" s="45"/>
      <c r="J47" s="45"/>
      <c r="K47" s="45"/>
      <c r="L47" s="45"/>
      <c r="M47" s="46" t="s">
        <v>29</v>
      </c>
      <c r="N47" s="48" t="s">
        <v>14</v>
      </c>
      <c r="O47" s="155" t="s">
        <v>20</v>
      </c>
      <c r="P47" s="157">
        <v>3541</v>
      </c>
    </row>
    <row r="48" spans="1:19" ht="15" customHeight="1" x14ac:dyDescent="0.45">
      <c r="A48" s="51">
        <v>3542</v>
      </c>
      <c r="B48" s="21">
        <v>45764</v>
      </c>
      <c r="C48" s="21"/>
      <c r="D48" s="35">
        <v>3</v>
      </c>
      <c r="E48" s="45">
        <v>283</v>
      </c>
      <c r="F48" s="45">
        <v>283</v>
      </c>
      <c r="G48" s="45">
        <v>0</v>
      </c>
      <c r="H48" s="45">
        <v>0</v>
      </c>
      <c r="I48" s="45"/>
      <c r="J48" s="45"/>
      <c r="K48" s="45"/>
      <c r="L48" s="45"/>
      <c r="M48" s="46" t="s">
        <v>29</v>
      </c>
      <c r="N48" s="46" t="s">
        <v>14</v>
      </c>
      <c r="O48" s="154">
        <v>45764</v>
      </c>
      <c r="P48" s="13">
        <v>3542</v>
      </c>
    </row>
    <row r="49" spans="1:16" ht="15" customHeight="1" x14ac:dyDescent="0.45">
      <c r="A49" s="51">
        <v>3543</v>
      </c>
      <c r="B49" s="60" t="s">
        <v>28</v>
      </c>
      <c r="C49" s="60"/>
      <c r="D49" s="35">
        <v>3</v>
      </c>
      <c r="E49" s="45">
        <v>61</v>
      </c>
      <c r="F49" s="45">
        <v>61</v>
      </c>
      <c r="G49" s="45">
        <v>13</v>
      </c>
      <c r="H49" s="45">
        <v>2</v>
      </c>
      <c r="I49" s="46">
        <v>45812</v>
      </c>
      <c r="J49" s="45">
        <v>13</v>
      </c>
      <c r="K49" s="45"/>
      <c r="L49" s="45"/>
      <c r="M49" s="46" t="s">
        <v>29</v>
      </c>
      <c r="N49" s="46" t="s">
        <v>14</v>
      </c>
      <c r="O49" s="158" t="s">
        <v>21</v>
      </c>
      <c r="P49" s="13">
        <v>3543</v>
      </c>
    </row>
    <row r="50" spans="1:16" ht="15" customHeight="1" x14ac:dyDescent="0.45">
      <c r="A50" s="55">
        <v>3544</v>
      </c>
      <c r="B50" s="49">
        <v>45769</v>
      </c>
      <c r="C50" s="49" t="s">
        <v>34</v>
      </c>
      <c r="D50" s="35">
        <v>3</v>
      </c>
      <c r="E50" s="45">
        <v>265</v>
      </c>
      <c r="F50" s="45">
        <v>220</v>
      </c>
      <c r="G50" s="45">
        <v>45</v>
      </c>
      <c r="H50" s="45">
        <v>1</v>
      </c>
      <c r="I50" s="46">
        <v>45817</v>
      </c>
      <c r="J50" s="45">
        <v>97</v>
      </c>
      <c r="K50" s="46">
        <v>45819</v>
      </c>
      <c r="L50" s="45">
        <v>12</v>
      </c>
      <c r="M50" s="46" t="s">
        <v>29</v>
      </c>
      <c r="N50" s="45" t="s">
        <v>14</v>
      </c>
      <c r="O50" s="154">
        <v>45819</v>
      </c>
      <c r="P50" s="13">
        <v>3544</v>
      </c>
    </row>
    <row r="51" spans="1:16" ht="15" customHeight="1" x14ac:dyDescent="0.45">
      <c r="A51" s="51">
        <v>3545</v>
      </c>
      <c r="B51" s="49">
        <v>45783</v>
      </c>
      <c r="C51" s="49"/>
      <c r="D51" s="35">
        <v>3</v>
      </c>
      <c r="E51" s="45">
        <v>141</v>
      </c>
      <c r="F51" s="45">
        <v>141</v>
      </c>
      <c r="G51" s="45">
        <v>0</v>
      </c>
      <c r="H51" s="45">
        <v>0</v>
      </c>
      <c r="I51" s="45"/>
      <c r="J51" s="45"/>
      <c r="K51" s="45"/>
      <c r="L51" s="45"/>
      <c r="M51" s="46" t="s">
        <v>29</v>
      </c>
      <c r="N51" s="45" t="s">
        <v>14</v>
      </c>
      <c r="O51" s="154">
        <v>45783</v>
      </c>
      <c r="P51" s="13">
        <v>3545</v>
      </c>
    </row>
    <row r="52" spans="1:16" ht="15" customHeight="1" x14ac:dyDescent="0.45">
      <c r="A52" s="51">
        <v>3546</v>
      </c>
      <c r="B52" s="21">
        <v>45812</v>
      </c>
      <c r="C52" s="21"/>
      <c r="D52" s="35">
        <v>3</v>
      </c>
      <c r="E52" s="48">
        <v>235</v>
      </c>
      <c r="F52" s="48">
        <v>95</v>
      </c>
      <c r="G52" s="48">
        <v>140</v>
      </c>
      <c r="H52" s="48">
        <v>2</v>
      </c>
      <c r="I52" s="46">
        <v>45827</v>
      </c>
      <c r="J52" s="48">
        <v>240</v>
      </c>
      <c r="K52" s="48"/>
      <c r="L52" s="48"/>
      <c r="M52" s="46" t="s">
        <v>29</v>
      </c>
      <c r="N52" s="48" t="s">
        <v>14</v>
      </c>
      <c r="O52" s="155">
        <v>45812</v>
      </c>
      <c r="P52" s="157">
        <v>3546</v>
      </c>
    </row>
    <row r="53" spans="1:16" ht="15" customHeight="1" x14ac:dyDescent="0.45">
      <c r="A53" s="51">
        <v>3547</v>
      </c>
      <c r="B53" s="21">
        <v>45782</v>
      </c>
      <c r="C53" s="21"/>
      <c r="D53" s="35">
        <v>3</v>
      </c>
      <c r="E53" s="45">
        <v>315</v>
      </c>
      <c r="F53" s="45">
        <v>315</v>
      </c>
      <c r="G53" s="45">
        <v>0</v>
      </c>
      <c r="H53" s="45">
        <v>0</v>
      </c>
      <c r="I53" s="45"/>
      <c r="J53" s="45"/>
      <c r="K53" s="45"/>
      <c r="L53" s="45"/>
      <c r="M53" s="46" t="s">
        <v>29</v>
      </c>
      <c r="N53" s="45" t="s">
        <v>14</v>
      </c>
      <c r="O53" s="154">
        <v>45782</v>
      </c>
      <c r="P53" s="13">
        <v>3547</v>
      </c>
    </row>
    <row r="54" spans="1:16" ht="15" customHeight="1" x14ac:dyDescent="0.45">
      <c r="A54" s="51">
        <v>3548</v>
      </c>
      <c r="B54" s="21">
        <v>45768</v>
      </c>
      <c r="C54" s="21"/>
      <c r="D54" s="35">
        <v>3</v>
      </c>
      <c r="E54" s="45">
        <v>276</v>
      </c>
      <c r="F54" s="45">
        <v>276</v>
      </c>
      <c r="G54" s="45">
        <v>0</v>
      </c>
      <c r="H54" s="45">
        <v>0</v>
      </c>
      <c r="I54" s="45"/>
      <c r="J54" s="45"/>
      <c r="K54" s="45"/>
      <c r="L54" s="45"/>
      <c r="M54" s="46" t="s">
        <v>29</v>
      </c>
      <c r="N54" s="45" t="s">
        <v>14</v>
      </c>
      <c r="O54" s="154">
        <v>45768</v>
      </c>
      <c r="P54" s="13">
        <v>3548</v>
      </c>
    </row>
    <row r="55" spans="1:16" ht="15" customHeight="1" x14ac:dyDescent="0.45">
      <c r="A55" s="51">
        <v>3549</v>
      </c>
      <c r="B55" s="21">
        <v>45771</v>
      </c>
      <c r="C55" s="21"/>
      <c r="D55" s="35">
        <v>3</v>
      </c>
      <c r="E55" s="45">
        <v>210</v>
      </c>
      <c r="F55" s="45">
        <v>135</v>
      </c>
      <c r="G55" s="45">
        <v>75</v>
      </c>
      <c r="H55" s="45">
        <v>2</v>
      </c>
      <c r="I55" s="46">
        <v>45794</v>
      </c>
      <c r="J55" s="45">
        <v>61</v>
      </c>
      <c r="K55" s="46">
        <v>45838</v>
      </c>
      <c r="L55" s="45">
        <v>115</v>
      </c>
      <c r="M55" s="46" t="s">
        <v>29</v>
      </c>
      <c r="N55" s="45" t="s">
        <v>14</v>
      </c>
      <c r="O55" s="154">
        <v>45794</v>
      </c>
      <c r="P55" s="13">
        <v>3549</v>
      </c>
    </row>
    <row r="56" spans="1:16" ht="15" customHeight="1" x14ac:dyDescent="0.45">
      <c r="A56" s="51">
        <v>3550</v>
      </c>
      <c r="B56" s="21">
        <v>45819</v>
      </c>
      <c r="C56" s="21"/>
      <c r="D56" s="35">
        <v>3</v>
      </c>
      <c r="E56" s="45">
        <v>466</v>
      </c>
      <c r="F56" s="45">
        <v>398</v>
      </c>
      <c r="G56" s="45">
        <v>68</v>
      </c>
      <c r="H56" s="45">
        <v>2</v>
      </c>
      <c r="I56" s="46">
        <v>45842</v>
      </c>
      <c r="J56" s="45">
        <v>48</v>
      </c>
      <c r="K56" s="45"/>
      <c r="L56" s="45"/>
      <c r="M56" s="46" t="s">
        <v>29</v>
      </c>
      <c r="N56" s="45" t="s">
        <v>14</v>
      </c>
      <c r="O56" s="154">
        <v>45819</v>
      </c>
      <c r="P56" s="13">
        <v>3550</v>
      </c>
    </row>
    <row r="57" spans="1:16" ht="15" customHeight="1" x14ac:dyDescent="0.45">
      <c r="A57" s="55">
        <v>3551</v>
      </c>
      <c r="B57" s="21">
        <v>45799</v>
      </c>
      <c r="C57" s="49" t="s">
        <v>34</v>
      </c>
      <c r="D57" s="35">
        <v>3</v>
      </c>
      <c r="E57" s="45">
        <v>192</v>
      </c>
      <c r="F57" s="45">
        <v>192</v>
      </c>
      <c r="G57" s="45">
        <v>0</v>
      </c>
      <c r="H57" s="45">
        <v>0</v>
      </c>
      <c r="I57" s="45"/>
      <c r="J57" s="45"/>
      <c r="K57" s="45"/>
      <c r="L57" s="45"/>
      <c r="M57" s="46" t="s">
        <v>29</v>
      </c>
      <c r="N57" s="45" t="s">
        <v>14</v>
      </c>
      <c r="O57" s="154">
        <v>45799</v>
      </c>
      <c r="P57" s="13">
        <v>3551</v>
      </c>
    </row>
    <row r="58" spans="1:16" ht="15" customHeight="1" x14ac:dyDescent="0.45">
      <c r="A58" s="51">
        <v>3552</v>
      </c>
      <c r="B58" s="49">
        <v>45824</v>
      </c>
      <c r="C58" s="49"/>
      <c r="D58" s="35">
        <v>3</v>
      </c>
      <c r="E58" s="45">
        <v>422</v>
      </c>
      <c r="F58" s="45">
        <v>386</v>
      </c>
      <c r="G58" s="45">
        <v>36</v>
      </c>
      <c r="H58" s="45">
        <v>2</v>
      </c>
      <c r="I58" s="95">
        <v>45856</v>
      </c>
      <c r="J58" s="45">
        <v>48</v>
      </c>
      <c r="K58" s="45"/>
      <c r="L58" s="45"/>
      <c r="M58" s="46" t="s">
        <v>29</v>
      </c>
      <c r="N58" s="45" t="s">
        <v>14</v>
      </c>
      <c r="O58" s="154">
        <v>45856</v>
      </c>
      <c r="P58" s="13">
        <v>3552</v>
      </c>
    </row>
    <row r="59" spans="1:16" ht="15" customHeight="1" x14ac:dyDescent="0.45">
      <c r="A59" s="51">
        <v>3553</v>
      </c>
      <c r="B59" s="49">
        <v>45762</v>
      </c>
      <c r="C59" s="49"/>
      <c r="D59" s="35">
        <v>3</v>
      </c>
      <c r="E59" s="45">
        <v>281</v>
      </c>
      <c r="F59" s="45">
        <v>122</v>
      </c>
      <c r="G59" s="45">
        <v>159</v>
      </c>
      <c r="H59" s="45">
        <v>2</v>
      </c>
      <c r="I59" s="46">
        <v>45835</v>
      </c>
      <c r="J59" s="45">
        <v>351</v>
      </c>
      <c r="K59" s="45"/>
      <c r="L59" s="45"/>
      <c r="M59" s="46" t="s">
        <v>29</v>
      </c>
      <c r="N59" s="45" t="s">
        <v>14</v>
      </c>
      <c r="O59" s="154">
        <v>45835</v>
      </c>
      <c r="P59" s="13">
        <v>3553</v>
      </c>
    </row>
    <row r="60" spans="1:16" ht="15" customHeight="1" x14ac:dyDescent="0.45">
      <c r="A60" s="55">
        <v>3554</v>
      </c>
      <c r="B60" s="21">
        <v>45781</v>
      </c>
      <c r="C60" s="49" t="s">
        <v>34</v>
      </c>
      <c r="D60" s="35">
        <v>3</v>
      </c>
      <c r="E60" s="48">
        <v>219</v>
      </c>
      <c r="F60" s="48">
        <v>219</v>
      </c>
      <c r="G60" s="48">
        <v>0</v>
      </c>
      <c r="H60" s="48">
        <v>0</v>
      </c>
      <c r="I60" s="48"/>
      <c r="J60" s="48"/>
      <c r="K60" s="48"/>
      <c r="L60" s="48"/>
      <c r="M60" s="46" t="s">
        <v>29</v>
      </c>
      <c r="N60" s="48" t="s">
        <v>14</v>
      </c>
      <c r="O60" s="155">
        <v>45781</v>
      </c>
      <c r="P60" s="157">
        <v>3554</v>
      </c>
    </row>
    <row r="61" spans="1:16" ht="15" customHeight="1" x14ac:dyDescent="0.45">
      <c r="A61" s="51">
        <v>3555</v>
      </c>
      <c r="B61" s="49">
        <v>45825</v>
      </c>
      <c r="C61" s="49"/>
      <c r="D61" s="35">
        <v>3</v>
      </c>
      <c r="E61" s="48">
        <v>352</v>
      </c>
      <c r="F61" s="48">
        <v>352</v>
      </c>
      <c r="G61" s="48">
        <v>0</v>
      </c>
      <c r="H61" s="48">
        <v>0</v>
      </c>
      <c r="I61" s="48"/>
      <c r="J61" s="48"/>
      <c r="K61" s="48"/>
      <c r="L61" s="48"/>
      <c r="M61" s="46" t="s">
        <v>29</v>
      </c>
      <c r="N61" s="48" t="s">
        <v>14</v>
      </c>
      <c r="O61" s="155">
        <v>45781</v>
      </c>
      <c r="P61" s="157">
        <v>3555</v>
      </c>
    </row>
    <row r="62" spans="1:16" ht="15" customHeight="1" x14ac:dyDescent="0.45">
      <c r="A62" s="51">
        <v>3556</v>
      </c>
      <c r="B62" s="21">
        <v>45823</v>
      </c>
      <c r="C62" s="21"/>
      <c r="D62" s="35">
        <v>1</v>
      </c>
      <c r="E62" s="45">
        <v>13</v>
      </c>
      <c r="F62" s="45">
        <v>0</v>
      </c>
      <c r="G62" s="45">
        <v>0</v>
      </c>
      <c r="H62" s="45">
        <v>1</v>
      </c>
      <c r="I62" s="46">
        <v>45848</v>
      </c>
      <c r="J62" s="45">
        <v>8</v>
      </c>
      <c r="K62" s="45"/>
      <c r="L62" s="45"/>
      <c r="M62" s="46" t="s">
        <v>29</v>
      </c>
      <c r="N62" s="45" t="s">
        <v>14</v>
      </c>
      <c r="O62" s="154">
        <v>45823</v>
      </c>
      <c r="P62" s="13">
        <v>3556</v>
      </c>
    </row>
    <row r="63" spans="1:16" ht="15" customHeight="1" x14ac:dyDescent="0.45">
      <c r="A63" s="51">
        <v>3557</v>
      </c>
      <c r="B63" s="60" t="s">
        <v>28</v>
      </c>
      <c r="C63" s="60"/>
      <c r="D63" s="35">
        <v>3</v>
      </c>
      <c r="E63" s="48">
        <v>97</v>
      </c>
      <c r="F63" s="48">
        <v>97</v>
      </c>
      <c r="G63" s="48">
        <v>0</v>
      </c>
      <c r="H63" s="48">
        <v>0</v>
      </c>
      <c r="I63" s="48"/>
      <c r="J63" s="48"/>
      <c r="K63" s="48"/>
      <c r="L63" s="48"/>
      <c r="M63" s="46" t="s">
        <v>29</v>
      </c>
      <c r="N63" s="48" t="s">
        <v>14</v>
      </c>
      <c r="O63" s="158" t="s">
        <v>28</v>
      </c>
      <c r="P63" s="157">
        <v>3557</v>
      </c>
    </row>
    <row r="64" spans="1:16" ht="15" customHeight="1" x14ac:dyDescent="0.45">
      <c r="A64" s="51">
        <v>3558</v>
      </c>
      <c r="B64" s="49">
        <v>45763</v>
      </c>
      <c r="C64" s="49"/>
      <c r="D64" s="35">
        <v>3</v>
      </c>
      <c r="E64" s="45">
        <v>302</v>
      </c>
      <c r="F64" s="45">
        <v>145</v>
      </c>
      <c r="G64" s="45">
        <v>157</v>
      </c>
      <c r="H64" s="45">
        <v>2</v>
      </c>
      <c r="I64" s="46">
        <v>45830</v>
      </c>
      <c r="J64" s="45">
        <v>116</v>
      </c>
      <c r="K64" s="46">
        <v>45831</v>
      </c>
      <c r="L64" s="45">
        <v>226</v>
      </c>
      <c r="M64" s="46" t="s">
        <v>29</v>
      </c>
      <c r="N64" s="46" t="s">
        <v>14</v>
      </c>
      <c r="O64" s="154">
        <v>45831</v>
      </c>
      <c r="P64" s="13">
        <v>3558</v>
      </c>
    </row>
    <row r="65" spans="1:16" ht="15" customHeight="1" x14ac:dyDescent="0.45">
      <c r="A65" s="51">
        <v>3559</v>
      </c>
      <c r="B65" s="21">
        <v>45761</v>
      </c>
      <c r="C65" s="21"/>
      <c r="D65" s="35">
        <v>3</v>
      </c>
      <c r="E65" s="45">
        <v>202</v>
      </c>
      <c r="F65" s="45">
        <v>108</v>
      </c>
      <c r="G65" s="45">
        <v>94</v>
      </c>
      <c r="H65" s="45">
        <v>1</v>
      </c>
      <c r="I65" s="46">
        <v>45823</v>
      </c>
      <c r="J65" s="45">
        <v>97</v>
      </c>
      <c r="K65" s="45"/>
      <c r="L65" s="45"/>
      <c r="M65" s="46" t="s">
        <v>29</v>
      </c>
      <c r="N65" s="45" t="s">
        <v>14</v>
      </c>
      <c r="O65" s="154" t="s">
        <v>24</v>
      </c>
      <c r="P65" s="13">
        <v>3559</v>
      </c>
    </row>
    <row r="66" spans="1:16" ht="15" customHeight="1" x14ac:dyDescent="0.45">
      <c r="A66" s="51">
        <v>3560</v>
      </c>
      <c r="B66" s="21">
        <v>45798</v>
      </c>
      <c r="C66" s="21"/>
      <c r="D66" s="35">
        <v>3</v>
      </c>
      <c r="E66" s="45">
        <v>237</v>
      </c>
      <c r="F66" s="45">
        <v>237</v>
      </c>
      <c r="G66" s="45">
        <v>0</v>
      </c>
      <c r="H66" s="45">
        <v>0</v>
      </c>
      <c r="I66" s="45"/>
      <c r="J66" s="45"/>
      <c r="K66" s="45"/>
      <c r="L66" s="45"/>
      <c r="M66" s="46" t="s">
        <v>29</v>
      </c>
      <c r="N66" s="46" t="s">
        <v>14</v>
      </c>
      <c r="O66" s="155">
        <v>45798</v>
      </c>
      <c r="P66" s="13">
        <v>3560</v>
      </c>
    </row>
    <row r="67" spans="1:16" ht="15" customHeight="1" x14ac:dyDescent="0.45">
      <c r="A67" s="51">
        <v>3561</v>
      </c>
      <c r="B67" s="21">
        <v>45792</v>
      </c>
      <c r="C67" s="21"/>
      <c r="D67" s="35">
        <v>3</v>
      </c>
      <c r="E67" s="45">
        <v>267</v>
      </c>
      <c r="F67" s="45">
        <v>95</v>
      </c>
      <c r="G67" s="45">
        <v>172</v>
      </c>
      <c r="H67" s="45">
        <v>2</v>
      </c>
      <c r="I67" s="46">
        <v>45809</v>
      </c>
      <c r="J67" s="45">
        <v>172</v>
      </c>
      <c r="K67" s="45"/>
      <c r="L67" s="45"/>
      <c r="M67" s="46" t="s">
        <v>29</v>
      </c>
      <c r="N67" s="46" t="s">
        <v>14</v>
      </c>
      <c r="O67" s="154">
        <v>45809</v>
      </c>
      <c r="P67" s="13">
        <v>3561</v>
      </c>
    </row>
    <row r="68" spans="1:16" ht="18.5" x14ac:dyDescent="0.45">
      <c r="A68" s="55">
        <v>3562</v>
      </c>
      <c r="B68" s="21">
        <v>45775</v>
      </c>
      <c r="C68" s="49" t="s">
        <v>34</v>
      </c>
      <c r="D68" s="35">
        <v>3</v>
      </c>
      <c r="E68" s="45">
        <v>190</v>
      </c>
      <c r="F68" s="45">
        <v>140</v>
      </c>
      <c r="G68" s="45">
        <v>50</v>
      </c>
      <c r="H68" s="45">
        <v>1</v>
      </c>
      <c r="I68" s="46">
        <v>45826</v>
      </c>
      <c r="J68" s="45">
        <v>59</v>
      </c>
      <c r="K68" s="45"/>
      <c r="L68" s="45"/>
      <c r="M68" s="46" t="s">
        <v>29</v>
      </c>
      <c r="N68" s="46" t="s">
        <v>14</v>
      </c>
      <c r="O68" s="154">
        <v>45826</v>
      </c>
      <c r="P68" s="13">
        <v>3562</v>
      </c>
    </row>
    <row r="69" spans="1:16" ht="18.5" x14ac:dyDescent="0.45">
      <c r="A69" s="51">
        <v>3563</v>
      </c>
      <c r="B69" s="21">
        <v>45806</v>
      </c>
      <c r="C69" s="21"/>
      <c r="D69" s="35">
        <v>3</v>
      </c>
      <c r="E69" s="48">
        <v>14</v>
      </c>
      <c r="F69" s="48">
        <v>14</v>
      </c>
      <c r="G69" s="48">
        <v>0</v>
      </c>
      <c r="H69" s="48">
        <v>0</v>
      </c>
      <c r="I69" s="48"/>
      <c r="J69" s="48"/>
      <c r="K69" s="48"/>
      <c r="L69" s="48"/>
      <c r="M69" s="46" t="s">
        <v>29</v>
      </c>
      <c r="N69" s="48" t="s">
        <v>14</v>
      </c>
      <c r="O69" s="154">
        <v>45806</v>
      </c>
      <c r="P69" s="157">
        <v>3563</v>
      </c>
    </row>
    <row r="70" spans="1:16" ht="18.5" x14ac:dyDescent="0.45">
      <c r="A70" s="51">
        <v>3564</v>
      </c>
      <c r="B70" s="21">
        <v>45802</v>
      </c>
      <c r="C70" s="21"/>
      <c r="D70" s="35">
        <v>3</v>
      </c>
      <c r="E70" s="48">
        <v>212</v>
      </c>
      <c r="F70" s="48">
        <v>212</v>
      </c>
      <c r="G70" s="48">
        <v>0</v>
      </c>
      <c r="H70" s="48">
        <v>0</v>
      </c>
      <c r="I70" s="48"/>
      <c r="J70" s="48"/>
      <c r="K70" s="48"/>
      <c r="L70" s="48"/>
      <c r="M70" s="46" t="s">
        <v>29</v>
      </c>
      <c r="N70" s="48" t="s">
        <v>14</v>
      </c>
      <c r="O70" s="154">
        <v>45802</v>
      </c>
      <c r="P70" s="157">
        <v>3564</v>
      </c>
    </row>
    <row r="71" spans="1:16" ht="18.5" x14ac:dyDescent="0.45">
      <c r="A71" s="51">
        <v>3565</v>
      </c>
      <c r="B71" s="49">
        <v>45790</v>
      </c>
      <c r="C71" s="49"/>
      <c r="D71" s="35">
        <v>3</v>
      </c>
      <c r="E71" s="45">
        <v>234</v>
      </c>
      <c r="F71" s="45">
        <v>234</v>
      </c>
      <c r="G71" s="45">
        <v>0</v>
      </c>
      <c r="H71" s="45">
        <v>0</v>
      </c>
      <c r="I71" s="45"/>
      <c r="J71" s="45"/>
      <c r="K71" s="45"/>
      <c r="L71" s="45"/>
      <c r="M71" s="46" t="s">
        <v>29</v>
      </c>
      <c r="N71" s="45" t="s">
        <v>14</v>
      </c>
      <c r="O71" s="154">
        <v>45790</v>
      </c>
      <c r="P71" s="13">
        <v>3565</v>
      </c>
    </row>
    <row r="72" spans="1:16" ht="18.5" x14ac:dyDescent="0.45">
      <c r="A72" s="51">
        <v>3566</v>
      </c>
      <c r="B72" s="21">
        <v>45821</v>
      </c>
      <c r="C72" s="21"/>
      <c r="D72" s="35">
        <v>3</v>
      </c>
      <c r="E72" s="45">
        <v>339</v>
      </c>
      <c r="F72" s="45">
        <v>339</v>
      </c>
      <c r="G72" s="45">
        <v>0</v>
      </c>
      <c r="H72" s="45">
        <v>0</v>
      </c>
      <c r="I72" s="45"/>
      <c r="J72" s="45"/>
      <c r="K72" s="45"/>
      <c r="L72" s="45"/>
      <c r="M72" s="46" t="s">
        <v>29</v>
      </c>
      <c r="N72" s="45" t="s">
        <v>14</v>
      </c>
      <c r="O72" s="154">
        <v>45821</v>
      </c>
      <c r="P72" s="13">
        <v>3566</v>
      </c>
    </row>
    <row r="73" spans="1:16" ht="18.5" x14ac:dyDescent="0.45">
      <c r="A73" s="128">
        <v>3567</v>
      </c>
      <c r="B73" s="148">
        <v>45788</v>
      </c>
      <c r="C73" s="148"/>
      <c r="D73" s="131">
        <v>3</v>
      </c>
      <c r="E73" s="149">
        <v>136</v>
      </c>
      <c r="F73" s="149">
        <v>98</v>
      </c>
      <c r="G73" s="149">
        <v>38</v>
      </c>
      <c r="H73" s="149">
        <v>2</v>
      </c>
      <c r="I73" s="150">
        <v>45818</v>
      </c>
      <c r="J73" s="149">
        <v>214</v>
      </c>
      <c r="K73" s="149"/>
      <c r="L73" s="149"/>
      <c r="M73" s="150" t="s">
        <v>29</v>
      </c>
      <c r="N73" s="149" t="s">
        <v>14</v>
      </c>
      <c r="O73" s="159">
        <v>45818</v>
      </c>
      <c r="P73" s="136">
        <v>3567</v>
      </c>
    </row>
    <row r="75" spans="1:16" x14ac:dyDescent="0.35">
      <c r="A75" s="57" t="s">
        <v>22</v>
      </c>
      <c r="B75" s="58"/>
    </row>
    <row r="76" spans="1:16" ht="29" x14ac:dyDescent="0.35">
      <c r="A76" s="56"/>
      <c r="B76" s="38" t="s">
        <v>23</v>
      </c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abSelected="1" workbookViewId="0">
      <selection activeCell="A67" sqref="A67:XFD67"/>
    </sheetView>
  </sheetViews>
  <sheetFormatPr defaultColWidth="15.54296875" defaultRowHeight="14.5" x14ac:dyDescent="0.35"/>
  <cols>
    <col min="1" max="1" width="8.81640625" style="1" customWidth="1"/>
    <col min="2" max="2" width="11.54296875" style="1" customWidth="1"/>
    <col min="3" max="3" width="12.54296875" style="1" customWidth="1"/>
    <col min="4" max="4" width="23.81640625" style="1" customWidth="1"/>
    <col min="5" max="5" width="10.81640625" style="1" customWidth="1"/>
    <col min="6" max="6" width="13.1796875" style="1" customWidth="1"/>
    <col min="7" max="7" width="13" style="1" customWidth="1"/>
    <col min="8" max="8" width="18.1796875" style="1" customWidth="1"/>
    <col min="9" max="9" width="15.54296875" style="1"/>
    <col min="10" max="10" width="12.54296875" style="1" customWidth="1"/>
    <col min="11" max="11" width="15.54296875" style="1"/>
    <col min="12" max="12" width="11" style="1" customWidth="1"/>
    <col min="13" max="13" width="15.1796875" style="1" customWidth="1"/>
    <col min="14" max="14" width="15.54296875" style="1"/>
    <col min="15" max="15" width="29.54296875" style="1" customWidth="1"/>
    <col min="16" max="16" width="22.81640625" style="1" customWidth="1"/>
    <col min="17" max="16384" width="15.54296875" style="1"/>
  </cols>
  <sheetData>
    <row r="1" spans="1:21" ht="44" thickBot="1" x14ac:dyDescent="0.4">
      <c r="A1" s="115" t="s">
        <v>0</v>
      </c>
      <c r="B1" s="140" t="s">
        <v>1</v>
      </c>
      <c r="C1" s="140" t="s">
        <v>32</v>
      </c>
      <c r="D1" s="141" t="s">
        <v>2</v>
      </c>
      <c r="E1" s="141" t="s">
        <v>3</v>
      </c>
      <c r="F1" s="141" t="s">
        <v>4</v>
      </c>
      <c r="G1" s="141" t="s">
        <v>5</v>
      </c>
      <c r="H1" s="141" t="s">
        <v>6</v>
      </c>
      <c r="I1" s="142" t="s">
        <v>7</v>
      </c>
      <c r="J1" s="142" t="s">
        <v>8</v>
      </c>
      <c r="K1" s="143" t="s">
        <v>9</v>
      </c>
      <c r="L1" s="143" t="s">
        <v>33</v>
      </c>
      <c r="M1" s="144" t="s">
        <v>10</v>
      </c>
      <c r="N1" s="145" t="s">
        <v>11</v>
      </c>
      <c r="O1" s="146" t="s">
        <v>12</v>
      </c>
      <c r="P1" s="147" t="s">
        <v>13</v>
      </c>
    </row>
    <row r="2" spans="1:21" ht="15" customHeight="1" x14ac:dyDescent="0.45">
      <c r="A2" s="51">
        <v>3231</v>
      </c>
      <c r="B2" s="36">
        <v>45825</v>
      </c>
      <c r="C2" s="36"/>
      <c r="D2" s="35">
        <v>4</v>
      </c>
      <c r="E2" s="35">
        <v>113</v>
      </c>
      <c r="F2" s="35">
        <v>113</v>
      </c>
      <c r="G2" s="35">
        <v>0</v>
      </c>
      <c r="H2" s="35">
        <v>0</v>
      </c>
      <c r="I2" s="35"/>
      <c r="J2" s="35"/>
      <c r="K2" s="35"/>
      <c r="L2" s="35"/>
      <c r="M2" s="35" t="s">
        <v>29</v>
      </c>
      <c r="N2" s="35" t="s">
        <v>14</v>
      </c>
      <c r="O2" s="36">
        <v>45825</v>
      </c>
      <c r="P2" s="14">
        <v>3231</v>
      </c>
      <c r="R2" s="229" t="s">
        <v>15</v>
      </c>
      <c r="S2" s="230"/>
      <c r="T2" s="230"/>
      <c r="U2" s="231"/>
    </row>
    <row r="3" spans="1:21" ht="15" customHeight="1" x14ac:dyDescent="0.45">
      <c r="A3" s="51">
        <v>3232</v>
      </c>
      <c r="B3" s="36">
        <v>45850</v>
      </c>
      <c r="C3" s="36"/>
      <c r="D3" s="35">
        <v>1</v>
      </c>
      <c r="E3" s="35">
        <v>20</v>
      </c>
      <c r="F3" s="35">
        <v>20</v>
      </c>
      <c r="G3" s="35">
        <v>0</v>
      </c>
      <c r="H3" s="35">
        <v>0</v>
      </c>
      <c r="I3" s="35"/>
      <c r="J3" s="35"/>
      <c r="K3" s="35"/>
      <c r="L3" s="35"/>
      <c r="M3" s="35" t="s">
        <v>29</v>
      </c>
      <c r="N3" s="35" t="s">
        <v>14</v>
      </c>
      <c r="O3" s="36">
        <v>45850</v>
      </c>
      <c r="P3" s="14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5">
      <c r="A4" s="51">
        <v>3233</v>
      </c>
      <c r="B4" s="52">
        <v>45834</v>
      </c>
      <c r="C4" s="52"/>
      <c r="D4" s="35">
        <v>2</v>
      </c>
      <c r="E4" s="35">
        <v>33</v>
      </c>
      <c r="F4" s="35">
        <v>33</v>
      </c>
      <c r="G4" s="35">
        <v>0</v>
      </c>
      <c r="H4" s="35">
        <v>0</v>
      </c>
      <c r="I4" s="35"/>
      <c r="J4" s="35"/>
      <c r="K4" s="35"/>
      <c r="L4" s="35"/>
      <c r="M4" s="35" t="s">
        <v>29</v>
      </c>
      <c r="N4" s="35" t="s">
        <v>14</v>
      </c>
      <c r="O4" s="52">
        <v>45834</v>
      </c>
      <c r="P4" s="14">
        <v>3233</v>
      </c>
      <c r="R4" s="28">
        <v>36</v>
      </c>
      <c r="S4" s="29">
        <f>COUNTA(A:A)-1</f>
        <v>72</v>
      </c>
      <c r="T4" s="29">
        <f>COUNTA(O:O)-1</f>
        <v>61</v>
      </c>
      <c r="U4" s="30">
        <f>T4/S4</f>
        <v>0.84722222222222221</v>
      </c>
    </row>
    <row r="5" spans="1:21" ht="15" customHeight="1" x14ac:dyDescent="0.45">
      <c r="A5" s="51">
        <v>3234</v>
      </c>
      <c r="B5" s="36">
        <v>45839</v>
      </c>
      <c r="C5" s="36"/>
      <c r="D5" s="35">
        <v>3</v>
      </c>
      <c r="E5" s="35">
        <v>91</v>
      </c>
      <c r="F5" s="35">
        <v>91</v>
      </c>
      <c r="G5" s="35">
        <v>0</v>
      </c>
      <c r="H5" s="35">
        <v>0</v>
      </c>
      <c r="I5" s="35"/>
      <c r="J5" s="35"/>
      <c r="K5" s="35"/>
      <c r="L5" s="35"/>
      <c r="M5" s="35" t="s">
        <v>29</v>
      </c>
      <c r="N5" s="35" t="s">
        <v>14</v>
      </c>
      <c r="O5" s="36">
        <v>45839</v>
      </c>
      <c r="P5" s="14"/>
    </row>
    <row r="6" spans="1:21" ht="15" customHeight="1" x14ac:dyDescent="0.45">
      <c r="A6" s="51">
        <v>3235</v>
      </c>
      <c r="B6" s="93">
        <v>45875</v>
      </c>
      <c r="C6" s="163"/>
      <c r="D6" s="35">
        <v>1</v>
      </c>
      <c r="E6" s="35">
        <v>5</v>
      </c>
      <c r="F6" s="35">
        <v>5</v>
      </c>
      <c r="G6" s="35">
        <v>0</v>
      </c>
      <c r="H6" s="35">
        <v>0</v>
      </c>
      <c r="I6" s="35"/>
      <c r="J6" s="35"/>
      <c r="K6" s="35"/>
      <c r="L6" s="35"/>
      <c r="M6" s="35" t="s">
        <v>29</v>
      </c>
      <c r="N6" s="35" t="s">
        <v>14</v>
      </c>
      <c r="O6" s="36">
        <v>45875</v>
      </c>
      <c r="P6" s="14">
        <v>3235</v>
      </c>
    </row>
    <row r="7" spans="1:21" ht="15" customHeight="1" x14ac:dyDescent="0.45">
      <c r="A7" s="51">
        <v>3236</v>
      </c>
      <c r="B7" s="36">
        <v>45837</v>
      </c>
      <c r="C7" s="36"/>
      <c r="D7" s="35">
        <v>3</v>
      </c>
      <c r="E7" s="50">
        <v>80</v>
      </c>
      <c r="F7" s="50">
        <v>80</v>
      </c>
      <c r="G7" s="50">
        <v>0</v>
      </c>
      <c r="H7" s="50">
        <v>0</v>
      </c>
      <c r="I7" s="50"/>
      <c r="J7" s="50"/>
      <c r="K7" s="50"/>
      <c r="L7" s="50"/>
      <c r="M7" s="50" t="s">
        <v>29</v>
      </c>
      <c r="N7" s="50" t="s">
        <v>14</v>
      </c>
      <c r="O7" s="36">
        <v>45837</v>
      </c>
      <c r="P7" s="99">
        <v>3236</v>
      </c>
    </row>
    <row r="8" spans="1:21" ht="15" customHeight="1" x14ac:dyDescent="0.45">
      <c r="A8" s="51">
        <v>3237</v>
      </c>
      <c r="B8" s="36">
        <v>45803</v>
      </c>
      <c r="C8" s="36"/>
      <c r="D8" s="35">
        <v>3</v>
      </c>
      <c r="E8" s="35">
        <v>52</v>
      </c>
      <c r="F8" s="35">
        <v>52</v>
      </c>
      <c r="G8" s="35">
        <v>0</v>
      </c>
      <c r="H8" s="35">
        <v>0</v>
      </c>
      <c r="I8" s="35"/>
      <c r="J8" s="35"/>
      <c r="K8" s="35"/>
      <c r="L8" s="35"/>
      <c r="M8" s="35" t="s">
        <v>29</v>
      </c>
      <c r="N8" s="35" t="s">
        <v>14</v>
      </c>
      <c r="O8" s="36">
        <v>45803</v>
      </c>
      <c r="P8" s="14">
        <v>3237</v>
      </c>
    </row>
    <row r="9" spans="1:21" ht="15" customHeight="1" x14ac:dyDescent="0.45">
      <c r="A9" s="51">
        <v>3238</v>
      </c>
      <c r="B9" s="36">
        <v>45825</v>
      </c>
      <c r="C9" s="36"/>
      <c r="D9" s="35">
        <v>1</v>
      </c>
      <c r="E9" s="35">
        <v>15</v>
      </c>
      <c r="F9" s="35">
        <v>15</v>
      </c>
      <c r="G9" s="35">
        <v>0</v>
      </c>
      <c r="H9" s="35">
        <v>3</v>
      </c>
      <c r="I9" s="36">
        <v>45833</v>
      </c>
      <c r="J9" s="35">
        <v>51</v>
      </c>
      <c r="K9" s="35"/>
      <c r="L9" s="35"/>
      <c r="M9" s="35" t="s">
        <v>29</v>
      </c>
      <c r="N9" s="35" t="s">
        <v>14</v>
      </c>
      <c r="O9" s="36">
        <v>45833</v>
      </c>
      <c r="P9" s="14">
        <v>3238</v>
      </c>
    </row>
    <row r="10" spans="1:21" ht="15" customHeight="1" x14ac:dyDescent="0.45">
      <c r="A10" s="51">
        <v>3239</v>
      </c>
      <c r="B10" s="36"/>
      <c r="C10" s="36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/>
      <c r="P10" s="14"/>
    </row>
    <row r="11" spans="1:21" ht="15" customHeight="1" x14ac:dyDescent="0.45">
      <c r="A11" s="51">
        <v>3240</v>
      </c>
      <c r="B11" s="36">
        <v>45832</v>
      </c>
      <c r="C11" s="36"/>
      <c r="D11" s="35">
        <v>1</v>
      </c>
      <c r="E11" s="35">
        <v>28</v>
      </c>
      <c r="F11" s="35">
        <v>28</v>
      </c>
      <c r="G11" s="35">
        <v>0</v>
      </c>
      <c r="H11" s="35">
        <v>3</v>
      </c>
      <c r="I11" s="36">
        <v>45851</v>
      </c>
      <c r="J11" s="35">
        <v>95</v>
      </c>
      <c r="K11" s="35"/>
      <c r="L11" s="35"/>
      <c r="M11" s="35" t="s">
        <v>29</v>
      </c>
      <c r="N11" s="35" t="s">
        <v>14</v>
      </c>
      <c r="O11" s="36">
        <v>45832</v>
      </c>
      <c r="P11" s="14">
        <v>3240</v>
      </c>
    </row>
    <row r="12" spans="1:21" ht="15" customHeight="1" x14ac:dyDescent="0.45">
      <c r="A12" s="51">
        <v>3241</v>
      </c>
      <c r="B12" s="52">
        <v>45805</v>
      </c>
      <c r="C12" s="52"/>
      <c r="D12" s="35">
        <v>1</v>
      </c>
      <c r="E12" s="35">
        <v>30</v>
      </c>
      <c r="F12" s="35">
        <v>30</v>
      </c>
      <c r="G12" s="35">
        <v>0</v>
      </c>
      <c r="H12" s="35">
        <v>0</v>
      </c>
      <c r="I12" s="36">
        <v>45831</v>
      </c>
      <c r="J12" s="35">
        <v>12</v>
      </c>
      <c r="K12" s="36">
        <v>45834</v>
      </c>
      <c r="L12" s="35">
        <v>5</v>
      </c>
      <c r="M12" s="35" t="s">
        <v>29</v>
      </c>
      <c r="N12" s="35" t="s">
        <v>14</v>
      </c>
      <c r="O12" s="36">
        <v>45834</v>
      </c>
      <c r="P12" s="14">
        <v>3341</v>
      </c>
    </row>
    <row r="13" spans="1:21" ht="15" customHeight="1" x14ac:dyDescent="0.45">
      <c r="A13" s="51">
        <v>3242</v>
      </c>
      <c r="B13" s="52">
        <v>45811</v>
      </c>
      <c r="C13" s="52"/>
      <c r="D13" s="35">
        <v>4</v>
      </c>
      <c r="E13" s="35">
        <v>190</v>
      </c>
      <c r="F13" s="35">
        <v>190</v>
      </c>
      <c r="G13" s="35">
        <v>0</v>
      </c>
      <c r="H13" s="35">
        <v>0</v>
      </c>
      <c r="I13" s="35"/>
      <c r="J13" s="35"/>
      <c r="K13" s="35"/>
      <c r="L13" s="35"/>
      <c r="M13" s="35" t="s">
        <v>29</v>
      </c>
      <c r="N13" s="35" t="s">
        <v>14</v>
      </c>
      <c r="O13" s="52">
        <v>45811</v>
      </c>
      <c r="P13" s="14">
        <v>3224</v>
      </c>
    </row>
    <row r="14" spans="1:21" ht="15" customHeight="1" x14ac:dyDescent="0.45">
      <c r="A14" s="51">
        <v>3243</v>
      </c>
      <c r="B14" s="36">
        <v>45824</v>
      </c>
      <c r="C14" s="36"/>
      <c r="D14" s="35">
        <v>3</v>
      </c>
      <c r="E14" s="35">
        <v>117</v>
      </c>
      <c r="F14" s="35">
        <v>117</v>
      </c>
      <c r="G14" s="35">
        <v>0</v>
      </c>
      <c r="H14" s="35">
        <v>1</v>
      </c>
      <c r="I14" s="36">
        <v>45846</v>
      </c>
      <c r="J14" s="35">
        <v>2</v>
      </c>
      <c r="K14" s="35"/>
      <c r="L14" s="35"/>
      <c r="M14" s="35" t="s">
        <v>29</v>
      </c>
      <c r="N14" s="35" t="s">
        <v>14</v>
      </c>
      <c r="O14" s="36">
        <v>45824</v>
      </c>
      <c r="P14" s="14"/>
    </row>
    <row r="15" spans="1:21" ht="15" customHeight="1" x14ac:dyDescent="0.45">
      <c r="A15" s="51">
        <v>3244</v>
      </c>
      <c r="B15" s="36">
        <v>45809</v>
      </c>
      <c r="C15" s="36"/>
      <c r="D15" s="35">
        <v>3</v>
      </c>
      <c r="E15" s="35">
        <v>46</v>
      </c>
      <c r="F15" s="35">
        <v>46</v>
      </c>
      <c r="G15" s="35">
        <v>0</v>
      </c>
      <c r="H15" s="35">
        <v>0</v>
      </c>
      <c r="I15" s="36">
        <v>45838</v>
      </c>
      <c r="J15" s="35">
        <v>57</v>
      </c>
      <c r="K15" s="35"/>
      <c r="L15" s="35"/>
      <c r="M15" s="35" t="s">
        <v>29</v>
      </c>
      <c r="N15" s="35" t="s">
        <v>14</v>
      </c>
      <c r="O15" s="36">
        <v>45809</v>
      </c>
      <c r="P15" s="14">
        <v>3244</v>
      </c>
    </row>
    <row r="16" spans="1:21" ht="15" customHeight="1" x14ac:dyDescent="0.45">
      <c r="A16" s="55">
        <v>3245</v>
      </c>
      <c r="B16" s="36"/>
      <c r="C16" s="36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14"/>
    </row>
    <row r="17" spans="1:16" ht="15" customHeight="1" x14ac:dyDescent="0.45">
      <c r="A17" s="51">
        <v>3246</v>
      </c>
      <c r="B17" s="52">
        <v>45833</v>
      </c>
      <c r="C17" s="52"/>
      <c r="D17" s="35">
        <v>3</v>
      </c>
      <c r="E17" s="50">
        <v>100</v>
      </c>
      <c r="F17" s="50">
        <v>100</v>
      </c>
      <c r="G17" s="50">
        <v>0</v>
      </c>
      <c r="H17" s="50">
        <v>1</v>
      </c>
      <c r="I17" s="52">
        <v>45840</v>
      </c>
      <c r="J17" s="50">
        <v>24</v>
      </c>
      <c r="K17" s="50"/>
      <c r="L17" s="50"/>
      <c r="M17" s="50" t="s">
        <v>29</v>
      </c>
      <c r="N17" s="50" t="s">
        <v>14</v>
      </c>
      <c r="O17" s="52">
        <v>45833</v>
      </c>
      <c r="P17" s="99">
        <v>3246</v>
      </c>
    </row>
    <row r="18" spans="1:16" ht="15" customHeight="1" x14ac:dyDescent="0.45">
      <c r="A18" s="55">
        <v>3247</v>
      </c>
      <c r="B18" s="35"/>
      <c r="C18" s="35"/>
      <c r="D18" s="35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36"/>
      <c r="P18" s="99"/>
    </row>
    <row r="19" spans="1:16" ht="15" customHeight="1" x14ac:dyDescent="0.45">
      <c r="A19" s="51">
        <v>3248</v>
      </c>
      <c r="B19" s="93">
        <v>45855</v>
      </c>
      <c r="C19" s="93"/>
      <c r="D19" s="35">
        <v>1</v>
      </c>
      <c r="E19" s="35">
        <v>6</v>
      </c>
      <c r="F19" s="35">
        <v>6</v>
      </c>
      <c r="G19" s="35">
        <v>0</v>
      </c>
      <c r="H19" s="35">
        <v>0</v>
      </c>
      <c r="I19" s="35"/>
      <c r="J19" s="35"/>
      <c r="K19" s="35"/>
      <c r="L19" s="35"/>
      <c r="M19" s="35" t="s">
        <v>29</v>
      </c>
      <c r="N19" s="35" t="s">
        <v>14</v>
      </c>
      <c r="O19" s="36">
        <v>45855</v>
      </c>
      <c r="P19" s="14">
        <v>3248</v>
      </c>
    </row>
    <row r="20" spans="1:16" ht="15" customHeight="1" x14ac:dyDescent="0.45">
      <c r="A20" s="51">
        <v>3250</v>
      </c>
      <c r="B20" s="36">
        <v>45828</v>
      </c>
      <c r="C20" s="36"/>
      <c r="D20" s="35">
        <v>2</v>
      </c>
      <c r="E20" s="35">
        <v>259</v>
      </c>
      <c r="F20" s="35">
        <v>259</v>
      </c>
      <c r="G20" s="35">
        <v>0</v>
      </c>
      <c r="H20" s="35">
        <v>0</v>
      </c>
      <c r="I20" s="35"/>
      <c r="J20" s="35"/>
      <c r="K20" s="35"/>
      <c r="L20" s="35"/>
      <c r="M20" s="35" t="s">
        <v>29</v>
      </c>
      <c r="N20" s="35" t="s">
        <v>14</v>
      </c>
      <c r="O20" s="36">
        <v>45828</v>
      </c>
      <c r="P20" s="14"/>
    </row>
    <row r="21" spans="1:16" ht="15" customHeight="1" x14ac:dyDescent="0.45">
      <c r="A21" s="51">
        <v>3251</v>
      </c>
      <c r="B21" s="36">
        <v>45819</v>
      </c>
      <c r="C21" s="36"/>
      <c r="D21" s="35">
        <v>1</v>
      </c>
      <c r="E21" s="35">
        <v>18</v>
      </c>
      <c r="F21" s="35">
        <v>18</v>
      </c>
      <c r="G21" s="35">
        <v>0</v>
      </c>
      <c r="H21" s="35">
        <v>0</v>
      </c>
      <c r="I21" s="36">
        <v>45831</v>
      </c>
      <c r="J21" s="35">
        <v>92</v>
      </c>
      <c r="K21" s="35"/>
      <c r="L21" s="35"/>
      <c r="M21" s="35" t="s">
        <v>29</v>
      </c>
      <c r="N21" s="35" t="s">
        <v>14</v>
      </c>
      <c r="O21" s="36">
        <v>45831</v>
      </c>
      <c r="P21" s="14">
        <v>3251</v>
      </c>
    </row>
    <row r="22" spans="1:16" ht="15" customHeight="1" x14ac:dyDescent="0.45">
      <c r="A22" s="97">
        <v>3252</v>
      </c>
      <c r="B22" s="187">
        <v>45874</v>
      </c>
      <c r="C22" s="186"/>
      <c r="D22" s="35">
        <v>2</v>
      </c>
      <c r="E22" s="35">
        <v>13</v>
      </c>
      <c r="F22" s="35">
        <v>13</v>
      </c>
      <c r="G22" s="35">
        <v>0</v>
      </c>
      <c r="H22" s="35">
        <v>0</v>
      </c>
      <c r="I22" s="35"/>
      <c r="J22" s="35"/>
      <c r="K22" s="35"/>
      <c r="L22" s="35"/>
      <c r="M22" s="35" t="s">
        <v>29</v>
      </c>
      <c r="N22" s="35" t="s">
        <v>14</v>
      </c>
      <c r="O22" s="36">
        <v>45874</v>
      </c>
      <c r="P22" s="14">
        <v>3252</v>
      </c>
    </row>
    <row r="23" spans="1:16" ht="15" customHeight="1" x14ac:dyDescent="0.45">
      <c r="A23" s="55">
        <v>3253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14"/>
    </row>
    <row r="24" spans="1:16" ht="15" customHeight="1" x14ac:dyDescent="0.45">
      <c r="A24" s="51">
        <v>3254</v>
      </c>
      <c r="B24" s="187">
        <v>45866</v>
      </c>
      <c r="C24" s="186"/>
      <c r="D24" s="35">
        <v>1</v>
      </c>
      <c r="E24" s="35">
        <v>20</v>
      </c>
      <c r="F24" s="35">
        <v>20</v>
      </c>
      <c r="G24" s="35">
        <v>0</v>
      </c>
      <c r="H24" s="35">
        <v>0</v>
      </c>
      <c r="I24" s="35"/>
      <c r="J24" s="35"/>
      <c r="K24" s="35"/>
      <c r="L24" s="35"/>
      <c r="M24" s="35" t="s">
        <v>29</v>
      </c>
      <c r="N24" s="35" t="s">
        <v>14</v>
      </c>
      <c r="O24" s="36">
        <v>45866</v>
      </c>
      <c r="P24" s="14">
        <v>3254</v>
      </c>
    </row>
    <row r="25" spans="1:16" ht="15" customHeight="1" x14ac:dyDescent="0.45">
      <c r="A25" s="51">
        <v>3255</v>
      </c>
      <c r="B25" s="52">
        <v>45824</v>
      </c>
      <c r="C25" s="52"/>
      <c r="D25" s="35">
        <v>3</v>
      </c>
      <c r="E25" s="35">
        <v>86</v>
      </c>
      <c r="F25" s="35">
        <v>86</v>
      </c>
      <c r="G25" s="35">
        <v>0</v>
      </c>
      <c r="H25" s="35">
        <v>0</v>
      </c>
      <c r="I25" s="35"/>
      <c r="J25" s="35"/>
      <c r="K25" s="35"/>
      <c r="L25" s="35"/>
      <c r="M25" s="35" t="s">
        <v>29</v>
      </c>
      <c r="N25" s="35" t="s">
        <v>14</v>
      </c>
      <c r="O25" s="52">
        <v>45824</v>
      </c>
      <c r="P25" s="14">
        <v>3255</v>
      </c>
    </row>
    <row r="26" spans="1:16" ht="15" customHeight="1" x14ac:dyDescent="0.45">
      <c r="A26" s="51">
        <v>3256</v>
      </c>
      <c r="B26" s="50"/>
      <c r="C26" s="50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52"/>
      <c r="P26" s="14"/>
    </row>
    <row r="27" spans="1:16" ht="15" customHeight="1" x14ac:dyDescent="0.45">
      <c r="A27" s="51">
        <v>3258</v>
      </c>
      <c r="B27" s="36">
        <v>45823</v>
      </c>
      <c r="C27" s="36"/>
      <c r="D27" s="35">
        <v>4</v>
      </c>
      <c r="E27" s="35">
        <v>37</v>
      </c>
      <c r="F27" s="35">
        <v>37</v>
      </c>
      <c r="G27" s="35">
        <v>0</v>
      </c>
      <c r="H27" s="35">
        <v>0</v>
      </c>
      <c r="I27" s="35"/>
      <c r="J27" s="35"/>
      <c r="K27" s="35"/>
      <c r="L27" s="35"/>
      <c r="M27" s="35" t="s">
        <v>29</v>
      </c>
      <c r="N27" s="35" t="s">
        <v>14</v>
      </c>
      <c r="O27" s="36">
        <v>45823</v>
      </c>
      <c r="P27" s="14"/>
    </row>
    <row r="28" spans="1:16" ht="15" customHeight="1" x14ac:dyDescent="0.45">
      <c r="A28" s="51">
        <v>3259</v>
      </c>
      <c r="B28" s="36">
        <v>45831</v>
      </c>
      <c r="C28" s="36"/>
      <c r="D28" s="35">
        <v>2</v>
      </c>
      <c r="E28" s="50">
        <v>30</v>
      </c>
      <c r="F28" s="50">
        <v>30</v>
      </c>
      <c r="G28" s="50">
        <v>0</v>
      </c>
      <c r="H28" s="50">
        <v>0</v>
      </c>
      <c r="I28" s="50"/>
      <c r="J28" s="50"/>
      <c r="K28" s="50"/>
      <c r="L28" s="50"/>
      <c r="M28" s="50" t="s">
        <v>29</v>
      </c>
      <c r="N28" s="50" t="s">
        <v>14</v>
      </c>
      <c r="O28" s="36">
        <v>45831</v>
      </c>
      <c r="P28" s="99"/>
    </row>
    <row r="29" spans="1:16" ht="15" customHeight="1" x14ac:dyDescent="0.45">
      <c r="A29" s="51">
        <v>3260</v>
      </c>
      <c r="B29" s="35"/>
      <c r="C29" s="35"/>
      <c r="D29" s="35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36"/>
      <c r="P29" s="99"/>
    </row>
    <row r="30" spans="1:16" ht="15" customHeight="1" x14ac:dyDescent="0.45">
      <c r="A30" s="51">
        <v>3261</v>
      </c>
      <c r="B30" s="52">
        <v>45834</v>
      </c>
      <c r="C30" s="52"/>
      <c r="D30" s="188">
        <v>1</v>
      </c>
      <c r="E30" s="188">
        <v>34</v>
      </c>
      <c r="F30" s="188">
        <v>34</v>
      </c>
      <c r="G30" s="188">
        <v>0</v>
      </c>
      <c r="H30" s="35">
        <v>3</v>
      </c>
      <c r="I30" s="189">
        <v>45840</v>
      </c>
      <c r="J30" s="188">
        <v>174</v>
      </c>
      <c r="K30" s="188"/>
      <c r="L30" s="188"/>
      <c r="M30" s="188" t="s">
        <v>29</v>
      </c>
      <c r="N30" s="188" t="s">
        <v>14</v>
      </c>
      <c r="O30" s="52">
        <v>45840</v>
      </c>
      <c r="P30" s="190">
        <v>3261</v>
      </c>
    </row>
    <row r="31" spans="1:16" ht="15" customHeight="1" x14ac:dyDescent="0.45">
      <c r="A31" s="51">
        <v>3262</v>
      </c>
      <c r="B31" s="36">
        <v>45819</v>
      </c>
      <c r="C31" s="36"/>
      <c r="D31" s="35">
        <v>4</v>
      </c>
      <c r="E31" s="35">
        <v>86</v>
      </c>
      <c r="F31" s="35">
        <v>33</v>
      </c>
      <c r="G31" s="35">
        <v>53</v>
      </c>
      <c r="H31" s="35">
        <v>0</v>
      </c>
      <c r="I31" s="35"/>
      <c r="J31" s="35"/>
      <c r="K31" s="35"/>
      <c r="L31" s="35"/>
      <c r="M31" s="35" t="s">
        <v>29</v>
      </c>
      <c r="N31" s="35" t="s">
        <v>14</v>
      </c>
      <c r="O31" s="36">
        <v>45819</v>
      </c>
      <c r="P31" s="14">
        <v>3262</v>
      </c>
    </row>
    <row r="32" spans="1:16" ht="15" customHeight="1" x14ac:dyDescent="0.45">
      <c r="A32" s="51">
        <v>3263</v>
      </c>
      <c r="B32" s="36">
        <v>45833</v>
      </c>
      <c r="C32" s="36"/>
      <c r="D32" s="35">
        <v>3</v>
      </c>
      <c r="E32" s="35">
        <v>196</v>
      </c>
      <c r="F32" s="35">
        <v>196</v>
      </c>
      <c r="G32" s="35">
        <v>0</v>
      </c>
      <c r="H32" s="35">
        <v>0</v>
      </c>
      <c r="I32" s="35"/>
      <c r="J32" s="35"/>
      <c r="K32" s="35"/>
      <c r="L32" s="35"/>
      <c r="M32" s="35" t="s">
        <v>29</v>
      </c>
      <c r="N32" s="35" t="s">
        <v>14</v>
      </c>
      <c r="O32" s="36">
        <v>45833</v>
      </c>
      <c r="P32" s="14">
        <v>3263</v>
      </c>
    </row>
    <row r="33" spans="1:16" ht="15" customHeight="1" x14ac:dyDescent="0.45">
      <c r="A33" s="51">
        <v>3264</v>
      </c>
      <c r="B33" s="36">
        <v>45826</v>
      </c>
      <c r="C33" s="36"/>
      <c r="D33" s="35">
        <v>4</v>
      </c>
      <c r="E33" s="35">
        <v>121</v>
      </c>
      <c r="F33" s="35">
        <v>121</v>
      </c>
      <c r="G33" s="35">
        <v>0</v>
      </c>
      <c r="H33" s="35">
        <v>0</v>
      </c>
      <c r="I33" s="35"/>
      <c r="J33" s="35"/>
      <c r="K33" s="35"/>
      <c r="L33" s="35"/>
      <c r="M33" s="35" t="s">
        <v>29</v>
      </c>
      <c r="N33" s="35" t="s">
        <v>14</v>
      </c>
      <c r="O33" s="36">
        <v>45826</v>
      </c>
      <c r="P33" s="14"/>
    </row>
    <row r="34" spans="1:16" ht="15" customHeight="1" x14ac:dyDescent="0.45">
      <c r="A34" s="51">
        <v>3265</v>
      </c>
      <c r="B34" s="36">
        <v>45834</v>
      </c>
      <c r="C34" s="36"/>
      <c r="D34" s="35">
        <v>4</v>
      </c>
      <c r="E34" s="35">
        <v>100</v>
      </c>
      <c r="F34" s="35">
        <v>100</v>
      </c>
      <c r="G34" s="35">
        <v>0</v>
      </c>
      <c r="H34" s="35">
        <v>0</v>
      </c>
      <c r="I34" s="35"/>
      <c r="J34" s="35"/>
      <c r="K34" s="35"/>
      <c r="L34" s="35"/>
      <c r="M34" s="35" t="s">
        <v>29</v>
      </c>
      <c r="N34" s="35" t="s">
        <v>14</v>
      </c>
      <c r="O34" s="36">
        <v>45773</v>
      </c>
      <c r="P34" s="14"/>
    </row>
    <row r="35" spans="1:16" ht="15" customHeight="1" x14ac:dyDescent="0.45">
      <c r="A35" s="51">
        <v>3266</v>
      </c>
      <c r="B35" s="36">
        <v>45813</v>
      </c>
      <c r="C35" s="36"/>
      <c r="D35" s="35">
        <v>4</v>
      </c>
      <c r="E35" s="35">
        <v>92</v>
      </c>
      <c r="F35" s="35">
        <v>92</v>
      </c>
      <c r="G35" s="35">
        <v>0</v>
      </c>
      <c r="H35" s="35">
        <v>0</v>
      </c>
      <c r="I35" s="35"/>
      <c r="J35" s="35"/>
      <c r="K35" s="35"/>
      <c r="L35" s="35"/>
      <c r="M35" s="35" t="s">
        <v>29</v>
      </c>
      <c r="N35" s="35" t="s">
        <v>14</v>
      </c>
      <c r="O35" s="36">
        <v>45813</v>
      </c>
      <c r="P35" s="14"/>
    </row>
    <row r="36" spans="1:16" ht="15" customHeight="1" x14ac:dyDescent="0.45">
      <c r="A36" s="55">
        <v>3267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6"/>
      <c r="P36" s="14"/>
    </row>
    <row r="37" spans="1:16" ht="15" customHeight="1" x14ac:dyDescent="0.45">
      <c r="A37" s="51">
        <v>3299</v>
      </c>
      <c r="B37" s="36">
        <v>45820</v>
      </c>
      <c r="C37" s="36"/>
      <c r="D37" s="35">
        <v>2</v>
      </c>
      <c r="E37" s="35">
        <v>50</v>
      </c>
      <c r="F37" s="35">
        <v>50</v>
      </c>
      <c r="G37" s="35">
        <v>0</v>
      </c>
      <c r="H37" s="35">
        <v>0</v>
      </c>
      <c r="I37" s="35"/>
      <c r="J37" s="35"/>
      <c r="K37" s="35"/>
      <c r="L37" s="35"/>
      <c r="M37" s="35" t="s">
        <v>29</v>
      </c>
      <c r="N37" s="35" t="s">
        <v>14</v>
      </c>
      <c r="O37" s="36">
        <v>45820</v>
      </c>
      <c r="P37" s="14"/>
    </row>
    <row r="38" spans="1:16" ht="15" customHeight="1" x14ac:dyDescent="0.45">
      <c r="A38" s="51">
        <v>3531</v>
      </c>
      <c r="B38" s="52">
        <v>45832</v>
      </c>
      <c r="C38" s="52"/>
      <c r="D38" s="35">
        <v>1</v>
      </c>
      <c r="E38" s="50">
        <v>86</v>
      </c>
      <c r="F38" s="50">
        <v>86</v>
      </c>
      <c r="G38" s="50">
        <v>0</v>
      </c>
      <c r="H38" s="50">
        <v>0</v>
      </c>
      <c r="I38" s="50"/>
      <c r="J38" s="50"/>
      <c r="K38" s="50"/>
      <c r="L38" s="50"/>
      <c r="M38" s="50" t="s">
        <v>29</v>
      </c>
      <c r="N38" s="50" t="s">
        <v>14</v>
      </c>
      <c r="O38" s="52">
        <v>45832</v>
      </c>
      <c r="P38" s="99">
        <v>3531</v>
      </c>
    </row>
    <row r="39" spans="1:16" ht="15" customHeight="1" x14ac:dyDescent="0.45">
      <c r="A39" s="55">
        <v>3532</v>
      </c>
      <c r="B39" s="50"/>
      <c r="C39" s="50"/>
      <c r="D39" s="35">
        <v>3</v>
      </c>
      <c r="E39" s="35">
        <v>0</v>
      </c>
      <c r="F39" s="35">
        <v>0</v>
      </c>
      <c r="G39" s="35">
        <v>0</v>
      </c>
      <c r="H39" s="35"/>
      <c r="I39" s="35"/>
      <c r="J39" s="35"/>
      <c r="K39" s="35"/>
      <c r="L39" s="35"/>
      <c r="M39" s="35"/>
      <c r="N39" s="35"/>
      <c r="O39" s="52"/>
      <c r="P39" s="14"/>
    </row>
    <row r="40" spans="1:16" ht="15" customHeight="1" x14ac:dyDescent="0.45">
      <c r="A40" s="55">
        <v>3533</v>
      </c>
      <c r="B40" s="35"/>
      <c r="C40" s="35"/>
      <c r="D40" s="35">
        <v>3</v>
      </c>
      <c r="E40" s="35">
        <v>0</v>
      </c>
      <c r="F40" s="35">
        <v>0</v>
      </c>
      <c r="G40" s="35">
        <v>0</v>
      </c>
      <c r="H40" s="35"/>
      <c r="I40" s="35"/>
      <c r="J40" s="35"/>
      <c r="K40" s="35"/>
      <c r="L40" s="35"/>
      <c r="M40" s="35"/>
      <c r="N40" s="35"/>
      <c r="O40" s="36"/>
      <c r="P40" s="14"/>
    </row>
    <row r="41" spans="1:16" ht="15" customHeight="1" x14ac:dyDescent="0.45">
      <c r="A41" s="55">
        <v>3534</v>
      </c>
      <c r="B41" s="35"/>
      <c r="C41" s="35"/>
      <c r="D41" s="35">
        <v>3</v>
      </c>
      <c r="E41" s="35">
        <v>0</v>
      </c>
      <c r="F41" s="35">
        <v>0</v>
      </c>
      <c r="G41" s="35">
        <v>0</v>
      </c>
      <c r="H41" s="35"/>
      <c r="I41" s="35"/>
      <c r="J41" s="35"/>
      <c r="K41" s="35"/>
      <c r="L41" s="35"/>
      <c r="M41" s="35"/>
      <c r="N41" s="35"/>
      <c r="O41" s="36"/>
      <c r="P41" s="14"/>
    </row>
    <row r="42" spans="1:16" ht="15" customHeight="1" x14ac:dyDescent="0.45">
      <c r="A42" s="51">
        <v>3535</v>
      </c>
      <c r="B42" s="36">
        <v>45839</v>
      </c>
      <c r="C42" s="36"/>
      <c r="D42" s="35">
        <v>1</v>
      </c>
      <c r="E42" s="50">
        <v>45</v>
      </c>
      <c r="F42" s="50">
        <v>45</v>
      </c>
      <c r="G42" s="50">
        <v>0</v>
      </c>
      <c r="H42" s="50">
        <v>0</v>
      </c>
      <c r="I42" s="50"/>
      <c r="J42" s="50"/>
      <c r="K42" s="50"/>
      <c r="L42" s="50"/>
      <c r="M42" s="50" t="s">
        <v>29</v>
      </c>
      <c r="N42" s="35" t="s">
        <v>14</v>
      </c>
      <c r="O42" s="36">
        <v>45839</v>
      </c>
      <c r="P42" s="99">
        <v>3535</v>
      </c>
    </row>
    <row r="43" spans="1:16" ht="15" customHeight="1" x14ac:dyDescent="0.45">
      <c r="A43" s="51">
        <v>3536</v>
      </c>
      <c r="B43" s="36">
        <v>45831</v>
      </c>
      <c r="C43" s="36"/>
      <c r="D43" s="35">
        <v>1</v>
      </c>
      <c r="E43" s="35">
        <v>3</v>
      </c>
      <c r="F43" s="35">
        <v>3</v>
      </c>
      <c r="G43" s="35">
        <v>0</v>
      </c>
      <c r="H43" s="35">
        <v>0</v>
      </c>
      <c r="I43" s="35"/>
      <c r="J43" s="35"/>
      <c r="K43" s="35"/>
      <c r="L43" s="35"/>
      <c r="M43" s="50" t="s">
        <v>29</v>
      </c>
      <c r="N43" s="35" t="s">
        <v>14</v>
      </c>
      <c r="O43" s="36">
        <v>45831</v>
      </c>
      <c r="P43" s="14">
        <v>3536</v>
      </c>
    </row>
    <row r="44" spans="1:16" ht="15" customHeight="1" x14ac:dyDescent="0.45">
      <c r="A44" s="51">
        <v>3537</v>
      </c>
      <c r="B44" s="35" t="s">
        <v>26</v>
      </c>
      <c r="C44" s="35"/>
      <c r="D44" s="35">
        <v>3</v>
      </c>
      <c r="E44" s="35">
        <v>59</v>
      </c>
      <c r="F44" s="35">
        <v>59</v>
      </c>
      <c r="G44" s="35">
        <v>0</v>
      </c>
      <c r="H44" s="35">
        <v>0</v>
      </c>
      <c r="I44" s="35"/>
      <c r="J44" s="35"/>
      <c r="K44" s="35"/>
      <c r="L44" s="35"/>
      <c r="M44" s="50" t="s">
        <v>29</v>
      </c>
      <c r="N44" s="35" t="s">
        <v>14</v>
      </c>
      <c r="O44" s="36">
        <v>45844</v>
      </c>
      <c r="P44" s="14">
        <v>3537</v>
      </c>
    </row>
    <row r="45" spans="1:16" ht="15" customHeight="1" x14ac:dyDescent="0.45">
      <c r="A45" s="51">
        <v>3538</v>
      </c>
      <c r="B45" s="36">
        <v>45840</v>
      </c>
      <c r="C45" s="36"/>
      <c r="D45" s="35">
        <v>2</v>
      </c>
      <c r="E45" s="35">
        <v>195</v>
      </c>
      <c r="F45" s="35">
        <v>147</v>
      </c>
      <c r="G45" s="35">
        <v>48</v>
      </c>
      <c r="H45" s="35">
        <v>1</v>
      </c>
      <c r="I45" s="36">
        <v>45847</v>
      </c>
      <c r="J45" s="35">
        <v>48</v>
      </c>
      <c r="K45" s="35"/>
      <c r="L45" s="35"/>
      <c r="M45" s="50" t="s">
        <v>29</v>
      </c>
      <c r="N45" s="35" t="s">
        <v>14</v>
      </c>
      <c r="O45" s="36">
        <v>45840</v>
      </c>
      <c r="P45" s="14"/>
    </row>
    <row r="46" spans="1:16" ht="15" customHeight="1" x14ac:dyDescent="0.45">
      <c r="A46" s="55">
        <v>3540</v>
      </c>
      <c r="B46" s="50"/>
      <c r="C46" s="50"/>
      <c r="D46" s="35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2"/>
      <c r="P46" s="99"/>
    </row>
    <row r="47" spans="1:16" ht="15" customHeight="1" x14ac:dyDescent="0.45">
      <c r="A47" s="51">
        <v>3541</v>
      </c>
      <c r="B47" s="52">
        <v>45829</v>
      </c>
      <c r="C47" s="52"/>
      <c r="D47" s="35">
        <v>3</v>
      </c>
      <c r="E47" s="50">
        <v>271</v>
      </c>
      <c r="F47" s="50">
        <v>271</v>
      </c>
      <c r="G47" s="50">
        <v>0</v>
      </c>
      <c r="H47" s="50">
        <v>0</v>
      </c>
      <c r="I47" s="50"/>
      <c r="J47" s="50"/>
      <c r="K47" s="50"/>
      <c r="L47" s="50"/>
      <c r="M47" s="50" t="s">
        <v>29</v>
      </c>
      <c r="N47" s="35" t="s">
        <v>14</v>
      </c>
      <c r="O47" s="52">
        <v>45829</v>
      </c>
      <c r="P47" s="99">
        <v>3541</v>
      </c>
    </row>
    <row r="48" spans="1:16" ht="15" customHeight="1" x14ac:dyDescent="0.45">
      <c r="A48" s="51">
        <v>3542</v>
      </c>
      <c r="B48" s="36">
        <v>45785</v>
      </c>
      <c r="C48" s="36"/>
      <c r="D48" s="35">
        <v>3</v>
      </c>
      <c r="E48" s="35">
        <v>120</v>
      </c>
      <c r="F48" s="35">
        <v>120</v>
      </c>
      <c r="G48" s="35">
        <v>0</v>
      </c>
      <c r="H48" s="35">
        <v>0</v>
      </c>
      <c r="I48" s="35"/>
      <c r="J48" s="35"/>
      <c r="K48" s="35"/>
      <c r="L48" s="35"/>
      <c r="M48" s="50" t="s">
        <v>29</v>
      </c>
      <c r="N48" s="35" t="s">
        <v>14</v>
      </c>
      <c r="O48" s="36">
        <v>45785</v>
      </c>
      <c r="P48" s="14">
        <v>3542</v>
      </c>
    </row>
    <row r="49" spans="1:16" ht="15" customHeight="1" x14ac:dyDescent="0.45">
      <c r="A49" s="51">
        <v>3543</v>
      </c>
      <c r="B49" s="61">
        <v>45824</v>
      </c>
      <c r="C49" s="61"/>
      <c r="D49" s="35">
        <v>3</v>
      </c>
      <c r="E49" s="35">
        <v>117</v>
      </c>
      <c r="F49" s="35">
        <v>177</v>
      </c>
      <c r="G49" s="35">
        <v>0</v>
      </c>
      <c r="H49" s="35">
        <v>0</v>
      </c>
      <c r="I49" s="35"/>
      <c r="J49" s="35"/>
      <c r="K49" s="35"/>
      <c r="L49" s="35"/>
      <c r="M49" s="50" t="s">
        <v>29</v>
      </c>
      <c r="N49" s="35" t="s">
        <v>14</v>
      </c>
      <c r="O49" s="61">
        <v>45824</v>
      </c>
      <c r="P49" s="14"/>
    </row>
    <row r="50" spans="1:16" ht="15" customHeight="1" x14ac:dyDescent="0.45">
      <c r="A50" s="55">
        <v>3544</v>
      </c>
      <c r="B50" s="52">
        <v>45817</v>
      </c>
      <c r="C50" s="36" t="s">
        <v>34</v>
      </c>
      <c r="D50" s="35">
        <v>2</v>
      </c>
      <c r="E50" s="35">
        <v>142</v>
      </c>
      <c r="F50" s="35">
        <v>130</v>
      </c>
      <c r="G50" s="35">
        <v>12</v>
      </c>
      <c r="H50" s="35">
        <v>0</v>
      </c>
      <c r="I50" s="35"/>
      <c r="J50" s="35"/>
      <c r="K50" s="35"/>
      <c r="L50" s="35"/>
      <c r="M50" s="50" t="s">
        <v>29</v>
      </c>
      <c r="N50" s="35" t="s">
        <v>14</v>
      </c>
      <c r="O50" s="36">
        <v>45817</v>
      </c>
      <c r="P50" s="14">
        <v>3544</v>
      </c>
    </row>
    <row r="51" spans="1:16" ht="15" customHeight="1" x14ac:dyDescent="0.45">
      <c r="A51" s="51">
        <v>3545</v>
      </c>
      <c r="B51" s="52">
        <v>45823</v>
      </c>
      <c r="C51" s="52"/>
      <c r="D51" s="35">
        <v>3</v>
      </c>
      <c r="E51" s="35">
        <v>108</v>
      </c>
      <c r="F51" s="35">
        <v>108</v>
      </c>
      <c r="G51" s="35">
        <v>0</v>
      </c>
      <c r="H51" s="35">
        <v>0</v>
      </c>
      <c r="I51" s="35"/>
      <c r="J51" s="35"/>
      <c r="K51" s="35"/>
      <c r="L51" s="35"/>
      <c r="M51" s="50" t="s">
        <v>29</v>
      </c>
      <c r="N51" s="35" t="s">
        <v>14</v>
      </c>
      <c r="O51" s="36">
        <v>45823</v>
      </c>
      <c r="P51" s="14">
        <v>3545</v>
      </c>
    </row>
    <row r="52" spans="1:16" ht="15" customHeight="1" x14ac:dyDescent="0.45">
      <c r="A52" s="51">
        <v>3546</v>
      </c>
      <c r="B52" s="187">
        <v>45860</v>
      </c>
      <c r="C52" s="187" t="s">
        <v>25</v>
      </c>
      <c r="D52" s="35">
        <v>2</v>
      </c>
      <c r="E52" s="50">
        <v>56</v>
      </c>
      <c r="F52" s="50">
        <v>56</v>
      </c>
      <c r="G52" s="50">
        <v>0</v>
      </c>
      <c r="H52" s="50">
        <v>0</v>
      </c>
      <c r="I52" s="50"/>
      <c r="J52" s="50"/>
      <c r="K52" s="50"/>
      <c r="L52" s="50"/>
      <c r="M52" s="50" t="s">
        <v>29</v>
      </c>
      <c r="N52" s="50" t="s">
        <v>14</v>
      </c>
      <c r="O52" s="52">
        <v>45860</v>
      </c>
      <c r="P52" s="99">
        <v>3546</v>
      </c>
    </row>
    <row r="53" spans="1:16" ht="15" customHeight="1" x14ac:dyDescent="0.45">
      <c r="A53" s="51">
        <v>3547</v>
      </c>
      <c r="B53" s="36">
        <v>45830</v>
      </c>
      <c r="C53" s="36"/>
      <c r="D53" s="35">
        <v>3</v>
      </c>
      <c r="E53" s="35">
        <v>99</v>
      </c>
      <c r="F53" s="35">
        <v>99</v>
      </c>
      <c r="G53" s="35">
        <v>20</v>
      </c>
      <c r="H53" s="35">
        <v>1</v>
      </c>
      <c r="I53" s="36">
        <v>45838</v>
      </c>
      <c r="J53" s="35">
        <v>44</v>
      </c>
      <c r="K53" s="35"/>
      <c r="L53" s="35"/>
      <c r="M53" s="35" t="s">
        <v>29</v>
      </c>
      <c r="N53" s="35" t="s">
        <v>14</v>
      </c>
      <c r="O53" s="36">
        <v>45838</v>
      </c>
      <c r="P53" s="14">
        <v>3547</v>
      </c>
    </row>
    <row r="54" spans="1:16" ht="15" customHeight="1" x14ac:dyDescent="0.45">
      <c r="A54" s="51">
        <v>3548</v>
      </c>
      <c r="B54" s="36">
        <v>45833</v>
      </c>
      <c r="C54" s="36"/>
      <c r="D54" s="35">
        <v>3</v>
      </c>
      <c r="E54" s="35">
        <v>126</v>
      </c>
      <c r="F54" s="35">
        <v>126</v>
      </c>
      <c r="G54" s="35">
        <v>0</v>
      </c>
      <c r="H54" s="35">
        <v>0</v>
      </c>
      <c r="I54" s="35"/>
      <c r="J54" s="35"/>
      <c r="K54" s="35"/>
      <c r="L54" s="35"/>
      <c r="M54" s="35" t="s">
        <v>29</v>
      </c>
      <c r="N54" s="35" t="s">
        <v>14</v>
      </c>
      <c r="O54" s="36">
        <v>45833</v>
      </c>
      <c r="P54" s="14">
        <v>3548</v>
      </c>
    </row>
    <row r="55" spans="1:16" ht="15" customHeight="1" x14ac:dyDescent="0.45">
      <c r="A55" s="51">
        <v>3549</v>
      </c>
      <c r="B55" s="36">
        <v>45818</v>
      </c>
      <c r="C55" s="36"/>
      <c r="D55" s="35">
        <v>2</v>
      </c>
      <c r="E55" s="35">
        <v>285</v>
      </c>
      <c r="F55" s="35">
        <v>277</v>
      </c>
      <c r="G55" s="35">
        <v>8</v>
      </c>
      <c r="H55" s="35">
        <v>1</v>
      </c>
      <c r="I55" s="93">
        <v>45858</v>
      </c>
      <c r="J55" s="35">
        <v>12</v>
      </c>
      <c r="K55" s="35"/>
      <c r="L55" s="35"/>
      <c r="M55" s="35" t="s">
        <v>29</v>
      </c>
      <c r="N55" s="35" t="s">
        <v>14</v>
      </c>
      <c r="O55" s="36">
        <v>45858</v>
      </c>
      <c r="P55" s="14">
        <v>3549</v>
      </c>
    </row>
    <row r="56" spans="1:16" ht="15" customHeight="1" x14ac:dyDescent="0.45">
      <c r="A56" s="51">
        <v>3550</v>
      </c>
      <c r="B56" s="36">
        <v>45842</v>
      </c>
      <c r="C56" s="36"/>
      <c r="D56" s="35">
        <v>1</v>
      </c>
      <c r="E56" s="35">
        <v>8</v>
      </c>
      <c r="F56" s="35">
        <v>8</v>
      </c>
      <c r="G56" s="35">
        <v>0</v>
      </c>
      <c r="H56" s="35">
        <v>0</v>
      </c>
      <c r="I56" s="35"/>
      <c r="J56" s="35"/>
      <c r="K56" s="35"/>
      <c r="L56" s="35"/>
      <c r="M56" s="35" t="s">
        <v>29</v>
      </c>
      <c r="N56" s="35" t="s">
        <v>14</v>
      </c>
      <c r="O56" s="36">
        <v>45842</v>
      </c>
      <c r="P56" s="14"/>
    </row>
    <row r="57" spans="1:16" ht="15" customHeight="1" x14ac:dyDescent="0.45">
      <c r="A57" s="55">
        <v>3551</v>
      </c>
      <c r="B57" s="36">
        <v>45831</v>
      </c>
      <c r="C57" s="36" t="s">
        <v>34</v>
      </c>
      <c r="D57" s="35">
        <v>3</v>
      </c>
      <c r="E57" s="35">
        <v>92</v>
      </c>
      <c r="F57" s="35">
        <v>47</v>
      </c>
      <c r="G57" s="35">
        <v>25</v>
      </c>
      <c r="H57" s="35">
        <v>0</v>
      </c>
      <c r="I57" s="36"/>
      <c r="J57" s="35"/>
      <c r="K57" s="35"/>
      <c r="L57" s="35"/>
      <c r="M57" s="35" t="s">
        <v>29</v>
      </c>
      <c r="N57" s="35" t="s">
        <v>14</v>
      </c>
      <c r="O57" s="36">
        <v>45831</v>
      </c>
      <c r="P57" s="14">
        <v>3551</v>
      </c>
    </row>
    <row r="58" spans="1:16" ht="15" customHeight="1" x14ac:dyDescent="0.45">
      <c r="A58" s="51">
        <v>3552</v>
      </c>
      <c r="B58" s="52" t="s">
        <v>30</v>
      </c>
      <c r="C58" s="52"/>
      <c r="D58" s="35">
        <v>1</v>
      </c>
      <c r="E58" s="35">
        <v>49</v>
      </c>
      <c r="F58" s="35">
        <v>49</v>
      </c>
      <c r="G58" s="35">
        <v>0</v>
      </c>
      <c r="H58" s="35">
        <v>0</v>
      </c>
      <c r="I58" s="35"/>
      <c r="J58" s="35"/>
      <c r="K58" s="35"/>
      <c r="L58" s="35"/>
      <c r="M58" s="35" t="s">
        <v>29</v>
      </c>
      <c r="N58" s="35" t="s">
        <v>14</v>
      </c>
      <c r="O58" s="36">
        <v>45856</v>
      </c>
      <c r="P58" s="14">
        <v>3552</v>
      </c>
    </row>
    <row r="59" spans="1:16" ht="15" customHeight="1" x14ac:dyDescent="0.45">
      <c r="A59" s="51">
        <v>3553</v>
      </c>
      <c r="B59" s="52">
        <v>45835</v>
      </c>
      <c r="C59" s="52"/>
      <c r="D59" s="35">
        <v>1</v>
      </c>
      <c r="E59" s="35">
        <v>104</v>
      </c>
      <c r="F59" s="35">
        <v>104</v>
      </c>
      <c r="G59" s="35">
        <v>0</v>
      </c>
      <c r="H59" s="35">
        <v>0</v>
      </c>
      <c r="I59" s="35"/>
      <c r="J59" s="35"/>
      <c r="K59" s="35"/>
      <c r="L59" s="35"/>
      <c r="M59" s="35" t="s">
        <v>29</v>
      </c>
      <c r="N59" s="35" t="s">
        <v>14</v>
      </c>
      <c r="O59" s="36">
        <v>45835</v>
      </c>
      <c r="P59" s="14">
        <v>3553</v>
      </c>
    </row>
    <row r="60" spans="1:16" ht="15" customHeight="1" x14ac:dyDescent="0.45">
      <c r="A60" s="55">
        <v>3554</v>
      </c>
      <c r="B60" s="36">
        <v>45810</v>
      </c>
      <c r="C60" s="36" t="s">
        <v>34</v>
      </c>
      <c r="D60" s="35">
        <v>3</v>
      </c>
      <c r="E60" s="50">
        <v>108</v>
      </c>
      <c r="F60" s="50">
        <v>108</v>
      </c>
      <c r="G60" s="50">
        <v>0</v>
      </c>
      <c r="H60" s="50">
        <v>0</v>
      </c>
      <c r="I60" s="50"/>
      <c r="J60" s="50"/>
      <c r="K60" s="50"/>
      <c r="L60" s="50"/>
      <c r="M60" s="35" t="s">
        <v>29</v>
      </c>
      <c r="N60" s="50" t="s">
        <v>14</v>
      </c>
      <c r="O60" s="52">
        <v>45810</v>
      </c>
      <c r="P60" s="99">
        <v>3554</v>
      </c>
    </row>
    <row r="61" spans="1:16" ht="15" customHeight="1" x14ac:dyDescent="0.45">
      <c r="A61" s="51">
        <v>3555</v>
      </c>
      <c r="B61" s="52">
        <v>45832</v>
      </c>
      <c r="C61" s="52"/>
      <c r="D61" s="35">
        <v>2</v>
      </c>
      <c r="E61" s="50">
        <v>16</v>
      </c>
      <c r="F61" s="50">
        <v>16</v>
      </c>
      <c r="G61" s="50">
        <v>0</v>
      </c>
      <c r="H61" s="50">
        <v>0</v>
      </c>
      <c r="I61" s="50"/>
      <c r="J61" s="50"/>
      <c r="K61" s="50"/>
      <c r="L61" s="50"/>
      <c r="M61" s="35" t="s">
        <v>29</v>
      </c>
      <c r="N61" s="50" t="s">
        <v>14</v>
      </c>
      <c r="O61" s="52">
        <v>45832</v>
      </c>
      <c r="P61" s="99">
        <v>3555</v>
      </c>
    </row>
    <row r="62" spans="1:16" ht="15" customHeight="1" x14ac:dyDescent="0.45">
      <c r="A62" s="51">
        <v>3556</v>
      </c>
      <c r="B62" s="36">
        <v>45848</v>
      </c>
      <c r="C62" s="36"/>
      <c r="D62" s="35">
        <v>1</v>
      </c>
      <c r="E62" s="35">
        <v>81</v>
      </c>
      <c r="F62" s="35">
        <v>81</v>
      </c>
      <c r="G62" s="35">
        <v>0</v>
      </c>
      <c r="H62" s="35">
        <v>0</v>
      </c>
      <c r="I62" s="35"/>
      <c r="J62" s="35"/>
      <c r="K62" s="35"/>
      <c r="L62" s="35"/>
      <c r="M62" s="35" t="s">
        <v>29</v>
      </c>
      <c r="N62" s="35" t="s">
        <v>14</v>
      </c>
      <c r="O62" s="36">
        <v>45848</v>
      </c>
      <c r="P62" s="14"/>
    </row>
    <row r="63" spans="1:16" ht="15" customHeight="1" x14ac:dyDescent="0.45">
      <c r="A63" s="51">
        <v>3557</v>
      </c>
      <c r="B63" s="61">
        <v>45819</v>
      </c>
      <c r="C63" s="61"/>
      <c r="D63" s="35">
        <v>3</v>
      </c>
      <c r="E63" s="50">
        <v>362</v>
      </c>
      <c r="F63" s="50">
        <v>362</v>
      </c>
      <c r="G63" s="50">
        <v>0</v>
      </c>
      <c r="H63" s="50">
        <v>0</v>
      </c>
      <c r="I63" s="50"/>
      <c r="J63" s="50"/>
      <c r="K63" s="50"/>
      <c r="L63" s="50"/>
      <c r="M63" s="35" t="s">
        <v>29</v>
      </c>
      <c r="N63" s="50" t="s">
        <v>14</v>
      </c>
      <c r="O63" s="61">
        <v>45819</v>
      </c>
      <c r="P63" s="99">
        <v>3557</v>
      </c>
    </row>
    <row r="64" spans="1:16" ht="15" customHeight="1" x14ac:dyDescent="0.45">
      <c r="A64" s="51">
        <v>3558</v>
      </c>
      <c r="B64" s="52">
        <v>45831</v>
      </c>
      <c r="C64" s="52"/>
      <c r="D64" s="35">
        <v>1</v>
      </c>
      <c r="E64" s="35">
        <v>114</v>
      </c>
      <c r="F64" s="35">
        <v>114</v>
      </c>
      <c r="G64" s="35">
        <v>0</v>
      </c>
      <c r="H64" s="35">
        <v>2</v>
      </c>
      <c r="I64" s="36">
        <v>45840</v>
      </c>
      <c r="J64" s="35">
        <v>68</v>
      </c>
      <c r="K64" s="35"/>
      <c r="L64" s="35"/>
      <c r="M64" s="35" t="s">
        <v>29</v>
      </c>
      <c r="N64" s="35" t="s">
        <v>14</v>
      </c>
      <c r="O64" s="36">
        <v>45831</v>
      </c>
      <c r="P64" s="14">
        <v>3558</v>
      </c>
    </row>
    <row r="65" spans="1:16" ht="15" customHeight="1" x14ac:dyDescent="0.45">
      <c r="A65" s="51">
        <v>3559</v>
      </c>
      <c r="B65" s="36">
        <v>45823</v>
      </c>
      <c r="C65" s="36"/>
      <c r="D65" s="35">
        <v>2</v>
      </c>
      <c r="E65" s="35">
        <v>67</v>
      </c>
      <c r="F65" s="35">
        <v>67</v>
      </c>
      <c r="G65" s="35">
        <v>0</v>
      </c>
      <c r="H65" s="35">
        <v>0</v>
      </c>
      <c r="I65" s="35"/>
      <c r="J65" s="35"/>
      <c r="K65" s="35"/>
      <c r="L65" s="35"/>
      <c r="M65" s="35" t="s">
        <v>29</v>
      </c>
      <c r="N65" s="35" t="s">
        <v>14</v>
      </c>
      <c r="O65" s="36">
        <v>45823</v>
      </c>
      <c r="P65" s="14">
        <v>3559</v>
      </c>
    </row>
    <row r="66" spans="1:16" ht="15" customHeight="1" x14ac:dyDescent="0.45">
      <c r="A66" s="51">
        <v>3560</v>
      </c>
      <c r="B66" s="36">
        <v>45838</v>
      </c>
      <c r="C66" s="36"/>
      <c r="D66" s="35">
        <v>3</v>
      </c>
      <c r="E66" s="35">
        <v>277</v>
      </c>
      <c r="F66" s="35">
        <v>277</v>
      </c>
      <c r="G66" s="35">
        <v>0</v>
      </c>
      <c r="H66" s="35">
        <v>0</v>
      </c>
      <c r="I66" s="35"/>
      <c r="J66" s="35"/>
      <c r="K66" s="35"/>
      <c r="L66" s="35"/>
      <c r="M66" s="35" t="s">
        <v>29</v>
      </c>
      <c r="N66" s="35" t="s">
        <v>14</v>
      </c>
      <c r="O66" s="52">
        <v>45838</v>
      </c>
      <c r="P66" s="14">
        <v>3560</v>
      </c>
    </row>
    <row r="67" spans="1:16" ht="15" customHeight="1" x14ac:dyDescent="0.45">
      <c r="A67" s="51">
        <v>3561</v>
      </c>
      <c r="B67" s="36">
        <v>45809</v>
      </c>
      <c r="C67" s="36"/>
      <c r="D67" s="35">
        <v>3</v>
      </c>
      <c r="E67" s="35">
        <v>57</v>
      </c>
      <c r="F67" s="35">
        <v>10</v>
      </c>
      <c r="G67" s="35">
        <v>47</v>
      </c>
      <c r="H67" s="35">
        <v>2</v>
      </c>
      <c r="I67" s="36">
        <v>45833</v>
      </c>
      <c r="J67" s="35">
        <v>47</v>
      </c>
      <c r="K67" s="35"/>
      <c r="L67" s="35"/>
      <c r="M67" s="35" t="s">
        <v>29</v>
      </c>
      <c r="N67" s="35" t="s">
        <v>14</v>
      </c>
      <c r="O67" s="36">
        <v>45833</v>
      </c>
      <c r="P67" s="14">
        <v>3561</v>
      </c>
    </row>
    <row r="68" spans="1:16" ht="18.5" x14ac:dyDescent="0.45">
      <c r="A68" s="55">
        <v>3562</v>
      </c>
      <c r="B68" s="36">
        <v>45826</v>
      </c>
      <c r="C68" s="36" t="s">
        <v>34</v>
      </c>
      <c r="D68" s="35">
        <v>2</v>
      </c>
      <c r="E68" s="35">
        <v>253</v>
      </c>
      <c r="F68" s="35">
        <v>253</v>
      </c>
      <c r="G68" s="35">
        <v>0</v>
      </c>
      <c r="H68" s="35">
        <v>0</v>
      </c>
      <c r="I68" s="36">
        <v>45851</v>
      </c>
      <c r="J68" s="35">
        <v>32</v>
      </c>
      <c r="K68" s="35"/>
      <c r="L68" s="35"/>
      <c r="M68" s="35" t="s">
        <v>29</v>
      </c>
      <c r="N68" s="35" t="s">
        <v>14</v>
      </c>
      <c r="O68" s="36">
        <v>45826</v>
      </c>
      <c r="P68" s="14">
        <v>3562</v>
      </c>
    </row>
    <row r="69" spans="1:16" ht="18.5" x14ac:dyDescent="0.45">
      <c r="A69" s="51">
        <v>3563</v>
      </c>
      <c r="B69" s="36">
        <v>45837</v>
      </c>
      <c r="C69" s="36"/>
      <c r="D69" s="35">
        <v>2</v>
      </c>
      <c r="E69" s="50">
        <v>75</v>
      </c>
      <c r="F69" s="50">
        <v>75</v>
      </c>
      <c r="G69" s="50">
        <v>0</v>
      </c>
      <c r="H69" s="50">
        <v>1</v>
      </c>
      <c r="I69" s="52">
        <v>45847</v>
      </c>
      <c r="J69" s="50">
        <v>5</v>
      </c>
      <c r="K69" s="50"/>
      <c r="L69" s="50"/>
      <c r="M69" s="35" t="s">
        <v>29</v>
      </c>
      <c r="N69" s="50" t="s">
        <v>14</v>
      </c>
      <c r="O69" s="36">
        <v>45837</v>
      </c>
      <c r="P69" s="99">
        <v>3563</v>
      </c>
    </row>
    <row r="70" spans="1:16" ht="18.5" x14ac:dyDescent="0.45">
      <c r="A70" s="51">
        <v>3564</v>
      </c>
      <c r="B70" s="36">
        <v>45827</v>
      </c>
      <c r="C70" s="36"/>
      <c r="D70" s="35">
        <v>2</v>
      </c>
      <c r="E70" s="50">
        <v>127</v>
      </c>
      <c r="F70" s="50">
        <v>127</v>
      </c>
      <c r="G70" s="50">
        <v>0</v>
      </c>
      <c r="H70" s="50">
        <v>1</v>
      </c>
      <c r="I70" s="52">
        <v>45844</v>
      </c>
      <c r="J70" s="50">
        <v>3</v>
      </c>
      <c r="K70" s="50"/>
      <c r="L70" s="50"/>
      <c r="M70" s="35" t="s">
        <v>29</v>
      </c>
      <c r="N70" s="50" t="s">
        <v>14</v>
      </c>
      <c r="O70" s="36">
        <v>45827</v>
      </c>
      <c r="P70" s="99">
        <v>3564</v>
      </c>
    </row>
    <row r="71" spans="1:16" ht="18.5" x14ac:dyDescent="0.45">
      <c r="A71" s="51">
        <v>3565</v>
      </c>
      <c r="B71" s="52">
        <v>45833</v>
      </c>
      <c r="C71" s="52"/>
      <c r="D71" s="35">
        <v>3</v>
      </c>
      <c r="E71" s="35">
        <v>63</v>
      </c>
      <c r="F71" s="35">
        <v>23</v>
      </c>
      <c r="G71" s="35">
        <v>40</v>
      </c>
      <c r="H71" s="35">
        <v>1</v>
      </c>
      <c r="I71" s="36">
        <v>45837</v>
      </c>
      <c r="J71" s="35">
        <v>59</v>
      </c>
      <c r="K71" s="35"/>
      <c r="L71" s="35"/>
      <c r="M71" s="35" t="s">
        <v>29</v>
      </c>
      <c r="N71" s="35" t="s">
        <v>14</v>
      </c>
      <c r="O71" s="36">
        <v>45837</v>
      </c>
      <c r="P71" s="14">
        <v>3565</v>
      </c>
    </row>
    <row r="72" spans="1:16" ht="18.5" x14ac:dyDescent="0.45">
      <c r="A72" s="51">
        <v>3566</v>
      </c>
      <c r="B72" s="36">
        <v>45824</v>
      </c>
      <c r="C72" s="36"/>
      <c r="D72" s="35">
        <v>3</v>
      </c>
      <c r="E72" s="35">
        <v>94</v>
      </c>
      <c r="F72" s="35">
        <v>94</v>
      </c>
      <c r="G72" s="35">
        <v>0</v>
      </c>
      <c r="H72" s="35">
        <v>0</v>
      </c>
      <c r="I72" s="35"/>
      <c r="J72" s="35"/>
      <c r="K72" s="35"/>
      <c r="L72" s="35"/>
      <c r="M72" s="35" t="s">
        <v>29</v>
      </c>
      <c r="N72" s="35" t="s">
        <v>14</v>
      </c>
      <c r="O72" s="36">
        <v>45824</v>
      </c>
      <c r="P72" s="14">
        <v>3565</v>
      </c>
    </row>
    <row r="73" spans="1:16" ht="18.5" x14ac:dyDescent="0.45">
      <c r="A73" s="128">
        <v>3567</v>
      </c>
      <c r="B73" s="135">
        <v>45818</v>
      </c>
      <c r="C73" s="135"/>
      <c r="D73" s="131">
        <v>1</v>
      </c>
      <c r="E73" s="131">
        <v>32</v>
      </c>
      <c r="F73" s="131">
        <v>32</v>
      </c>
      <c r="G73" s="131">
        <v>0</v>
      </c>
      <c r="H73" s="131">
        <v>0</v>
      </c>
      <c r="I73" s="131"/>
      <c r="J73" s="131"/>
      <c r="K73" s="131"/>
      <c r="L73" s="131"/>
      <c r="M73" s="131" t="s">
        <v>29</v>
      </c>
      <c r="N73" s="131" t="s">
        <v>14</v>
      </c>
      <c r="O73" s="138">
        <v>45818</v>
      </c>
      <c r="P73" s="139">
        <v>3567</v>
      </c>
    </row>
    <row r="85" spans="16:16" x14ac:dyDescent="0.35">
      <c r="P85" s="42"/>
    </row>
    <row r="86" spans="16:16" x14ac:dyDescent="0.35">
      <c r="P86" s="42"/>
    </row>
    <row r="87" spans="16:16" x14ac:dyDescent="0.35">
      <c r="P87" s="42"/>
    </row>
    <row r="88" spans="16:16" x14ac:dyDescent="0.35">
      <c r="P88" s="42"/>
    </row>
    <row r="89" spans="16:16" x14ac:dyDescent="0.35">
      <c r="P89" s="42"/>
    </row>
    <row r="90" spans="16:16" x14ac:dyDescent="0.35">
      <c r="P90" s="42"/>
    </row>
    <row r="91" spans="16:16" x14ac:dyDescent="0.35">
      <c r="P91" s="42"/>
    </row>
    <row r="92" spans="16:16" x14ac:dyDescent="0.35">
      <c r="P92" s="42"/>
    </row>
    <row r="93" spans="16:16" x14ac:dyDescent="0.35">
      <c r="P93" s="42"/>
    </row>
    <row r="94" spans="16:16" x14ac:dyDescent="0.35">
      <c r="P94" s="42"/>
    </row>
    <row r="95" spans="16:16" x14ac:dyDescent="0.35">
      <c r="P95" s="42"/>
    </row>
    <row r="96" spans="16:16" x14ac:dyDescent="0.35">
      <c r="P96" s="43"/>
    </row>
    <row r="97" spans="16:16" x14ac:dyDescent="0.35">
      <c r="P97" s="42"/>
    </row>
    <row r="98" spans="16:16" x14ac:dyDescent="0.35">
      <c r="P98" s="42"/>
    </row>
    <row r="99" spans="16:16" x14ac:dyDescent="0.35">
      <c r="P99" s="42"/>
    </row>
    <row r="100" spans="16:16" x14ac:dyDescent="0.35">
      <c r="P100" s="42"/>
    </row>
    <row r="101" spans="16:16" x14ac:dyDescent="0.35">
      <c r="P101" s="42"/>
    </row>
    <row r="102" spans="16:16" x14ac:dyDescent="0.35">
      <c r="P102" s="42"/>
    </row>
    <row r="103" spans="16:16" x14ac:dyDescent="0.35">
      <c r="P103" s="42"/>
    </row>
    <row r="104" spans="16:16" x14ac:dyDescent="0.35">
      <c r="P104" s="42"/>
    </row>
    <row r="105" spans="16:16" x14ac:dyDescent="0.35">
      <c r="P105" s="42"/>
    </row>
    <row r="106" spans="16:16" x14ac:dyDescent="0.35">
      <c r="P106" s="42"/>
    </row>
    <row r="107" spans="16:16" x14ac:dyDescent="0.35">
      <c r="P107" s="42"/>
    </row>
    <row r="108" spans="16:16" x14ac:dyDescent="0.35">
      <c r="P108" s="42"/>
    </row>
    <row r="109" spans="16:16" x14ac:dyDescent="0.35">
      <c r="P109" s="42"/>
    </row>
    <row r="110" spans="16:16" x14ac:dyDescent="0.35">
      <c r="P110" s="42"/>
    </row>
    <row r="111" spans="16:16" x14ac:dyDescent="0.35">
      <c r="P111" s="42"/>
    </row>
    <row r="112" spans="16:16" x14ac:dyDescent="0.35">
      <c r="P112" s="42"/>
    </row>
    <row r="113" spans="16:16" x14ac:dyDescent="0.35">
      <c r="P113" s="42"/>
    </row>
    <row r="114" spans="16:16" x14ac:dyDescent="0.35">
      <c r="P114" s="42"/>
    </row>
    <row r="115" spans="16:16" x14ac:dyDescent="0.35">
      <c r="P115" s="42"/>
    </row>
    <row r="116" spans="16:16" x14ac:dyDescent="0.35">
      <c r="P116" s="42"/>
    </row>
    <row r="117" spans="16:16" x14ac:dyDescent="0.35">
      <c r="P117" s="42"/>
    </row>
    <row r="118" spans="16:16" x14ac:dyDescent="0.35">
      <c r="P118" s="42"/>
    </row>
    <row r="119" spans="16:16" x14ac:dyDescent="0.35">
      <c r="P119" s="42"/>
    </row>
    <row r="120" spans="16:16" x14ac:dyDescent="0.35">
      <c r="P120" s="42"/>
    </row>
    <row r="121" spans="16:16" x14ac:dyDescent="0.35">
      <c r="P121" s="42"/>
    </row>
    <row r="122" spans="16:16" x14ac:dyDescent="0.35">
      <c r="P122" s="42"/>
    </row>
    <row r="123" spans="16:16" x14ac:dyDescent="0.35">
      <c r="P123" s="42"/>
    </row>
    <row r="124" spans="16:16" x14ac:dyDescent="0.35">
      <c r="P124" s="42"/>
    </row>
    <row r="125" spans="16:16" x14ac:dyDescent="0.35">
      <c r="P125" s="42"/>
    </row>
    <row r="126" spans="16:16" x14ac:dyDescent="0.35">
      <c r="P126" s="42"/>
    </row>
    <row r="127" spans="16:16" x14ac:dyDescent="0.35">
      <c r="P127" s="42"/>
    </row>
    <row r="128" spans="16:16" x14ac:dyDescent="0.35">
      <c r="P128" s="42"/>
    </row>
    <row r="129" spans="16:16" x14ac:dyDescent="0.35">
      <c r="P129" s="42"/>
    </row>
    <row r="130" spans="16:16" x14ac:dyDescent="0.35">
      <c r="P130" s="42"/>
    </row>
    <row r="131" spans="16:16" x14ac:dyDescent="0.35">
      <c r="P131" s="42"/>
    </row>
    <row r="132" spans="16:16" x14ac:dyDescent="0.35">
      <c r="P132" s="42"/>
    </row>
    <row r="133" spans="16:16" x14ac:dyDescent="0.35">
      <c r="P133" s="42"/>
    </row>
    <row r="134" spans="16:16" x14ac:dyDescent="0.35">
      <c r="P134" s="42"/>
    </row>
    <row r="135" spans="16:16" x14ac:dyDescent="0.35">
      <c r="P135" s="42"/>
    </row>
    <row r="136" spans="16:16" x14ac:dyDescent="0.35">
      <c r="P136" s="42"/>
    </row>
    <row r="137" spans="16:16" x14ac:dyDescent="0.35">
      <c r="P137" s="42"/>
    </row>
    <row r="138" spans="16:16" x14ac:dyDescent="0.35">
      <c r="P138" s="42"/>
    </row>
    <row r="139" spans="16:16" x14ac:dyDescent="0.35">
      <c r="P139" s="42"/>
    </row>
    <row r="140" spans="16:16" x14ac:dyDescent="0.35">
      <c r="P140" s="42"/>
    </row>
    <row r="141" spans="16:16" x14ac:dyDescent="0.35">
      <c r="P141" s="42"/>
    </row>
    <row r="142" spans="16:16" x14ac:dyDescent="0.35">
      <c r="P142" s="42"/>
    </row>
    <row r="143" spans="16:16" x14ac:dyDescent="0.35">
      <c r="P143" s="42"/>
    </row>
    <row r="144" spans="16:16" x14ac:dyDescent="0.35">
      <c r="P144" s="42"/>
    </row>
    <row r="145" spans="16:16" x14ac:dyDescent="0.35">
      <c r="P145" s="42"/>
    </row>
    <row r="146" spans="16:16" x14ac:dyDescent="0.35">
      <c r="P146" s="42"/>
    </row>
    <row r="147" spans="16:16" x14ac:dyDescent="0.35">
      <c r="P147" s="42"/>
    </row>
    <row r="148" spans="16:16" x14ac:dyDescent="0.35">
      <c r="P148" s="42"/>
    </row>
    <row r="149" spans="16:16" x14ac:dyDescent="0.35">
      <c r="P149" s="42"/>
    </row>
    <row r="150" spans="16:16" x14ac:dyDescent="0.35">
      <c r="P150" s="42"/>
    </row>
    <row r="151" spans="16:16" x14ac:dyDescent="0.35">
      <c r="P151" s="42"/>
    </row>
    <row r="152" spans="16:16" x14ac:dyDescent="0.35">
      <c r="P152" s="42"/>
    </row>
    <row r="153" spans="16:16" x14ac:dyDescent="0.35">
      <c r="P153" s="42"/>
    </row>
    <row r="154" spans="16:16" x14ac:dyDescent="0.35">
      <c r="P154" s="42"/>
    </row>
    <row r="155" spans="16:16" x14ac:dyDescent="0.35">
      <c r="P155" s="42"/>
    </row>
    <row r="156" spans="16:16" x14ac:dyDescent="0.35">
      <c r="P156" s="42"/>
    </row>
    <row r="157" spans="16:16" x14ac:dyDescent="0.35">
      <c r="P157" s="42"/>
    </row>
    <row r="158" spans="16:16" x14ac:dyDescent="0.35">
      <c r="P158" s="42"/>
    </row>
    <row r="159" spans="16:16" x14ac:dyDescent="0.35">
      <c r="P159" s="42"/>
    </row>
    <row r="160" spans="16:16" x14ac:dyDescent="0.35">
      <c r="P160" s="42"/>
    </row>
    <row r="161" spans="16:16" x14ac:dyDescent="0.35">
      <c r="P161" s="42"/>
    </row>
    <row r="162" spans="16:16" x14ac:dyDescent="0.35">
      <c r="P162" s="42"/>
    </row>
    <row r="163" spans="16:16" x14ac:dyDescent="0.35">
      <c r="P163" s="42"/>
    </row>
    <row r="164" spans="16:16" x14ac:dyDescent="0.35">
      <c r="P164" s="42"/>
    </row>
    <row r="165" spans="16:16" x14ac:dyDescent="0.35">
      <c r="P165" s="42"/>
    </row>
    <row r="166" spans="16:16" x14ac:dyDescent="0.35">
      <c r="P166" s="42"/>
    </row>
    <row r="167" spans="16:16" x14ac:dyDescent="0.35">
      <c r="P167" s="42"/>
    </row>
    <row r="168" spans="16:16" x14ac:dyDescent="0.35">
      <c r="P168" s="42"/>
    </row>
    <row r="169" spans="16:16" x14ac:dyDescent="0.35">
      <c r="P169" s="42"/>
    </row>
    <row r="170" spans="16:16" x14ac:dyDescent="0.35">
      <c r="P170" s="42"/>
    </row>
    <row r="171" spans="16:16" x14ac:dyDescent="0.35">
      <c r="P171" s="42"/>
    </row>
    <row r="172" spans="16:16" x14ac:dyDescent="0.35">
      <c r="P172" s="42"/>
    </row>
    <row r="173" spans="16:16" x14ac:dyDescent="0.35">
      <c r="P173" s="42"/>
    </row>
    <row r="174" spans="16:16" x14ac:dyDescent="0.35">
      <c r="P174" s="42"/>
    </row>
    <row r="175" spans="16:16" x14ac:dyDescent="0.35">
      <c r="P175" s="42"/>
    </row>
    <row r="176" spans="16:16" x14ac:dyDescent="0.35">
      <c r="P176" s="42"/>
    </row>
    <row r="177" spans="16:16" x14ac:dyDescent="0.35">
      <c r="P177" s="42"/>
    </row>
    <row r="178" spans="16:16" x14ac:dyDescent="0.35">
      <c r="P178" s="42"/>
    </row>
    <row r="179" spans="16:16" x14ac:dyDescent="0.35">
      <c r="P179" s="43"/>
    </row>
    <row r="180" spans="16:16" x14ac:dyDescent="0.35">
      <c r="P180" s="42"/>
    </row>
    <row r="181" spans="16:16" x14ac:dyDescent="0.35">
      <c r="P181" s="42"/>
    </row>
    <row r="182" spans="16:16" x14ac:dyDescent="0.35">
      <c r="P182" s="42"/>
    </row>
    <row r="183" spans="16:16" x14ac:dyDescent="0.35">
      <c r="P183" s="42"/>
    </row>
    <row r="184" spans="16:16" x14ac:dyDescent="0.35">
      <c r="P184" s="42"/>
    </row>
    <row r="185" spans="16:16" x14ac:dyDescent="0.35">
      <c r="P185" s="42"/>
    </row>
    <row r="186" spans="16:16" x14ac:dyDescent="0.35">
      <c r="P186" s="42"/>
    </row>
    <row r="187" spans="16:16" x14ac:dyDescent="0.35">
      <c r="P187" s="42"/>
    </row>
    <row r="188" spans="16:16" x14ac:dyDescent="0.35">
      <c r="P188" s="42"/>
    </row>
    <row r="189" spans="16:16" x14ac:dyDescent="0.35">
      <c r="P189" s="42"/>
    </row>
    <row r="190" spans="16:16" x14ac:dyDescent="0.35">
      <c r="P190" s="42"/>
    </row>
    <row r="191" spans="16:16" x14ac:dyDescent="0.35">
      <c r="P191" s="42"/>
    </row>
    <row r="192" spans="16:16" x14ac:dyDescent="0.35">
      <c r="P192" s="42"/>
    </row>
    <row r="193" spans="16:16" x14ac:dyDescent="0.35">
      <c r="P193" s="42"/>
    </row>
    <row r="194" spans="16:16" x14ac:dyDescent="0.35">
      <c r="P194" s="42"/>
    </row>
    <row r="195" spans="16:16" x14ac:dyDescent="0.35">
      <c r="P195" s="42"/>
    </row>
    <row r="196" spans="16:16" x14ac:dyDescent="0.35">
      <c r="P196" s="42"/>
    </row>
    <row r="197" spans="16:16" x14ac:dyDescent="0.35">
      <c r="P197" s="42"/>
    </row>
    <row r="198" spans="16:16" x14ac:dyDescent="0.35">
      <c r="P198" s="42"/>
    </row>
    <row r="199" spans="16:16" x14ac:dyDescent="0.35">
      <c r="P199" s="42"/>
    </row>
    <row r="200" spans="16:16" x14ac:dyDescent="0.35">
      <c r="P200" s="42"/>
    </row>
    <row r="201" spans="16:16" x14ac:dyDescent="0.35">
      <c r="P201" s="42"/>
    </row>
    <row r="202" spans="16:16" x14ac:dyDescent="0.35">
      <c r="P202" s="42"/>
    </row>
    <row r="203" spans="16:16" x14ac:dyDescent="0.35">
      <c r="P203" s="42"/>
    </row>
    <row r="204" spans="16:16" x14ac:dyDescent="0.35">
      <c r="P204" s="42"/>
    </row>
    <row r="205" spans="16:16" x14ac:dyDescent="0.35">
      <c r="P205" s="42"/>
    </row>
    <row r="206" spans="16:16" x14ac:dyDescent="0.35">
      <c r="P206" s="42"/>
    </row>
    <row r="207" spans="16:16" x14ac:dyDescent="0.3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topLeftCell="A55" workbookViewId="0">
      <selection activeCell="O23" sqref="O23"/>
    </sheetView>
  </sheetViews>
  <sheetFormatPr defaultColWidth="19.54296875" defaultRowHeight="14.5" x14ac:dyDescent="0.35"/>
  <cols>
    <col min="1" max="1" width="11.54296875" style="1" customWidth="1"/>
    <col min="2" max="2" width="12.81640625" style="1" customWidth="1"/>
    <col min="3" max="3" width="14.81640625" style="1" customWidth="1"/>
    <col min="4" max="4" width="22.453125" style="1" customWidth="1"/>
    <col min="5" max="5" width="11.1796875" style="1" customWidth="1"/>
    <col min="6" max="6" width="10.453125" style="1" customWidth="1"/>
    <col min="7" max="7" width="14" style="1" customWidth="1"/>
    <col min="8" max="8" width="16.81640625" style="1" customWidth="1"/>
    <col min="9" max="9" width="16.453125" style="1" customWidth="1"/>
    <col min="10" max="10" width="12.81640625" style="1" customWidth="1"/>
    <col min="11" max="11" width="14.54296875" style="1" customWidth="1"/>
    <col min="12" max="12" width="13.1796875" style="1" customWidth="1"/>
    <col min="13" max="13" width="15.1796875" style="1" customWidth="1"/>
    <col min="14" max="14" width="15.81640625" style="1" customWidth="1"/>
    <col min="15" max="15" width="28.81640625" style="1" customWidth="1"/>
    <col min="16" max="16" width="22.453125" style="1" customWidth="1"/>
    <col min="17" max="16384" width="19.54296875" style="1"/>
  </cols>
  <sheetData>
    <row r="1" spans="1:21" ht="50.25" customHeight="1" thickBot="1" x14ac:dyDescent="0.4">
      <c r="A1" s="115" t="s">
        <v>0</v>
      </c>
      <c r="B1" s="132" t="s">
        <v>1</v>
      </c>
      <c r="C1" s="132" t="s">
        <v>32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33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45">
      <c r="A2" s="63">
        <v>3231</v>
      </c>
      <c r="B2" s="187">
        <v>45854</v>
      </c>
      <c r="C2" s="187"/>
      <c r="D2" s="40">
        <v>4</v>
      </c>
      <c r="E2" s="40">
        <v>99</v>
      </c>
      <c r="F2" s="40">
        <v>55</v>
      </c>
      <c r="G2" s="40">
        <v>44</v>
      </c>
      <c r="H2" s="40">
        <v>3</v>
      </c>
      <c r="I2" s="215">
        <v>45883</v>
      </c>
      <c r="J2" s="13">
        <v>105</v>
      </c>
      <c r="K2" s="13"/>
      <c r="L2" s="13"/>
      <c r="M2" s="13" t="s">
        <v>29</v>
      </c>
      <c r="N2" s="40" t="s">
        <v>14</v>
      </c>
      <c r="O2" s="53">
        <v>45883</v>
      </c>
      <c r="P2" s="40">
        <v>3231</v>
      </c>
      <c r="R2" s="229" t="s">
        <v>15</v>
      </c>
      <c r="S2" s="230"/>
      <c r="T2" s="230"/>
      <c r="U2" s="231"/>
    </row>
    <row r="3" spans="1:21" ht="15" customHeight="1" x14ac:dyDescent="0.45">
      <c r="A3" s="63">
        <v>3232</v>
      </c>
      <c r="B3" s="93">
        <v>45858</v>
      </c>
      <c r="C3" s="93"/>
      <c r="D3" s="40">
        <v>4</v>
      </c>
      <c r="E3" s="40">
        <v>52</v>
      </c>
      <c r="F3" s="40">
        <v>48</v>
      </c>
      <c r="G3" s="40">
        <v>4</v>
      </c>
      <c r="H3" s="40">
        <v>1</v>
      </c>
      <c r="I3" s="162">
        <v>45859</v>
      </c>
      <c r="J3" s="13">
        <v>4</v>
      </c>
      <c r="K3" s="13"/>
      <c r="L3" s="13"/>
      <c r="M3" s="13" t="s">
        <v>29</v>
      </c>
      <c r="N3" s="40" t="s">
        <v>14</v>
      </c>
      <c r="O3" s="53">
        <v>45859</v>
      </c>
      <c r="P3" s="40">
        <v>3232</v>
      </c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5">
      <c r="A4" s="63">
        <v>3233</v>
      </c>
      <c r="B4" s="209">
        <v>45887</v>
      </c>
      <c r="C4" s="214"/>
      <c r="D4" s="40">
        <v>2</v>
      </c>
      <c r="E4" s="40">
        <v>7</v>
      </c>
      <c r="F4" s="40">
        <v>7</v>
      </c>
      <c r="G4" s="40">
        <v>0</v>
      </c>
      <c r="H4" s="40">
        <v>0</v>
      </c>
      <c r="I4" s="13"/>
      <c r="J4" s="13"/>
      <c r="K4" s="13"/>
      <c r="L4" s="13"/>
      <c r="M4" s="13" t="s">
        <v>29</v>
      </c>
      <c r="N4" s="40" t="s">
        <v>37</v>
      </c>
      <c r="O4" s="67">
        <v>45887</v>
      </c>
      <c r="P4" s="192">
        <v>3233</v>
      </c>
      <c r="R4" s="28">
        <v>36</v>
      </c>
      <c r="S4" s="29">
        <f>COUNTA(A:A)-1</f>
        <v>72</v>
      </c>
      <c r="T4" s="29">
        <f>COUNTA(O:O)-1</f>
        <v>51</v>
      </c>
      <c r="U4" s="30">
        <f>T4/S4</f>
        <v>0.70833333333333337</v>
      </c>
    </row>
    <row r="5" spans="1:21" ht="15" customHeight="1" x14ac:dyDescent="0.45">
      <c r="A5" s="63">
        <v>3234</v>
      </c>
      <c r="B5" s="93">
        <v>45858</v>
      </c>
      <c r="C5" s="93"/>
      <c r="D5" s="40">
        <v>1</v>
      </c>
      <c r="E5" s="40">
        <v>4</v>
      </c>
      <c r="F5" s="40">
        <v>4</v>
      </c>
      <c r="G5" s="40">
        <v>0</v>
      </c>
      <c r="H5" s="40">
        <v>0</v>
      </c>
      <c r="I5" s="13"/>
      <c r="J5" s="13"/>
      <c r="K5" s="13"/>
      <c r="L5" s="13"/>
      <c r="M5" s="13" t="s">
        <v>29</v>
      </c>
      <c r="N5" s="40" t="s">
        <v>14</v>
      </c>
      <c r="O5" s="40" t="s">
        <v>31</v>
      </c>
      <c r="P5" s="40">
        <v>3234</v>
      </c>
    </row>
    <row r="6" spans="1:21" ht="15" customHeight="1" x14ac:dyDescent="0.45">
      <c r="A6" s="63">
        <v>3235</v>
      </c>
      <c r="B6" s="187"/>
      <c r="C6" s="186"/>
      <c r="D6" s="40"/>
      <c r="E6" s="40"/>
      <c r="F6" s="40"/>
      <c r="G6" s="40"/>
      <c r="H6" s="40"/>
      <c r="I6" s="13"/>
      <c r="J6" s="13"/>
      <c r="K6" s="13"/>
      <c r="L6" s="13"/>
      <c r="M6" s="13"/>
      <c r="N6" s="40"/>
      <c r="O6" s="53"/>
      <c r="P6" s="40"/>
    </row>
    <row r="7" spans="1:21" ht="15" customHeight="1" x14ac:dyDescent="0.45">
      <c r="A7" s="63">
        <v>3236</v>
      </c>
      <c r="B7" s="93">
        <v>45867</v>
      </c>
      <c r="C7" s="163"/>
      <c r="D7" s="40">
        <v>2</v>
      </c>
      <c r="E7" s="65">
        <v>10</v>
      </c>
      <c r="F7" s="65">
        <v>10</v>
      </c>
      <c r="G7" s="65">
        <v>0</v>
      </c>
      <c r="H7" s="65">
        <v>0</v>
      </c>
      <c r="I7" s="66"/>
      <c r="J7" s="66"/>
      <c r="K7" s="66"/>
      <c r="L7" s="66"/>
      <c r="M7" s="66" t="s">
        <v>29</v>
      </c>
      <c r="N7" s="64" t="s">
        <v>14</v>
      </c>
      <c r="O7" s="53">
        <v>45867</v>
      </c>
      <c r="P7" s="65"/>
    </row>
    <row r="8" spans="1:21" ht="15" customHeight="1" x14ac:dyDescent="0.45">
      <c r="A8" s="63">
        <v>3237</v>
      </c>
      <c r="B8" s="36">
        <v>45844</v>
      </c>
      <c r="C8" s="36"/>
      <c r="D8" s="40">
        <v>4</v>
      </c>
      <c r="E8" s="40">
        <v>98</v>
      </c>
      <c r="F8" s="40">
        <v>98</v>
      </c>
      <c r="G8" s="40">
        <v>0</v>
      </c>
      <c r="H8" s="40">
        <v>0</v>
      </c>
      <c r="I8" s="13"/>
      <c r="J8" s="13"/>
      <c r="K8" s="13"/>
      <c r="L8" s="13"/>
      <c r="M8" s="13" t="s">
        <v>29</v>
      </c>
      <c r="N8" s="40" t="s">
        <v>14</v>
      </c>
      <c r="O8" s="53">
        <v>45844</v>
      </c>
      <c r="P8" s="40">
        <v>3237</v>
      </c>
    </row>
    <row r="9" spans="1:21" ht="15" customHeight="1" x14ac:dyDescent="0.45">
      <c r="A9" s="63">
        <v>3238</v>
      </c>
      <c r="B9" s="36">
        <v>45834</v>
      </c>
      <c r="C9" s="36"/>
      <c r="D9" s="40">
        <v>2</v>
      </c>
      <c r="E9" s="40">
        <v>14</v>
      </c>
      <c r="F9" s="40">
        <v>14</v>
      </c>
      <c r="G9" s="40">
        <v>0</v>
      </c>
      <c r="H9" s="40">
        <v>1</v>
      </c>
      <c r="I9" s="70">
        <v>45843</v>
      </c>
      <c r="J9" s="13">
        <v>14</v>
      </c>
      <c r="K9" s="13"/>
      <c r="L9" s="13"/>
      <c r="M9" s="13" t="s">
        <v>29</v>
      </c>
      <c r="N9" s="40" t="s">
        <v>14</v>
      </c>
      <c r="O9" s="53">
        <v>45843</v>
      </c>
      <c r="P9" s="40">
        <v>3238</v>
      </c>
    </row>
    <row r="10" spans="1:21" ht="15" customHeight="1" x14ac:dyDescent="0.45">
      <c r="A10" s="63">
        <v>3239</v>
      </c>
      <c r="B10" s="35"/>
      <c r="C10" s="35"/>
      <c r="D10" s="40"/>
      <c r="E10" s="40"/>
      <c r="F10" s="40"/>
      <c r="G10" s="40"/>
      <c r="H10" s="40"/>
      <c r="I10" s="13"/>
      <c r="J10" s="13"/>
      <c r="K10" s="13"/>
      <c r="L10" s="13"/>
      <c r="M10" s="13"/>
      <c r="N10" s="40"/>
      <c r="O10" s="40"/>
      <c r="P10" s="40"/>
    </row>
    <row r="11" spans="1:21" ht="15" customHeight="1" x14ac:dyDescent="0.45">
      <c r="A11" s="63">
        <v>3240</v>
      </c>
      <c r="B11" s="36">
        <v>45851</v>
      </c>
      <c r="C11" s="36"/>
      <c r="D11" s="40">
        <v>1</v>
      </c>
      <c r="E11" s="40">
        <v>27</v>
      </c>
      <c r="F11" s="40">
        <v>27</v>
      </c>
      <c r="G11" s="40">
        <v>0</v>
      </c>
      <c r="H11" s="40">
        <v>0</v>
      </c>
      <c r="I11" s="13"/>
      <c r="J11" s="13"/>
      <c r="K11" s="13"/>
      <c r="L11" s="13"/>
      <c r="M11" s="13" t="s">
        <v>29</v>
      </c>
      <c r="N11" s="40" t="s">
        <v>14</v>
      </c>
      <c r="O11" s="53">
        <v>45851</v>
      </c>
      <c r="P11" s="40"/>
    </row>
    <row r="12" spans="1:21" ht="15" customHeight="1" x14ac:dyDescent="0.45">
      <c r="A12" s="63">
        <v>3241</v>
      </c>
      <c r="B12" s="52">
        <v>45831</v>
      </c>
      <c r="C12" s="52"/>
      <c r="D12" s="40">
        <v>3</v>
      </c>
      <c r="E12" s="40">
        <v>12</v>
      </c>
      <c r="F12" s="40">
        <v>12</v>
      </c>
      <c r="G12" s="40">
        <v>0</v>
      </c>
      <c r="H12" s="40">
        <v>0</v>
      </c>
      <c r="I12" s="13"/>
      <c r="J12" s="13"/>
      <c r="K12" s="13"/>
      <c r="L12" s="13"/>
      <c r="M12" s="13" t="s">
        <v>29</v>
      </c>
      <c r="N12" s="40" t="s">
        <v>14</v>
      </c>
      <c r="O12" s="67">
        <v>45831</v>
      </c>
      <c r="P12" s="40">
        <v>3241</v>
      </c>
    </row>
    <row r="13" spans="1:21" ht="15" customHeight="1" x14ac:dyDescent="0.45">
      <c r="A13" s="63">
        <v>3242</v>
      </c>
      <c r="B13" s="52">
        <v>45833</v>
      </c>
      <c r="C13" s="52"/>
      <c r="D13" s="40">
        <v>4</v>
      </c>
      <c r="E13" s="40">
        <v>58</v>
      </c>
      <c r="F13" s="40">
        <v>58</v>
      </c>
      <c r="G13" s="40">
        <v>0</v>
      </c>
      <c r="H13" s="40">
        <v>0</v>
      </c>
      <c r="I13" s="13"/>
      <c r="J13" s="13"/>
      <c r="K13" s="13"/>
      <c r="L13" s="13"/>
      <c r="M13" s="13" t="s">
        <v>29</v>
      </c>
      <c r="N13" s="40" t="s">
        <v>14</v>
      </c>
      <c r="O13" s="67">
        <v>45833</v>
      </c>
      <c r="P13" s="40">
        <v>3242</v>
      </c>
    </row>
    <row r="14" spans="1:21" ht="15" customHeight="1" x14ac:dyDescent="0.45">
      <c r="A14" s="63">
        <v>3243</v>
      </c>
      <c r="B14" s="36">
        <v>45846</v>
      </c>
      <c r="C14" s="36"/>
      <c r="D14" s="40">
        <v>3</v>
      </c>
      <c r="E14" s="40">
        <v>16</v>
      </c>
      <c r="F14" s="40">
        <v>16</v>
      </c>
      <c r="G14" s="40">
        <v>0</v>
      </c>
      <c r="H14" s="40">
        <v>0</v>
      </c>
      <c r="I14" s="13"/>
      <c r="J14" s="13"/>
      <c r="K14" s="13"/>
      <c r="L14" s="13"/>
      <c r="M14" s="13" t="s">
        <v>29</v>
      </c>
      <c r="N14" s="40" t="s">
        <v>14</v>
      </c>
      <c r="O14" s="53">
        <v>45846</v>
      </c>
      <c r="P14" s="40">
        <v>3243</v>
      </c>
    </row>
    <row r="15" spans="1:21" ht="15" customHeight="1" x14ac:dyDescent="0.45">
      <c r="A15" s="63">
        <v>3244</v>
      </c>
      <c r="B15" s="36">
        <v>45838</v>
      </c>
      <c r="C15" s="36"/>
      <c r="D15" s="40">
        <v>1</v>
      </c>
      <c r="E15" s="40">
        <v>27</v>
      </c>
      <c r="F15" s="40">
        <v>27</v>
      </c>
      <c r="G15" s="40">
        <v>0</v>
      </c>
      <c r="H15" s="40">
        <v>3</v>
      </c>
      <c r="I15" s="70">
        <v>45851</v>
      </c>
      <c r="J15" s="13">
        <v>192</v>
      </c>
      <c r="K15" s="13"/>
      <c r="L15" s="13"/>
      <c r="M15" s="13" t="s">
        <v>29</v>
      </c>
      <c r="N15" s="40" t="s">
        <v>14</v>
      </c>
      <c r="O15" s="53">
        <v>45851</v>
      </c>
      <c r="P15" s="40">
        <v>3244</v>
      </c>
    </row>
    <row r="16" spans="1:21" ht="15" customHeight="1" x14ac:dyDescent="0.45">
      <c r="A16" s="63">
        <v>3245</v>
      </c>
      <c r="B16" s="35"/>
      <c r="C16" s="35"/>
      <c r="D16" s="40"/>
      <c r="E16" s="40"/>
      <c r="F16" s="40"/>
      <c r="G16" s="40"/>
      <c r="H16" s="40"/>
      <c r="I16" s="13"/>
      <c r="J16" s="13"/>
      <c r="K16" s="13"/>
      <c r="L16" s="13"/>
      <c r="M16" s="13"/>
      <c r="N16" s="40"/>
      <c r="O16" s="40"/>
      <c r="P16" s="40"/>
    </row>
    <row r="17" spans="1:16" ht="15" customHeight="1" x14ac:dyDescent="0.45">
      <c r="A17" s="63">
        <v>3246</v>
      </c>
      <c r="B17" s="96">
        <v>45876</v>
      </c>
      <c r="C17" s="168"/>
      <c r="D17" s="40">
        <v>1</v>
      </c>
      <c r="E17" s="65">
        <v>75</v>
      </c>
      <c r="F17" s="65">
        <v>75</v>
      </c>
      <c r="G17" s="65">
        <v>0</v>
      </c>
      <c r="H17" s="65">
        <v>0</v>
      </c>
      <c r="I17" s="66"/>
      <c r="J17" s="66"/>
      <c r="K17" s="66"/>
      <c r="L17" s="66"/>
      <c r="M17" s="66" t="s">
        <v>29</v>
      </c>
      <c r="N17" s="64" t="s">
        <v>14</v>
      </c>
      <c r="O17" s="67">
        <v>45876</v>
      </c>
      <c r="P17" s="65">
        <v>3246</v>
      </c>
    </row>
    <row r="18" spans="1:16" ht="15" customHeight="1" x14ac:dyDescent="0.45">
      <c r="A18" s="68">
        <v>3247</v>
      </c>
      <c r="B18" s="35"/>
      <c r="C18" s="35"/>
      <c r="D18" s="40"/>
      <c r="E18" s="69"/>
      <c r="F18" s="69"/>
      <c r="G18" s="69"/>
      <c r="H18" s="69"/>
      <c r="I18" s="69"/>
      <c r="J18" s="69"/>
      <c r="K18" s="69"/>
      <c r="L18" s="69"/>
      <c r="M18" s="69"/>
      <c r="N18" s="64"/>
      <c r="O18" s="53"/>
      <c r="P18" s="69"/>
    </row>
    <row r="19" spans="1:16" ht="15" customHeight="1" x14ac:dyDescent="0.45">
      <c r="A19" s="63">
        <v>3248</v>
      </c>
      <c r="B19" s="93">
        <v>45868</v>
      </c>
      <c r="C19" s="163"/>
      <c r="D19" s="40">
        <v>2</v>
      </c>
      <c r="E19" s="40">
        <v>7</v>
      </c>
      <c r="F19" s="40">
        <v>7</v>
      </c>
      <c r="G19" s="40">
        <v>0</v>
      </c>
      <c r="H19" s="40">
        <v>0</v>
      </c>
      <c r="I19" s="13"/>
      <c r="J19" s="13"/>
      <c r="K19" s="13"/>
      <c r="L19" s="13"/>
      <c r="M19" s="13" t="s">
        <v>29</v>
      </c>
      <c r="N19" s="40" t="s">
        <v>14</v>
      </c>
      <c r="O19" s="53">
        <v>45868</v>
      </c>
      <c r="P19" s="40">
        <v>3248</v>
      </c>
    </row>
    <row r="20" spans="1:16" ht="15" customHeight="1" x14ac:dyDescent="0.45">
      <c r="A20" s="63">
        <v>3250</v>
      </c>
      <c r="B20" s="35"/>
      <c r="C20" s="35"/>
      <c r="D20" s="40"/>
      <c r="E20" s="40"/>
      <c r="F20" s="40"/>
      <c r="G20" s="40"/>
      <c r="H20" s="40"/>
      <c r="I20" s="13"/>
      <c r="J20" s="13"/>
      <c r="K20" s="13"/>
      <c r="L20" s="13"/>
      <c r="M20" s="13"/>
      <c r="N20" s="40"/>
      <c r="O20" s="53"/>
      <c r="P20" s="40"/>
    </row>
    <row r="21" spans="1:16" ht="15" customHeight="1" x14ac:dyDescent="0.45">
      <c r="A21" s="63">
        <v>3251</v>
      </c>
      <c r="B21" s="35"/>
      <c r="C21" s="35"/>
      <c r="D21" s="40"/>
      <c r="E21" s="40"/>
      <c r="F21" s="40"/>
      <c r="G21" s="40"/>
      <c r="H21" s="40"/>
      <c r="I21" s="13"/>
      <c r="J21" s="13"/>
      <c r="K21" s="13"/>
      <c r="L21" s="13"/>
      <c r="M21" s="13"/>
      <c r="N21" s="40"/>
      <c r="O21" s="40"/>
      <c r="P21" s="40"/>
    </row>
    <row r="22" spans="1:16" ht="15" customHeight="1" x14ac:dyDescent="0.45">
      <c r="A22" s="182">
        <v>3252</v>
      </c>
      <c r="B22" s="35"/>
      <c r="C22" s="35"/>
      <c r="D22" s="40"/>
      <c r="E22" s="40"/>
      <c r="F22" s="40"/>
      <c r="G22" s="40"/>
      <c r="H22" s="40"/>
      <c r="I22" s="13"/>
      <c r="J22" s="13"/>
      <c r="K22" s="13"/>
      <c r="L22" s="13"/>
      <c r="M22" s="13"/>
      <c r="N22" s="40"/>
      <c r="O22" s="40"/>
      <c r="P22" s="40"/>
    </row>
    <row r="23" spans="1:16" ht="15" customHeight="1" x14ac:dyDescent="0.45">
      <c r="A23" s="68">
        <v>3253</v>
      </c>
      <c r="B23" s="35"/>
      <c r="C23" s="35"/>
      <c r="D23" s="40"/>
      <c r="E23" s="40"/>
      <c r="F23" s="40"/>
      <c r="G23" s="40"/>
      <c r="H23" s="40"/>
      <c r="I23" s="13"/>
      <c r="J23" s="13"/>
      <c r="K23" s="13"/>
      <c r="L23" s="13"/>
      <c r="M23" s="13"/>
      <c r="N23" s="40"/>
      <c r="O23" s="170"/>
      <c r="P23" s="40"/>
    </row>
    <row r="24" spans="1:16" ht="15" customHeight="1" x14ac:dyDescent="0.45">
      <c r="A24" s="63">
        <v>3254</v>
      </c>
      <c r="B24" s="35"/>
      <c r="C24" s="35"/>
      <c r="D24" s="40"/>
      <c r="E24" s="40"/>
      <c r="F24" s="40"/>
      <c r="G24" s="40"/>
      <c r="H24" s="40"/>
      <c r="I24" s="13"/>
      <c r="J24" s="13"/>
      <c r="K24" s="13"/>
      <c r="L24" s="13"/>
      <c r="M24" s="13"/>
      <c r="N24" s="40"/>
      <c r="O24" s="40"/>
      <c r="P24" s="40"/>
    </row>
    <row r="25" spans="1:16" ht="15" customHeight="1" x14ac:dyDescent="0.45">
      <c r="A25" s="63">
        <v>3255</v>
      </c>
      <c r="B25" s="227">
        <v>45894</v>
      </c>
      <c r="C25" s="228"/>
      <c r="D25" s="40">
        <v>2</v>
      </c>
      <c r="E25" s="40">
        <v>37</v>
      </c>
      <c r="F25" s="40">
        <v>37</v>
      </c>
      <c r="G25" s="40">
        <v>0</v>
      </c>
      <c r="H25" s="40">
        <v>0</v>
      </c>
      <c r="I25" s="13"/>
      <c r="J25" s="13"/>
      <c r="K25" s="13"/>
      <c r="L25" s="13"/>
      <c r="M25" s="13" t="s">
        <v>29</v>
      </c>
      <c r="N25" s="40" t="s">
        <v>40</v>
      </c>
      <c r="O25" s="67">
        <v>45894</v>
      </c>
      <c r="P25" s="40">
        <v>3255</v>
      </c>
    </row>
    <row r="26" spans="1:16" ht="15" customHeight="1" x14ac:dyDescent="0.45">
      <c r="A26" s="63">
        <v>3256</v>
      </c>
      <c r="B26" s="50"/>
      <c r="C26" s="50"/>
      <c r="D26" s="40"/>
      <c r="E26" s="40"/>
      <c r="F26" s="40"/>
      <c r="G26" s="40"/>
      <c r="H26" s="40"/>
      <c r="I26" s="13"/>
      <c r="J26" s="13"/>
      <c r="K26" s="13"/>
      <c r="L26" s="13"/>
      <c r="M26" s="13"/>
      <c r="N26" s="40"/>
      <c r="O26" s="64"/>
      <c r="P26" s="40"/>
    </row>
    <row r="27" spans="1:16" ht="15" customHeight="1" x14ac:dyDescent="0.45">
      <c r="A27" s="63">
        <v>3258</v>
      </c>
      <c r="B27" s="36">
        <v>45844</v>
      </c>
      <c r="C27" s="36"/>
      <c r="D27" s="40">
        <v>1</v>
      </c>
      <c r="E27" s="40">
        <v>5</v>
      </c>
      <c r="F27" s="40">
        <v>5</v>
      </c>
      <c r="G27" s="40">
        <v>0</v>
      </c>
      <c r="H27" s="40">
        <v>0</v>
      </c>
      <c r="I27" s="13"/>
      <c r="J27" s="13"/>
      <c r="K27" s="13"/>
      <c r="L27" s="13"/>
      <c r="M27" s="13" t="s">
        <v>29</v>
      </c>
      <c r="N27" s="40" t="s">
        <v>14</v>
      </c>
      <c r="O27" s="53">
        <v>45844</v>
      </c>
      <c r="P27" s="40">
        <v>3258</v>
      </c>
    </row>
    <row r="28" spans="1:16" ht="15" customHeight="1" x14ac:dyDescent="0.45">
      <c r="A28" s="63">
        <v>3259</v>
      </c>
      <c r="B28" s="187">
        <v>45862</v>
      </c>
      <c r="C28" s="186"/>
      <c r="D28" s="40">
        <v>2</v>
      </c>
      <c r="E28" s="69">
        <v>98</v>
      </c>
      <c r="F28" s="69">
        <v>98</v>
      </c>
      <c r="G28" s="69">
        <v>0</v>
      </c>
      <c r="H28" s="69">
        <v>0</v>
      </c>
      <c r="I28" s="69"/>
      <c r="J28" s="69"/>
      <c r="K28" s="69"/>
      <c r="L28" s="69"/>
      <c r="M28" s="69" t="s">
        <v>29</v>
      </c>
      <c r="N28" s="64" t="s">
        <v>14</v>
      </c>
      <c r="O28" s="53">
        <v>45862</v>
      </c>
      <c r="P28" s="69">
        <v>3259</v>
      </c>
    </row>
    <row r="29" spans="1:16" ht="15" customHeight="1" x14ac:dyDescent="0.45">
      <c r="A29" s="63">
        <v>3260</v>
      </c>
      <c r="B29" s="93"/>
      <c r="C29" s="185"/>
      <c r="D29" s="13"/>
      <c r="E29" s="65"/>
      <c r="F29" s="65"/>
      <c r="G29" s="65"/>
      <c r="H29" s="65"/>
      <c r="I29" s="66"/>
      <c r="J29" s="66"/>
      <c r="K29" s="66"/>
      <c r="L29" s="66"/>
      <c r="M29" s="66"/>
      <c r="N29" s="64"/>
      <c r="O29" s="40"/>
      <c r="P29" s="65"/>
    </row>
    <row r="30" spans="1:16" ht="15" customHeight="1" x14ac:dyDescent="0.45">
      <c r="A30" s="63">
        <v>3261</v>
      </c>
      <c r="B30" s="52">
        <v>45847</v>
      </c>
      <c r="C30" s="52"/>
      <c r="D30" s="210">
        <v>2</v>
      </c>
      <c r="E30" s="211">
        <v>17</v>
      </c>
      <c r="F30" s="212">
        <v>17</v>
      </c>
      <c r="G30" s="212">
        <v>0</v>
      </c>
      <c r="H30" s="212">
        <v>0</v>
      </c>
      <c r="I30" s="213"/>
      <c r="J30" s="213"/>
      <c r="K30" s="213"/>
      <c r="L30" s="213"/>
      <c r="M30" s="213" t="s">
        <v>29</v>
      </c>
      <c r="N30" s="210" t="s">
        <v>14</v>
      </c>
      <c r="O30" s="67">
        <v>45847</v>
      </c>
      <c r="P30" s="62"/>
    </row>
    <row r="31" spans="1:16" ht="15" customHeight="1" x14ac:dyDescent="0.45">
      <c r="A31" s="63">
        <v>3262</v>
      </c>
      <c r="B31" s="36">
        <v>45832</v>
      </c>
      <c r="C31" s="98"/>
      <c r="D31" s="10">
        <v>4</v>
      </c>
      <c r="E31" s="10">
        <v>160</v>
      </c>
      <c r="F31" s="10">
        <v>160</v>
      </c>
      <c r="G31" s="10">
        <v>0</v>
      </c>
      <c r="H31" s="10">
        <v>0</v>
      </c>
      <c r="I31" s="11"/>
      <c r="J31" s="11"/>
      <c r="K31" s="11"/>
      <c r="L31" s="11"/>
      <c r="M31" s="11" t="s">
        <v>29</v>
      </c>
      <c r="N31" s="40" t="s">
        <v>14</v>
      </c>
      <c r="O31" s="53">
        <v>45832</v>
      </c>
      <c r="P31" s="10"/>
    </row>
    <row r="32" spans="1:16" ht="15" customHeight="1" x14ac:dyDescent="0.45">
      <c r="A32" s="63">
        <v>3263</v>
      </c>
      <c r="B32" s="36">
        <v>45846</v>
      </c>
      <c r="C32" s="36"/>
      <c r="D32" s="40">
        <v>1</v>
      </c>
      <c r="E32" s="40">
        <v>12</v>
      </c>
      <c r="F32" s="40">
        <v>12</v>
      </c>
      <c r="G32" s="40">
        <v>0</v>
      </c>
      <c r="H32" s="40">
        <v>0</v>
      </c>
      <c r="I32" s="13"/>
      <c r="J32" s="13"/>
      <c r="K32" s="13"/>
      <c r="L32" s="13"/>
      <c r="M32" s="13" t="s">
        <v>29</v>
      </c>
      <c r="N32" s="40" t="s">
        <v>14</v>
      </c>
      <c r="O32" s="53">
        <v>45846</v>
      </c>
      <c r="P32" s="40"/>
    </row>
    <row r="33" spans="1:16" ht="15" customHeight="1" x14ac:dyDescent="0.45">
      <c r="A33" s="63">
        <v>3264</v>
      </c>
      <c r="B33" s="36">
        <v>45813</v>
      </c>
      <c r="C33" s="36"/>
      <c r="D33" s="40">
        <v>1</v>
      </c>
      <c r="E33" s="40">
        <v>26</v>
      </c>
      <c r="F33" s="40">
        <v>26</v>
      </c>
      <c r="G33" s="40">
        <v>0</v>
      </c>
      <c r="H33" s="40">
        <v>0</v>
      </c>
      <c r="I33" s="13"/>
      <c r="J33" s="13"/>
      <c r="K33" s="13"/>
      <c r="L33" s="13"/>
      <c r="M33" s="13" t="s">
        <v>29</v>
      </c>
      <c r="N33" s="40" t="s">
        <v>14</v>
      </c>
      <c r="O33" s="53">
        <v>45813</v>
      </c>
      <c r="P33" s="40"/>
    </row>
    <row r="34" spans="1:16" ht="15" customHeight="1" x14ac:dyDescent="0.45">
      <c r="A34" s="63">
        <v>3265</v>
      </c>
      <c r="B34" s="36"/>
      <c r="C34" s="36"/>
      <c r="D34" s="40"/>
      <c r="E34" s="40"/>
      <c r="F34" s="40"/>
      <c r="G34" s="40"/>
      <c r="H34" s="40"/>
      <c r="I34" s="13"/>
      <c r="J34" s="13"/>
      <c r="K34" s="13"/>
      <c r="L34" s="13"/>
      <c r="M34" s="13"/>
      <c r="N34" s="40"/>
      <c r="O34" s="40"/>
      <c r="P34" s="40"/>
    </row>
    <row r="35" spans="1:16" ht="15" customHeight="1" x14ac:dyDescent="0.45">
      <c r="A35" s="63">
        <v>3266</v>
      </c>
      <c r="B35" s="36">
        <v>45823</v>
      </c>
      <c r="C35" s="36"/>
      <c r="D35" s="40">
        <v>2</v>
      </c>
      <c r="E35" s="40">
        <v>22</v>
      </c>
      <c r="F35" s="40">
        <v>22</v>
      </c>
      <c r="G35" s="40">
        <v>0</v>
      </c>
      <c r="H35" s="40">
        <v>0</v>
      </c>
      <c r="I35" s="13"/>
      <c r="J35" s="13"/>
      <c r="K35" s="13"/>
      <c r="L35" s="13"/>
      <c r="M35" s="13" t="s">
        <v>29</v>
      </c>
      <c r="N35" s="40" t="s">
        <v>14</v>
      </c>
      <c r="O35" s="53">
        <v>45823</v>
      </c>
      <c r="P35" s="40"/>
    </row>
    <row r="36" spans="1:16" ht="15" customHeight="1" x14ac:dyDescent="0.45">
      <c r="A36" s="68">
        <v>3267</v>
      </c>
      <c r="B36" s="35"/>
      <c r="C36" s="35"/>
      <c r="D36" s="40"/>
      <c r="E36" s="40"/>
      <c r="F36" s="40"/>
      <c r="G36" s="40"/>
      <c r="H36" s="40"/>
      <c r="I36" s="13"/>
      <c r="J36" s="13"/>
      <c r="K36" s="13"/>
      <c r="L36" s="13"/>
      <c r="M36" s="13"/>
      <c r="N36" s="40"/>
      <c r="O36" s="40"/>
      <c r="P36" s="40"/>
    </row>
    <row r="37" spans="1:16" ht="15" customHeight="1" x14ac:dyDescent="0.45">
      <c r="A37" s="63">
        <v>3299</v>
      </c>
      <c r="B37" s="93">
        <v>45860</v>
      </c>
      <c r="C37" s="163"/>
      <c r="D37" s="40">
        <v>4</v>
      </c>
      <c r="E37" s="40">
        <v>56</v>
      </c>
      <c r="F37" s="40">
        <v>56</v>
      </c>
      <c r="G37" s="40">
        <v>0</v>
      </c>
      <c r="H37" s="40">
        <v>0</v>
      </c>
      <c r="I37" s="13"/>
      <c r="J37" s="13"/>
      <c r="K37" s="13"/>
      <c r="L37" s="13"/>
      <c r="M37" s="13" t="s">
        <v>29</v>
      </c>
      <c r="N37" s="40" t="s">
        <v>14</v>
      </c>
      <c r="O37" s="53">
        <v>45860</v>
      </c>
      <c r="P37" s="40">
        <v>3299</v>
      </c>
    </row>
    <row r="38" spans="1:16" ht="15" customHeight="1" x14ac:dyDescent="0.45">
      <c r="A38" s="63">
        <v>3531</v>
      </c>
      <c r="B38" s="209">
        <v>45857</v>
      </c>
      <c r="C38" s="209"/>
      <c r="D38" s="40">
        <v>3</v>
      </c>
      <c r="E38" s="65">
        <v>59</v>
      </c>
      <c r="F38" s="65">
        <v>59</v>
      </c>
      <c r="G38" s="65">
        <v>0</v>
      </c>
      <c r="H38" s="65">
        <v>0</v>
      </c>
      <c r="I38" s="66"/>
      <c r="J38" s="66"/>
      <c r="K38" s="66"/>
      <c r="L38" s="66"/>
      <c r="M38" s="66" t="s">
        <v>29</v>
      </c>
      <c r="N38" s="64" t="s">
        <v>14</v>
      </c>
      <c r="O38" s="67">
        <v>45857</v>
      </c>
      <c r="P38" s="65">
        <v>3531</v>
      </c>
    </row>
    <row r="39" spans="1:16" ht="15" customHeight="1" x14ac:dyDescent="0.45">
      <c r="A39" s="63">
        <v>3532</v>
      </c>
      <c r="B39" s="50"/>
      <c r="C39" s="50"/>
      <c r="D39" s="40"/>
      <c r="E39" s="40"/>
      <c r="F39" s="40"/>
      <c r="G39" s="40"/>
      <c r="H39" s="40"/>
      <c r="I39" s="13"/>
      <c r="J39" s="13"/>
      <c r="K39" s="13"/>
      <c r="L39" s="13"/>
      <c r="M39" s="13"/>
      <c r="N39" s="40"/>
      <c r="O39" s="64"/>
      <c r="P39" s="40"/>
    </row>
    <row r="40" spans="1:16" ht="15" customHeight="1" x14ac:dyDescent="0.45">
      <c r="A40" s="68">
        <v>3533</v>
      </c>
      <c r="B40" s="35"/>
      <c r="C40" s="35"/>
      <c r="D40" s="40"/>
      <c r="E40" s="40"/>
      <c r="F40" s="40"/>
      <c r="G40" s="40"/>
      <c r="H40" s="40"/>
      <c r="I40" s="13"/>
      <c r="J40" s="13"/>
      <c r="K40" s="13"/>
      <c r="L40" s="13"/>
      <c r="M40" s="13"/>
      <c r="N40" s="40"/>
      <c r="O40" s="40"/>
      <c r="P40" s="40"/>
    </row>
    <row r="41" spans="1:16" ht="15" customHeight="1" x14ac:dyDescent="0.45">
      <c r="A41" s="63">
        <v>3534</v>
      </c>
      <c r="B41" s="35"/>
      <c r="C41" s="35"/>
      <c r="D41" s="40"/>
      <c r="E41" s="40"/>
      <c r="F41" s="40"/>
      <c r="G41" s="40"/>
      <c r="H41" s="40"/>
      <c r="I41" s="13"/>
      <c r="J41" s="13"/>
      <c r="K41" s="13"/>
      <c r="L41" s="13"/>
      <c r="M41" s="13"/>
      <c r="N41" s="40"/>
      <c r="O41" s="40"/>
      <c r="P41" s="40"/>
    </row>
    <row r="42" spans="1:16" ht="15" customHeight="1" x14ac:dyDescent="0.45">
      <c r="A42" s="63">
        <v>3535</v>
      </c>
      <c r="B42" s="187">
        <v>45869</v>
      </c>
      <c r="C42" s="186"/>
      <c r="D42" s="40">
        <v>3</v>
      </c>
      <c r="E42" s="65">
        <v>64</v>
      </c>
      <c r="F42" s="65">
        <v>64</v>
      </c>
      <c r="G42" s="65">
        <v>0</v>
      </c>
      <c r="H42" s="65">
        <v>0</v>
      </c>
      <c r="I42" s="66"/>
      <c r="J42" s="66"/>
      <c r="K42" s="66"/>
      <c r="L42" s="66"/>
      <c r="M42" s="66" t="s">
        <v>29</v>
      </c>
      <c r="N42" s="64" t="s">
        <v>14</v>
      </c>
      <c r="O42" s="53">
        <v>45869</v>
      </c>
      <c r="P42" s="65">
        <v>3535</v>
      </c>
    </row>
    <row r="43" spans="1:16" ht="15" customHeight="1" x14ac:dyDescent="0.45">
      <c r="A43" s="63">
        <v>3536</v>
      </c>
      <c r="B43" s="35"/>
      <c r="C43" s="35"/>
      <c r="D43" s="40"/>
      <c r="E43" s="40"/>
      <c r="F43" s="40"/>
      <c r="G43" s="40"/>
      <c r="H43" s="40"/>
      <c r="I43" s="13"/>
      <c r="J43" s="13"/>
      <c r="K43" s="13"/>
      <c r="L43" s="13"/>
      <c r="M43" s="13"/>
      <c r="N43" s="40"/>
      <c r="O43" s="40"/>
      <c r="P43" s="40"/>
    </row>
    <row r="44" spans="1:16" ht="15" customHeight="1" x14ac:dyDescent="0.45">
      <c r="A44" s="63">
        <v>3537</v>
      </c>
      <c r="B44" s="36">
        <v>45850</v>
      </c>
      <c r="C44" s="36"/>
      <c r="D44" s="40">
        <v>1</v>
      </c>
      <c r="E44" s="40">
        <v>9</v>
      </c>
      <c r="F44" s="40">
        <v>9</v>
      </c>
      <c r="G44" s="40">
        <v>0</v>
      </c>
      <c r="H44" s="40">
        <v>0</v>
      </c>
      <c r="I44" s="13"/>
      <c r="J44" s="13"/>
      <c r="K44" s="13"/>
      <c r="L44" s="13"/>
      <c r="M44" s="13" t="s">
        <v>29</v>
      </c>
      <c r="N44" s="40" t="s">
        <v>14</v>
      </c>
      <c r="O44" s="36">
        <v>45850</v>
      </c>
      <c r="P44" s="40"/>
    </row>
    <row r="45" spans="1:16" ht="15" customHeight="1" x14ac:dyDescent="0.45">
      <c r="A45" s="63">
        <v>3538</v>
      </c>
      <c r="B45" s="36">
        <v>45847</v>
      </c>
      <c r="C45" s="36"/>
      <c r="D45" s="40">
        <v>1</v>
      </c>
      <c r="E45" s="40">
        <v>8</v>
      </c>
      <c r="F45" s="40">
        <v>8</v>
      </c>
      <c r="G45" s="40">
        <v>0</v>
      </c>
      <c r="H45" s="40">
        <v>0</v>
      </c>
      <c r="I45" s="13"/>
      <c r="J45" s="13"/>
      <c r="K45" s="13"/>
      <c r="L45" s="13"/>
      <c r="M45" s="13" t="s">
        <v>29</v>
      </c>
      <c r="N45" s="40" t="s">
        <v>14</v>
      </c>
      <c r="O45" s="36">
        <v>45847</v>
      </c>
      <c r="P45" s="40"/>
    </row>
    <row r="46" spans="1:16" ht="15" customHeight="1" x14ac:dyDescent="0.45">
      <c r="A46" s="68">
        <v>3540</v>
      </c>
      <c r="B46" s="50"/>
      <c r="C46" s="99"/>
      <c r="D46" s="13"/>
      <c r="E46" s="65"/>
      <c r="F46" s="65"/>
      <c r="G46" s="65"/>
      <c r="H46" s="65"/>
      <c r="I46" s="66"/>
      <c r="J46" s="66"/>
      <c r="K46" s="66"/>
      <c r="L46" s="66"/>
      <c r="M46" s="66"/>
      <c r="N46" s="64"/>
      <c r="O46" s="64"/>
      <c r="P46" s="65"/>
    </row>
    <row r="47" spans="1:16" ht="15" customHeight="1" x14ac:dyDescent="0.45">
      <c r="A47" s="63">
        <v>3541</v>
      </c>
      <c r="B47" s="52">
        <v>45848</v>
      </c>
      <c r="C47" s="100"/>
      <c r="D47" s="13">
        <v>3</v>
      </c>
      <c r="E47" s="65">
        <v>166</v>
      </c>
      <c r="F47" s="65">
        <v>166</v>
      </c>
      <c r="G47" s="65">
        <v>0</v>
      </c>
      <c r="H47" s="65">
        <v>0</v>
      </c>
      <c r="I47" s="66"/>
      <c r="J47" s="66"/>
      <c r="K47" s="66"/>
      <c r="L47" s="66"/>
      <c r="M47" s="66" t="s">
        <v>29</v>
      </c>
      <c r="N47" s="40" t="s">
        <v>14</v>
      </c>
      <c r="O47" s="67">
        <v>45848</v>
      </c>
      <c r="P47" s="65">
        <v>3541</v>
      </c>
    </row>
    <row r="48" spans="1:16" ht="15" customHeight="1" x14ac:dyDescent="0.45">
      <c r="A48" s="63">
        <v>3542</v>
      </c>
      <c r="B48" s="36">
        <v>45828</v>
      </c>
      <c r="C48" s="36"/>
      <c r="D48" s="40">
        <v>3</v>
      </c>
      <c r="E48" s="40">
        <v>198</v>
      </c>
      <c r="F48" s="40">
        <v>198</v>
      </c>
      <c r="G48" s="40">
        <v>0</v>
      </c>
      <c r="H48" s="40">
        <v>0</v>
      </c>
      <c r="I48" s="13"/>
      <c r="J48" s="13"/>
      <c r="K48" s="13"/>
      <c r="L48" s="13"/>
      <c r="M48" s="13" t="s">
        <v>29</v>
      </c>
      <c r="N48" s="40" t="s">
        <v>14</v>
      </c>
      <c r="O48" s="53">
        <v>45828</v>
      </c>
      <c r="P48" s="40">
        <v>3542</v>
      </c>
    </row>
    <row r="49" spans="1:19" ht="15" customHeight="1" x14ac:dyDescent="0.45">
      <c r="A49" s="63">
        <v>3543</v>
      </c>
      <c r="B49" s="72"/>
      <c r="C49" s="101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9" ht="15" customHeight="1" x14ac:dyDescent="0.45">
      <c r="A50" s="68">
        <v>3544</v>
      </c>
      <c r="B50" s="50"/>
      <c r="C50" s="50"/>
      <c r="D50" s="40"/>
      <c r="E50" s="40"/>
      <c r="F50" s="40"/>
      <c r="G50" s="40"/>
      <c r="H50" s="40"/>
      <c r="I50" s="13"/>
      <c r="J50" s="13"/>
      <c r="K50" s="13"/>
      <c r="L50" s="13"/>
      <c r="M50" s="13"/>
      <c r="N50" s="40"/>
      <c r="O50" s="40"/>
      <c r="P50" s="40"/>
    </row>
    <row r="51" spans="1:19" ht="15" customHeight="1" x14ac:dyDescent="0.45">
      <c r="A51" s="63">
        <v>3545</v>
      </c>
      <c r="B51" s="96">
        <v>45862</v>
      </c>
      <c r="C51" s="168"/>
      <c r="D51" s="40">
        <v>2</v>
      </c>
      <c r="E51" s="40">
        <v>86</v>
      </c>
      <c r="F51" s="40">
        <v>86</v>
      </c>
      <c r="G51" s="40">
        <v>0</v>
      </c>
      <c r="H51" s="40">
        <v>0</v>
      </c>
      <c r="I51" s="13"/>
      <c r="J51" s="13"/>
      <c r="K51" s="13"/>
      <c r="L51" s="13"/>
      <c r="M51" s="13" t="s">
        <v>29</v>
      </c>
      <c r="N51" s="40" t="s">
        <v>14</v>
      </c>
      <c r="O51" s="53">
        <v>45862</v>
      </c>
      <c r="P51" s="40">
        <v>3545</v>
      </c>
    </row>
    <row r="52" spans="1:19" ht="15" customHeight="1" x14ac:dyDescent="0.45">
      <c r="A52" s="63">
        <v>3546</v>
      </c>
      <c r="B52" s="187">
        <v>45880</v>
      </c>
      <c r="C52" s="186"/>
      <c r="D52" s="40">
        <v>3</v>
      </c>
      <c r="E52" s="65">
        <v>29</v>
      </c>
      <c r="F52" s="65">
        <v>29</v>
      </c>
      <c r="G52" s="65">
        <v>0</v>
      </c>
      <c r="H52" s="65">
        <v>0</v>
      </c>
      <c r="I52" s="66"/>
      <c r="J52" s="66"/>
      <c r="K52" s="66"/>
      <c r="L52" s="66"/>
      <c r="M52" s="66" t="s">
        <v>29</v>
      </c>
      <c r="N52" s="64" t="s">
        <v>14</v>
      </c>
      <c r="O52" s="67">
        <v>45880</v>
      </c>
      <c r="P52" s="65">
        <v>3546</v>
      </c>
    </row>
    <row r="53" spans="1:19" ht="15" customHeight="1" x14ac:dyDescent="0.45">
      <c r="A53" s="63">
        <v>3547</v>
      </c>
      <c r="B53" s="36">
        <v>45838</v>
      </c>
      <c r="C53" s="36"/>
      <c r="D53" s="40">
        <v>3</v>
      </c>
      <c r="E53" s="40">
        <v>57</v>
      </c>
      <c r="F53" s="40">
        <v>40</v>
      </c>
      <c r="G53" s="40">
        <v>17</v>
      </c>
      <c r="H53" s="40">
        <v>2</v>
      </c>
      <c r="I53" s="70">
        <v>45850</v>
      </c>
      <c r="J53" s="13">
        <v>17</v>
      </c>
      <c r="K53" s="13"/>
      <c r="L53" s="13"/>
      <c r="M53" s="13" t="s">
        <v>29</v>
      </c>
      <c r="N53" s="40" t="s">
        <v>14</v>
      </c>
      <c r="O53" s="53">
        <v>45838</v>
      </c>
      <c r="P53" s="40">
        <v>3547</v>
      </c>
    </row>
    <row r="54" spans="1:19" ht="15" customHeight="1" x14ac:dyDescent="0.45">
      <c r="A54" s="63">
        <v>3548</v>
      </c>
      <c r="B54" s="36">
        <v>45840</v>
      </c>
      <c r="C54" s="36"/>
      <c r="D54" s="40">
        <v>1</v>
      </c>
      <c r="E54" s="40">
        <v>24</v>
      </c>
      <c r="F54" s="40">
        <v>24</v>
      </c>
      <c r="G54" s="40">
        <v>0</v>
      </c>
      <c r="H54" s="40">
        <v>0</v>
      </c>
      <c r="I54" s="13"/>
      <c r="J54" s="13"/>
      <c r="K54" s="13"/>
      <c r="L54" s="13"/>
      <c r="M54" s="13" t="s">
        <v>29</v>
      </c>
      <c r="N54" s="40" t="s">
        <v>14</v>
      </c>
      <c r="O54" s="53">
        <v>45840</v>
      </c>
      <c r="P54" s="40"/>
    </row>
    <row r="55" spans="1:19" ht="15" customHeight="1" x14ac:dyDescent="0.45">
      <c r="A55" s="63">
        <v>3549</v>
      </c>
      <c r="B55" s="36">
        <v>45838</v>
      </c>
      <c r="C55" s="36"/>
      <c r="D55" s="40">
        <v>2</v>
      </c>
      <c r="E55" s="40">
        <v>112</v>
      </c>
      <c r="F55" s="40">
        <v>60</v>
      </c>
      <c r="G55" s="40">
        <v>52</v>
      </c>
      <c r="H55" s="40">
        <v>1</v>
      </c>
      <c r="I55" s="70">
        <v>45839</v>
      </c>
      <c r="J55" s="13">
        <v>52</v>
      </c>
      <c r="K55" s="13"/>
      <c r="L55" s="13"/>
      <c r="M55" s="13" t="s">
        <v>29</v>
      </c>
      <c r="N55" s="40" t="s">
        <v>14</v>
      </c>
      <c r="O55" s="53">
        <v>45839</v>
      </c>
      <c r="P55" s="40">
        <v>3549</v>
      </c>
    </row>
    <row r="56" spans="1:19" ht="15" customHeight="1" x14ac:dyDescent="0.45">
      <c r="A56" s="63">
        <v>3550</v>
      </c>
      <c r="B56" s="187">
        <v>45861</v>
      </c>
      <c r="C56" s="186"/>
      <c r="D56" s="40">
        <v>2</v>
      </c>
      <c r="E56" s="40">
        <v>25</v>
      </c>
      <c r="F56" s="40">
        <v>25</v>
      </c>
      <c r="G56" s="40">
        <v>0</v>
      </c>
      <c r="H56" s="40">
        <v>0</v>
      </c>
      <c r="I56" s="13"/>
      <c r="J56" s="13"/>
      <c r="K56" s="13"/>
      <c r="L56" s="13"/>
      <c r="M56" s="13" t="s">
        <v>29</v>
      </c>
      <c r="N56" s="40" t="s">
        <v>14</v>
      </c>
      <c r="O56" s="53">
        <v>45861</v>
      </c>
      <c r="P56" s="40">
        <v>3550</v>
      </c>
    </row>
    <row r="57" spans="1:19" ht="15" customHeight="1" x14ac:dyDescent="0.45">
      <c r="A57" s="167">
        <v>3551</v>
      </c>
      <c r="B57" s="93">
        <v>45861</v>
      </c>
      <c r="C57" s="163"/>
      <c r="D57" s="40">
        <v>3</v>
      </c>
      <c r="E57" s="40">
        <v>100</v>
      </c>
      <c r="F57" s="40">
        <v>100</v>
      </c>
      <c r="G57" s="40">
        <v>0</v>
      </c>
      <c r="H57" s="40">
        <v>0</v>
      </c>
      <c r="I57" s="13"/>
      <c r="J57" s="13"/>
      <c r="K57" s="13"/>
      <c r="L57" s="13"/>
      <c r="M57" s="13" t="s">
        <v>29</v>
      </c>
      <c r="N57" s="40" t="s">
        <v>14</v>
      </c>
      <c r="O57" s="53">
        <v>45861</v>
      </c>
      <c r="P57" s="40">
        <v>3551</v>
      </c>
    </row>
    <row r="58" spans="1:19" ht="15" customHeight="1" x14ac:dyDescent="0.45">
      <c r="A58" s="63">
        <v>3552</v>
      </c>
      <c r="B58" s="209">
        <v>45875</v>
      </c>
      <c r="C58" s="214"/>
      <c r="D58" s="40">
        <v>2</v>
      </c>
      <c r="E58" s="40">
        <v>61</v>
      </c>
      <c r="F58" s="40">
        <v>61</v>
      </c>
      <c r="G58" s="40">
        <v>0</v>
      </c>
      <c r="H58" s="40">
        <v>0</v>
      </c>
      <c r="I58" s="13"/>
      <c r="J58" s="13"/>
      <c r="K58" s="13"/>
      <c r="L58" s="13"/>
      <c r="M58" s="13" t="s">
        <v>29</v>
      </c>
      <c r="N58" s="40" t="s">
        <v>14</v>
      </c>
      <c r="O58" s="53">
        <v>45875</v>
      </c>
      <c r="P58" s="40">
        <v>3552</v>
      </c>
    </row>
    <row r="59" spans="1:19" ht="15" customHeight="1" x14ac:dyDescent="0.45">
      <c r="A59" s="63">
        <v>3553</v>
      </c>
      <c r="B59" s="52">
        <v>45842</v>
      </c>
      <c r="C59" s="52"/>
      <c r="D59" s="40">
        <v>1</v>
      </c>
      <c r="E59" s="40">
        <v>33</v>
      </c>
      <c r="F59" s="40">
        <v>33</v>
      </c>
      <c r="G59" s="40">
        <v>0</v>
      </c>
      <c r="H59" s="40">
        <v>0</v>
      </c>
      <c r="I59" s="13"/>
      <c r="J59" s="13"/>
      <c r="K59" s="13"/>
      <c r="L59" s="13"/>
      <c r="M59" s="13" t="s">
        <v>29</v>
      </c>
      <c r="N59" s="40" t="s">
        <v>14</v>
      </c>
      <c r="O59" s="53">
        <v>45842</v>
      </c>
      <c r="P59" s="40">
        <v>3553</v>
      </c>
    </row>
    <row r="60" spans="1:19" ht="15" customHeight="1" x14ac:dyDescent="0.45">
      <c r="A60" s="68">
        <v>3554</v>
      </c>
      <c r="B60" s="35"/>
      <c r="C60" s="14"/>
      <c r="D60" s="13"/>
      <c r="E60" s="65"/>
      <c r="F60" s="65"/>
      <c r="G60" s="65"/>
      <c r="H60" s="65"/>
      <c r="I60" s="66"/>
      <c r="J60" s="66"/>
      <c r="K60" s="66"/>
      <c r="L60" s="66"/>
      <c r="M60" s="66"/>
      <c r="N60" s="64"/>
      <c r="O60" s="64"/>
      <c r="P60" s="65"/>
    </row>
    <row r="61" spans="1:19" ht="15" customHeight="1" x14ac:dyDescent="0.45">
      <c r="A61" s="63">
        <v>3555</v>
      </c>
      <c r="B61" s="96">
        <v>45876</v>
      </c>
      <c r="C61" s="168"/>
      <c r="D61" s="40">
        <v>3</v>
      </c>
      <c r="E61" s="69">
        <v>57</v>
      </c>
      <c r="F61" s="69">
        <v>57</v>
      </c>
      <c r="G61" s="69">
        <v>0</v>
      </c>
      <c r="H61" s="69">
        <v>0</v>
      </c>
      <c r="I61" s="69"/>
      <c r="J61" s="69"/>
      <c r="K61" s="69"/>
      <c r="L61" s="69"/>
      <c r="M61" s="69" t="s">
        <v>29</v>
      </c>
      <c r="N61" s="64" t="s">
        <v>14</v>
      </c>
      <c r="O61" s="67">
        <v>45876</v>
      </c>
      <c r="P61" s="69">
        <v>3555</v>
      </c>
      <c r="S61" s="1" t="s">
        <v>25</v>
      </c>
    </row>
    <row r="62" spans="1:19" ht="15" customHeight="1" x14ac:dyDescent="0.45">
      <c r="A62" s="63">
        <v>3556</v>
      </c>
      <c r="B62" s="187">
        <v>45874</v>
      </c>
      <c r="C62" s="186"/>
      <c r="D62" s="40">
        <v>2</v>
      </c>
      <c r="E62" s="40">
        <v>12</v>
      </c>
      <c r="F62" s="40">
        <v>12</v>
      </c>
      <c r="G62" s="40">
        <v>0</v>
      </c>
      <c r="H62" s="40">
        <v>0</v>
      </c>
      <c r="I62" s="13"/>
      <c r="J62" s="13"/>
      <c r="K62" s="13"/>
      <c r="L62" s="13"/>
      <c r="M62" s="13" t="s">
        <v>29</v>
      </c>
      <c r="N62" s="40" t="s">
        <v>14</v>
      </c>
      <c r="O62" s="53">
        <v>45874</v>
      </c>
      <c r="P62" s="40">
        <v>3556</v>
      </c>
    </row>
    <row r="63" spans="1:19" ht="15" customHeight="1" x14ac:dyDescent="0.45">
      <c r="A63" s="63">
        <v>3557</v>
      </c>
      <c r="B63" s="73">
        <v>45832</v>
      </c>
      <c r="C63" s="102"/>
      <c r="D63" s="40">
        <v>3</v>
      </c>
      <c r="E63" s="65">
        <v>112</v>
      </c>
      <c r="F63" s="65">
        <v>112</v>
      </c>
      <c r="G63" s="65">
        <v>0</v>
      </c>
      <c r="H63" s="65">
        <v>0</v>
      </c>
      <c r="I63" s="66"/>
      <c r="J63" s="66"/>
      <c r="K63" s="66"/>
      <c r="L63" s="66"/>
      <c r="M63" s="66" t="s">
        <v>29</v>
      </c>
      <c r="N63" s="40" t="s">
        <v>14</v>
      </c>
      <c r="O63" s="54">
        <v>45832</v>
      </c>
      <c r="P63" s="65">
        <v>3557</v>
      </c>
    </row>
    <row r="64" spans="1:19" ht="15" customHeight="1" x14ac:dyDescent="0.45">
      <c r="A64" s="63">
        <v>3558</v>
      </c>
      <c r="B64" s="52">
        <v>45846</v>
      </c>
      <c r="C64" s="52"/>
      <c r="D64" s="40">
        <v>3</v>
      </c>
      <c r="E64" s="40">
        <v>65</v>
      </c>
      <c r="F64" s="40">
        <v>65</v>
      </c>
      <c r="G64" s="40">
        <v>0</v>
      </c>
      <c r="H64" s="40">
        <v>0</v>
      </c>
      <c r="I64" s="13"/>
      <c r="J64" s="13"/>
      <c r="K64" s="13"/>
      <c r="L64" s="13"/>
      <c r="M64" s="13" t="s">
        <v>29</v>
      </c>
      <c r="N64" s="40" t="s">
        <v>14</v>
      </c>
      <c r="O64" s="53">
        <v>45846</v>
      </c>
      <c r="P64" s="40"/>
    </row>
    <row r="65" spans="1:16" ht="15" customHeight="1" x14ac:dyDescent="0.45">
      <c r="A65" s="63">
        <v>3559</v>
      </c>
      <c r="B65" s="36">
        <v>45834</v>
      </c>
      <c r="C65" s="36"/>
      <c r="D65" s="40">
        <v>3</v>
      </c>
      <c r="E65" s="40">
        <v>13</v>
      </c>
      <c r="F65" s="40">
        <v>13</v>
      </c>
      <c r="G65" s="40">
        <v>0</v>
      </c>
      <c r="H65" s="40">
        <v>0</v>
      </c>
      <c r="I65" s="13"/>
      <c r="J65" s="13"/>
      <c r="K65" s="13"/>
      <c r="L65" s="13"/>
      <c r="M65" s="13" t="s">
        <v>29</v>
      </c>
      <c r="N65" s="40" t="s">
        <v>14</v>
      </c>
      <c r="O65" s="53">
        <v>45834</v>
      </c>
      <c r="P65" s="40">
        <v>3559</v>
      </c>
    </row>
    <row r="66" spans="1:16" ht="15" customHeight="1" x14ac:dyDescent="0.45">
      <c r="A66" s="63">
        <v>3560</v>
      </c>
      <c r="B66" s="36">
        <v>45849</v>
      </c>
      <c r="C66" s="36"/>
      <c r="D66" s="40">
        <v>3</v>
      </c>
      <c r="E66" s="40">
        <v>149</v>
      </c>
      <c r="F66" s="40">
        <v>63</v>
      </c>
      <c r="G66" s="40">
        <v>86</v>
      </c>
      <c r="H66" s="40">
        <v>2</v>
      </c>
      <c r="I66" s="70">
        <v>45851</v>
      </c>
      <c r="J66" s="13">
        <v>74</v>
      </c>
      <c r="K66" s="70">
        <v>45852</v>
      </c>
      <c r="L66" s="13">
        <v>18</v>
      </c>
      <c r="M66" s="13" t="s">
        <v>29</v>
      </c>
      <c r="N66" s="40" t="s">
        <v>14</v>
      </c>
      <c r="O66" s="67">
        <v>45852</v>
      </c>
      <c r="P66" s="40">
        <v>3560</v>
      </c>
    </row>
    <row r="67" spans="1:16" ht="15" customHeight="1" x14ac:dyDescent="0.45">
      <c r="A67" s="63">
        <v>3561</v>
      </c>
      <c r="B67" s="36">
        <v>45833</v>
      </c>
      <c r="C67" s="36"/>
      <c r="D67" s="40">
        <v>3</v>
      </c>
      <c r="E67" s="40">
        <v>94</v>
      </c>
      <c r="F67" s="40">
        <v>94</v>
      </c>
      <c r="G67" s="40">
        <v>28</v>
      </c>
      <c r="H67" s="40">
        <v>1</v>
      </c>
      <c r="I67" s="70">
        <v>45842</v>
      </c>
      <c r="J67" s="13">
        <v>28</v>
      </c>
      <c r="K67" s="13"/>
      <c r="L67" s="13"/>
      <c r="M67" s="13" t="s">
        <v>29</v>
      </c>
      <c r="N67" s="40" t="s">
        <v>14</v>
      </c>
      <c r="O67" s="53">
        <v>45842</v>
      </c>
      <c r="P67" s="40">
        <v>3561</v>
      </c>
    </row>
    <row r="68" spans="1:16" ht="18.5" x14ac:dyDescent="0.45">
      <c r="A68" s="63">
        <v>3562</v>
      </c>
      <c r="B68" s="36">
        <v>45851</v>
      </c>
      <c r="C68" s="36"/>
      <c r="D68" s="40">
        <v>2</v>
      </c>
      <c r="E68" s="40">
        <v>77</v>
      </c>
      <c r="F68" s="40">
        <v>77</v>
      </c>
      <c r="G68" s="40">
        <v>0</v>
      </c>
      <c r="H68" s="40">
        <v>0</v>
      </c>
      <c r="I68" s="13"/>
      <c r="J68" s="13"/>
      <c r="K68" s="13"/>
      <c r="L68" s="13"/>
      <c r="M68" s="13" t="s">
        <v>29</v>
      </c>
      <c r="N68" s="40" t="s">
        <v>14</v>
      </c>
      <c r="O68" s="53">
        <v>45851</v>
      </c>
      <c r="P68" s="40">
        <v>3562</v>
      </c>
    </row>
    <row r="69" spans="1:16" ht="18.5" x14ac:dyDescent="0.45">
      <c r="A69" s="63">
        <v>3563</v>
      </c>
      <c r="B69" s="93">
        <v>45875</v>
      </c>
      <c r="C69" s="163"/>
      <c r="D69" s="40">
        <v>2</v>
      </c>
      <c r="E69" s="65">
        <v>44</v>
      </c>
      <c r="F69" s="65">
        <v>44</v>
      </c>
      <c r="G69" s="65">
        <v>0</v>
      </c>
      <c r="H69" s="65">
        <v>0</v>
      </c>
      <c r="I69" s="66"/>
      <c r="J69" s="66"/>
      <c r="K69" s="66"/>
      <c r="L69" s="66"/>
      <c r="M69" s="66" t="s">
        <v>29</v>
      </c>
      <c r="N69" s="64" t="s">
        <v>14</v>
      </c>
      <c r="O69" s="53">
        <v>45875</v>
      </c>
      <c r="P69" s="65">
        <v>3563</v>
      </c>
    </row>
    <row r="70" spans="1:16" ht="18.5" x14ac:dyDescent="0.45">
      <c r="A70" s="63">
        <v>3564</v>
      </c>
      <c r="B70" s="36">
        <v>45831</v>
      </c>
      <c r="C70" s="36"/>
      <c r="D70" s="40">
        <v>1</v>
      </c>
      <c r="E70" s="65">
        <v>22</v>
      </c>
      <c r="F70" s="65">
        <v>22</v>
      </c>
      <c r="G70" s="65">
        <v>0</v>
      </c>
      <c r="H70" s="65">
        <v>0</v>
      </c>
      <c r="I70" s="66"/>
      <c r="J70" s="66"/>
      <c r="K70" s="66"/>
      <c r="L70" s="66"/>
      <c r="M70" s="13" t="s">
        <v>29</v>
      </c>
      <c r="N70" s="40" t="s">
        <v>14</v>
      </c>
      <c r="O70" s="53">
        <v>45831</v>
      </c>
      <c r="P70" s="65">
        <v>3564</v>
      </c>
    </row>
    <row r="71" spans="1:16" ht="18.5" x14ac:dyDescent="0.45">
      <c r="A71" s="63">
        <v>3565</v>
      </c>
      <c r="B71" s="52">
        <v>45846</v>
      </c>
      <c r="C71" s="52"/>
      <c r="D71" s="40">
        <v>2</v>
      </c>
      <c r="E71" s="40">
        <v>47</v>
      </c>
      <c r="F71" s="40">
        <v>47</v>
      </c>
      <c r="G71" s="40">
        <v>0</v>
      </c>
      <c r="H71" s="40">
        <v>0</v>
      </c>
      <c r="I71" s="70"/>
      <c r="J71" s="13"/>
      <c r="K71" s="13"/>
      <c r="L71" s="13"/>
      <c r="M71" s="13" t="s">
        <v>29</v>
      </c>
      <c r="N71" s="40" t="s">
        <v>14</v>
      </c>
      <c r="O71" s="53">
        <v>45846</v>
      </c>
      <c r="P71" s="40"/>
    </row>
    <row r="72" spans="1:16" ht="18.5" x14ac:dyDescent="0.45">
      <c r="A72" s="63">
        <v>3566</v>
      </c>
      <c r="B72" s="36">
        <v>45832</v>
      </c>
      <c r="C72" s="36"/>
      <c r="D72" s="40">
        <v>1</v>
      </c>
      <c r="E72" s="40">
        <v>17</v>
      </c>
      <c r="F72" s="40">
        <v>17</v>
      </c>
      <c r="G72" s="40">
        <v>0</v>
      </c>
      <c r="H72" s="40">
        <v>0</v>
      </c>
      <c r="I72" s="13"/>
      <c r="J72" s="13"/>
      <c r="K72" s="13"/>
      <c r="L72" s="13"/>
      <c r="M72" s="13" t="s">
        <v>29</v>
      </c>
      <c r="N72" s="40" t="s">
        <v>14</v>
      </c>
      <c r="O72" s="53">
        <v>45832</v>
      </c>
      <c r="P72" s="40"/>
    </row>
    <row r="73" spans="1:16" ht="18.5" x14ac:dyDescent="0.45">
      <c r="A73" s="134">
        <v>3567</v>
      </c>
      <c r="B73" s="135">
        <v>45831</v>
      </c>
      <c r="C73" s="135"/>
      <c r="D73" s="114">
        <v>1</v>
      </c>
      <c r="E73" s="114">
        <v>29</v>
      </c>
      <c r="F73" s="114">
        <v>29</v>
      </c>
      <c r="G73" s="114">
        <v>0</v>
      </c>
      <c r="H73" s="114">
        <v>0</v>
      </c>
      <c r="I73" s="136"/>
      <c r="J73" s="136"/>
      <c r="K73" s="136"/>
      <c r="L73" s="136"/>
      <c r="M73" s="136" t="s">
        <v>29</v>
      </c>
      <c r="N73" s="40" t="s">
        <v>14</v>
      </c>
      <c r="O73" s="137">
        <v>45831</v>
      </c>
      <c r="P73" s="114">
        <v>3567</v>
      </c>
    </row>
    <row r="87" spans="16:16" x14ac:dyDescent="0.35">
      <c r="P87" s="42"/>
    </row>
    <row r="88" spans="16:16" x14ac:dyDescent="0.35">
      <c r="P88" s="42"/>
    </row>
    <row r="89" spans="16:16" x14ac:dyDescent="0.35">
      <c r="P89" s="42"/>
    </row>
    <row r="90" spans="16:16" x14ac:dyDescent="0.35">
      <c r="P90" s="42"/>
    </row>
    <row r="91" spans="16:16" x14ac:dyDescent="0.35">
      <c r="P91" s="42"/>
    </row>
    <row r="92" spans="16:16" x14ac:dyDescent="0.35">
      <c r="P92" s="42"/>
    </row>
    <row r="93" spans="16:16" x14ac:dyDescent="0.35">
      <c r="P93" s="42"/>
    </row>
    <row r="94" spans="16:16" x14ac:dyDescent="0.35">
      <c r="P94" s="42"/>
    </row>
    <row r="95" spans="16:16" x14ac:dyDescent="0.35">
      <c r="P95" s="42"/>
    </row>
    <row r="96" spans="16:16" x14ac:dyDescent="0.35">
      <c r="P96" s="43"/>
    </row>
    <row r="97" spans="16:16" x14ac:dyDescent="0.35">
      <c r="P97" s="42"/>
    </row>
    <row r="98" spans="16:16" x14ac:dyDescent="0.35">
      <c r="P98" s="42"/>
    </row>
    <row r="99" spans="16:16" x14ac:dyDescent="0.35">
      <c r="P99" s="42"/>
    </row>
    <row r="100" spans="16:16" x14ac:dyDescent="0.35">
      <c r="P100" s="42"/>
    </row>
    <row r="101" spans="16:16" x14ac:dyDescent="0.35">
      <c r="P101" s="42"/>
    </row>
    <row r="102" spans="16:16" x14ac:dyDescent="0.35">
      <c r="P102" s="42"/>
    </row>
    <row r="103" spans="16:16" x14ac:dyDescent="0.35">
      <c r="P103" s="42"/>
    </row>
    <row r="104" spans="16:16" x14ac:dyDescent="0.35">
      <c r="P104" s="42"/>
    </row>
    <row r="105" spans="16:16" x14ac:dyDescent="0.35">
      <c r="P105" s="42"/>
    </row>
    <row r="106" spans="16:16" x14ac:dyDescent="0.35">
      <c r="P106" s="42"/>
    </row>
    <row r="107" spans="16:16" x14ac:dyDescent="0.35">
      <c r="P107" s="42"/>
    </row>
    <row r="108" spans="16:16" x14ac:dyDescent="0.35">
      <c r="P108" s="42"/>
    </row>
    <row r="109" spans="16:16" x14ac:dyDescent="0.35">
      <c r="P109" s="42"/>
    </row>
    <row r="110" spans="16:16" x14ac:dyDescent="0.35">
      <c r="P110" s="42"/>
    </row>
    <row r="111" spans="16:16" x14ac:dyDescent="0.35">
      <c r="P111" s="42"/>
    </row>
    <row r="112" spans="16:16" x14ac:dyDescent="0.35">
      <c r="P112" s="42"/>
    </row>
    <row r="113" spans="16:16" x14ac:dyDescent="0.35">
      <c r="P113" s="42"/>
    </row>
    <row r="114" spans="16:16" x14ac:dyDescent="0.35">
      <c r="P114" s="42"/>
    </row>
    <row r="115" spans="16:16" x14ac:dyDescent="0.35">
      <c r="P115" s="42"/>
    </row>
    <row r="116" spans="16:16" x14ac:dyDescent="0.35">
      <c r="P116" s="42"/>
    </row>
    <row r="117" spans="16:16" x14ac:dyDescent="0.35">
      <c r="P117" s="42"/>
    </row>
    <row r="118" spans="16:16" x14ac:dyDescent="0.35">
      <c r="P118" s="42"/>
    </row>
    <row r="119" spans="16:16" x14ac:dyDescent="0.35">
      <c r="P119" s="42"/>
    </row>
    <row r="120" spans="16:16" x14ac:dyDescent="0.35">
      <c r="P120" s="42"/>
    </row>
    <row r="121" spans="16:16" x14ac:dyDescent="0.35">
      <c r="P121" s="42"/>
    </row>
    <row r="122" spans="16:16" x14ac:dyDescent="0.35">
      <c r="P122" s="42"/>
    </row>
    <row r="123" spans="16:16" x14ac:dyDescent="0.35">
      <c r="P123" s="42"/>
    </row>
    <row r="124" spans="16:16" x14ac:dyDescent="0.35">
      <c r="P124" s="42"/>
    </row>
    <row r="125" spans="16:16" x14ac:dyDescent="0.35">
      <c r="P125" s="42"/>
    </row>
    <row r="126" spans="16:16" x14ac:dyDescent="0.35">
      <c r="P126" s="42"/>
    </row>
    <row r="127" spans="16:16" x14ac:dyDescent="0.35">
      <c r="P127" s="42"/>
    </row>
    <row r="128" spans="16:16" x14ac:dyDescent="0.35">
      <c r="P128" s="42"/>
    </row>
    <row r="129" spans="16:16" x14ac:dyDescent="0.35">
      <c r="P129" s="42"/>
    </row>
    <row r="130" spans="16:16" x14ac:dyDescent="0.35">
      <c r="P130" s="42"/>
    </row>
    <row r="131" spans="16:16" x14ac:dyDescent="0.35">
      <c r="P131" s="42"/>
    </row>
    <row r="132" spans="16:16" x14ac:dyDescent="0.35">
      <c r="P132" s="42"/>
    </row>
    <row r="133" spans="16:16" x14ac:dyDescent="0.35">
      <c r="P133" s="42"/>
    </row>
    <row r="134" spans="16:16" x14ac:dyDescent="0.35">
      <c r="P134" s="42"/>
    </row>
    <row r="135" spans="16:16" x14ac:dyDescent="0.35">
      <c r="P135" s="42"/>
    </row>
    <row r="136" spans="16:16" x14ac:dyDescent="0.35">
      <c r="P136" s="42"/>
    </row>
    <row r="137" spans="16:16" x14ac:dyDescent="0.35">
      <c r="P137" s="42"/>
    </row>
    <row r="138" spans="16:16" x14ac:dyDescent="0.35">
      <c r="P138" s="42"/>
    </row>
    <row r="139" spans="16:16" x14ac:dyDescent="0.35">
      <c r="P139" s="42"/>
    </row>
    <row r="140" spans="16:16" x14ac:dyDescent="0.35">
      <c r="P140" s="42"/>
    </row>
    <row r="141" spans="16:16" x14ac:dyDescent="0.35">
      <c r="P141" s="42"/>
    </row>
    <row r="142" spans="16:16" x14ac:dyDescent="0.35">
      <c r="P142" s="42"/>
    </row>
    <row r="143" spans="16:16" x14ac:dyDescent="0.35">
      <c r="P143" s="42"/>
    </row>
    <row r="144" spans="16:16" x14ac:dyDescent="0.35">
      <c r="P144" s="42"/>
    </row>
    <row r="145" spans="16:16" x14ac:dyDescent="0.35">
      <c r="P145" s="42"/>
    </row>
    <row r="146" spans="16:16" x14ac:dyDescent="0.35">
      <c r="P146" s="42"/>
    </row>
    <row r="147" spans="16:16" x14ac:dyDescent="0.35">
      <c r="P147" s="42"/>
    </row>
    <row r="148" spans="16:16" x14ac:dyDescent="0.35">
      <c r="P148" s="42"/>
    </row>
    <row r="149" spans="16:16" x14ac:dyDescent="0.35">
      <c r="P149" s="42"/>
    </row>
    <row r="150" spans="16:16" x14ac:dyDescent="0.35">
      <c r="P150" s="42"/>
    </row>
    <row r="151" spans="16:16" x14ac:dyDescent="0.35">
      <c r="P151" s="42"/>
    </row>
    <row r="152" spans="16:16" x14ac:dyDescent="0.35">
      <c r="P152" s="42"/>
    </row>
    <row r="153" spans="16:16" x14ac:dyDescent="0.35">
      <c r="P153" s="42"/>
    </row>
    <row r="154" spans="16:16" x14ac:dyDescent="0.35">
      <c r="P154" s="42"/>
    </row>
    <row r="155" spans="16:16" x14ac:dyDescent="0.35">
      <c r="P155" s="42"/>
    </row>
    <row r="156" spans="16:16" x14ac:dyDescent="0.35">
      <c r="P156" s="42"/>
    </row>
    <row r="157" spans="16:16" x14ac:dyDescent="0.35">
      <c r="P157" s="42"/>
    </row>
    <row r="158" spans="16:16" x14ac:dyDescent="0.35">
      <c r="P158" s="42"/>
    </row>
    <row r="159" spans="16:16" x14ac:dyDescent="0.35">
      <c r="P159" s="42"/>
    </row>
    <row r="160" spans="16:16" x14ac:dyDescent="0.35">
      <c r="P160" s="42"/>
    </row>
    <row r="161" spans="16:16" x14ac:dyDescent="0.35">
      <c r="P161" s="42"/>
    </row>
    <row r="162" spans="16:16" x14ac:dyDescent="0.35">
      <c r="P162" s="42"/>
    </row>
    <row r="163" spans="16:16" x14ac:dyDescent="0.35">
      <c r="P163" s="42"/>
    </row>
    <row r="164" spans="16:16" x14ac:dyDescent="0.35">
      <c r="P164" s="42"/>
    </row>
    <row r="165" spans="16:16" x14ac:dyDescent="0.35">
      <c r="P165" s="42"/>
    </row>
    <row r="166" spans="16:16" x14ac:dyDescent="0.35">
      <c r="P166" s="42"/>
    </row>
    <row r="167" spans="16:16" x14ac:dyDescent="0.35">
      <c r="P167" s="42"/>
    </row>
    <row r="168" spans="16:16" x14ac:dyDescent="0.35">
      <c r="P168" s="42"/>
    </row>
    <row r="169" spans="16:16" x14ac:dyDescent="0.35">
      <c r="P169" s="42"/>
    </row>
    <row r="170" spans="16:16" x14ac:dyDescent="0.35">
      <c r="P170" s="42"/>
    </row>
    <row r="171" spans="16:16" x14ac:dyDescent="0.35">
      <c r="P171" s="42"/>
    </row>
    <row r="172" spans="16:16" x14ac:dyDescent="0.35">
      <c r="P172" s="42"/>
    </row>
    <row r="173" spans="16:16" x14ac:dyDescent="0.35">
      <c r="P173" s="42"/>
    </row>
    <row r="174" spans="16:16" x14ac:dyDescent="0.35">
      <c r="P174" s="42"/>
    </row>
    <row r="175" spans="16:16" x14ac:dyDescent="0.35">
      <c r="P175" s="42"/>
    </row>
    <row r="176" spans="16:16" x14ac:dyDescent="0.35">
      <c r="P176" s="42"/>
    </row>
    <row r="177" spans="16:16" x14ac:dyDescent="0.35">
      <c r="P177" s="42"/>
    </row>
    <row r="178" spans="16:16" x14ac:dyDescent="0.35">
      <c r="P178" s="42"/>
    </row>
    <row r="179" spans="16:16" x14ac:dyDescent="0.35">
      <c r="P179" s="43"/>
    </row>
    <row r="180" spans="16:16" x14ac:dyDescent="0.35">
      <c r="P180" s="42"/>
    </row>
    <row r="181" spans="16:16" x14ac:dyDescent="0.35">
      <c r="P181" s="42"/>
    </row>
    <row r="182" spans="16:16" x14ac:dyDescent="0.35">
      <c r="P182" s="42"/>
    </row>
    <row r="183" spans="16:16" x14ac:dyDescent="0.35">
      <c r="P183" s="42"/>
    </row>
    <row r="184" spans="16:16" x14ac:dyDescent="0.35">
      <c r="P184" s="42"/>
    </row>
    <row r="185" spans="16:16" x14ac:dyDescent="0.35">
      <c r="P185" s="42"/>
    </row>
    <row r="186" spans="16:16" x14ac:dyDescent="0.35">
      <c r="P186" s="42"/>
    </row>
    <row r="187" spans="16:16" x14ac:dyDescent="0.35">
      <c r="P187" s="42"/>
    </row>
    <row r="188" spans="16:16" x14ac:dyDescent="0.35">
      <c r="P188" s="42"/>
    </row>
    <row r="189" spans="16:16" x14ac:dyDescent="0.35">
      <c r="P189" s="42"/>
    </row>
    <row r="190" spans="16:16" x14ac:dyDescent="0.35">
      <c r="P190" s="42"/>
    </row>
    <row r="191" spans="16:16" x14ac:dyDescent="0.35">
      <c r="P191" s="42"/>
    </row>
    <row r="192" spans="16:16" x14ac:dyDescent="0.35">
      <c r="P192" s="42"/>
    </row>
    <row r="193" spans="16:16" x14ac:dyDescent="0.35">
      <c r="P193" s="42"/>
    </row>
    <row r="194" spans="16:16" x14ac:dyDescent="0.35">
      <c r="P194" s="42"/>
    </row>
    <row r="195" spans="16:16" x14ac:dyDescent="0.35">
      <c r="P195" s="42"/>
    </row>
    <row r="196" spans="16:16" x14ac:dyDescent="0.35">
      <c r="P196" s="42"/>
    </row>
    <row r="197" spans="16:16" x14ac:dyDescent="0.35">
      <c r="P197" s="42"/>
    </row>
    <row r="198" spans="16:16" x14ac:dyDescent="0.35">
      <c r="P198" s="42"/>
    </row>
    <row r="199" spans="16:16" x14ac:dyDescent="0.35">
      <c r="P199" s="42"/>
    </row>
    <row r="200" spans="16:16" x14ac:dyDescent="0.35">
      <c r="P200" s="42"/>
    </row>
    <row r="201" spans="16:16" x14ac:dyDescent="0.35">
      <c r="P201" s="42"/>
    </row>
    <row r="202" spans="16:16" x14ac:dyDescent="0.35">
      <c r="P202" s="42"/>
    </row>
    <row r="203" spans="16:16" x14ac:dyDescent="0.35">
      <c r="P203" s="42"/>
    </row>
    <row r="204" spans="16:16" x14ac:dyDescent="0.35">
      <c r="P204" s="42"/>
    </row>
    <row r="205" spans="16:16" x14ac:dyDescent="0.35">
      <c r="P205" s="42"/>
    </row>
    <row r="206" spans="16:16" x14ac:dyDescent="0.35">
      <c r="P206" s="42"/>
    </row>
    <row r="207" spans="16:16" x14ac:dyDescent="0.3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B5" sqref="B5:C5"/>
    </sheetView>
  </sheetViews>
  <sheetFormatPr defaultColWidth="9.1796875" defaultRowHeight="14.5" x14ac:dyDescent="0.35"/>
  <cols>
    <col min="1" max="1" width="10.81640625" style="1" customWidth="1"/>
    <col min="2" max="3" width="13.81640625" style="1" customWidth="1"/>
    <col min="4" max="4" width="23.453125" style="1" customWidth="1"/>
    <col min="5" max="5" width="12.54296875" style="1" customWidth="1"/>
    <col min="6" max="6" width="12.81640625" style="1" customWidth="1"/>
    <col min="7" max="7" width="14" style="1" customWidth="1"/>
    <col min="8" max="8" width="20.81640625" style="1" customWidth="1"/>
    <col min="9" max="9" width="15.453125" style="1" customWidth="1"/>
    <col min="10" max="10" width="13.1796875" style="1" customWidth="1"/>
    <col min="11" max="11" width="16.54296875" style="1" customWidth="1"/>
    <col min="12" max="12" width="11.453125" style="1" customWidth="1"/>
    <col min="13" max="13" width="17" style="1" customWidth="1"/>
    <col min="14" max="14" width="15.81640625" style="1" customWidth="1"/>
    <col min="15" max="15" width="28.54296875" style="1" customWidth="1"/>
    <col min="16" max="16" width="22.1796875" style="1" customWidth="1"/>
    <col min="17" max="17" width="2.54296875" style="1" customWidth="1"/>
    <col min="18" max="18" width="11.81640625" style="1" customWidth="1"/>
    <col min="19" max="19" width="10.81640625" style="1" customWidth="1"/>
    <col min="20" max="20" width="14.81640625" style="1" customWidth="1"/>
    <col min="21" max="21" width="13.1796875" style="1" customWidth="1"/>
    <col min="22" max="16384" width="9.1796875" style="1"/>
  </cols>
  <sheetData>
    <row r="1" spans="1:21" ht="97.5" customHeight="1" thickBot="1" x14ac:dyDescent="0.4">
      <c r="A1" s="115" t="s">
        <v>0</v>
      </c>
      <c r="B1" s="132" t="s">
        <v>1</v>
      </c>
      <c r="C1" s="132" t="s">
        <v>32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33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45">
      <c r="A2" s="51">
        <v>3231</v>
      </c>
      <c r="B2" s="74"/>
      <c r="C2" s="74"/>
      <c r="D2" s="22"/>
      <c r="E2" s="22"/>
      <c r="F2" s="22"/>
      <c r="G2" s="22"/>
      <c r="H2" s="22"/>
      <c r="I2" s="85"/>
      <c r="J2" s="85"/>
      <c r="K2" s="85"/>
      <c r="L2" s="85"/>
      <c r="M2" s="85"/>
      <c r="N2" s="22"/>
      <c r="O2" s="35"/>
      <c r="P2" s="22"/>
      <c r="R2" s="229" t="s">
        <v>15</v>
      </c>
      <c r="S2" s="230"/>
      <c r="T2" s="230"/>
      <c r="U2" s="231"/>
    </row>
    <row r="3" spans="1:21" ht="15" customHeight="1" x14ac:dyDescent="0.45">
      <c r="A3" s="51">
        <v>3232</v>
      </c>
      <c r="B3" s="94">
        <v>45859</v>
      </c>
      <c r="C3" s="94"/>
      <c r="D3" s="22">
        <v>1</v>
      </c>
      <c r="E3" s="22">
        <v>4</v>
      </c>
      <c r="F3" s="22">
        <v>4</v>
      </c>
      <c r="G3" s="22">
        <v>0</v>
      </c>
      <c r="H3" s="22">
        <v>0</v>
      </c>
      <c r="I3" s="85"/>
      <c r="J3" s="85"/>
      <c r="K3" s="85"/>
      <c r="L3" s="85"/>
      <c r="M3" s="85" t="s">
        <v>29</v>
      </c>
      <c r="N3" s="22" t="s">
        <v>14</v>
      </c>
      <c r="O3" s="36">
        <v>45859</v>
      </c>
      <c r="P3" s="22">
        <v>3232</v>
      </c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5">
      <c r="A4" s="55">
        <v>3233</v>
      </c>
      <c r="B4" s="78"/>
      <c r="C4" s="78"/>
      <c r="D4" s="22"/>
      <c r="E4" s="22"/>
      <c r="F4" s="22"/>
      <c r="G4" s="22"/>
      <c r="H4" s="22"/>
      <c r="I4" s="85"/>
      <c r="J4" s="85"/>
      <c r="K4" s="85"/>
      <c r="L4" s="85"/>
      <c r="M4" s="85"/>
      <c r="N4" s="22"/>
      <c r="O4" s="50"/>
      <c r="P4" s="22"/>
      <c r="R4" s="28">
        <v>36</v>
      </c>
      <c r="S4" s="29">
        <f>COUNTA(A:A)-1</f>
        <v>72</v>
      </c>
      <c r="T4" s="29">
        <f>COUNTA(O:O)-1</f>
        <v>42</v>
      </c>
      <c r="U4" s="30">
        <f>T4/S4</f>
        <v>0.58333333333333337</v>
      </c>
    </row>
    <row r="5" spans="1:21" ht="15" customHeight="1" x14ac:dyDescent="0.45">
      <c r="A5" s="51">
        <v>3234</v>
      </c>
      <c r="B5" s="94">
        <v>45893</v>
      </c>
      <c r="C5" s="169"/>
      <c r="D5" s="22">
        <v>2</v>
      </c>
      <c r="E5" s="22">
        <v>16</v>
      </c>
      <c r="F5" s="22">
        <v>16</v>
      </c>
      <c r="G5" s="22">
        <v>0</v>
      </c>
      <c r="H5" s="22">
        <v>0</v>
      </c>
      <c r="I5" s="85"/>
      <c r="J5" s="85"/>
      <c r="K5" s="85"/>
      <c r="L5" s="85"/>
      <c r="M5" s="85" t="s">
        <v>29</v>
      </c>
      <c r="N5" s="22" t="s">
        <v>38</v>
      </c>
      <c r="O5" s="36">
        <v>45893</v>
      </c>
      <c r="P5" s="22">
        <v>3234</v>
      </c>
    </row>
    <row r="6" spans="1:21" ht="15" customHeight="1" x14ac:dyDescent="0.45">
      <c r="A6" s="51">
        <v>3235</v>
      </c>
      <c r="B6" s="74"/>
      <c r="C6" s="74"/>
      <c r="D6" s="22"/>
      <c r="E6" s="22"/>
      <c r="F6" s="22"/>
      <c r="G6" s="22"/>
      <c r="H6" s="22"/>
      <c r="I6" s="85"/>
      <c r="J6" s="85"/>
      <c r="K6" s="85"/>
      <c r="L6" s="85"/>
      <c r="M6" s="85"/>
      <c r="N6" s="22"/>
      <c r="O6" s="35"/>
      <c r="P6" s="22"/>
    </row>
    <row r="7" spans="1:21" ht="15" customHeight="1" x14ac:dyDescent="0.45">
      <c r="A7" s="51">
        <v>3236</v>
      </c>
      <c r="B7" s="74"/>
      <c r="C7" s="74"/>
      <c r="D7" s="22"/>
      <c r="E7" s="79"/>
      <c r="F7" s="79"/>
      <c r="G7" s="79"/>
      <c r="H7" s="79"/>
      <c r="I7" s="86"/>
      <c r="J7" s="86"/>
      <c r="K7" s="86"/>
      <c r="L7" s="86"/>
      <c r="M7" s="86"/>
      <c r="N7" s="87"/>
      <c r="O7" s="35"/>
      <c r="P7" s="79"/>
    </row>
    <row r="8" spans="1:21" ht="15" customHeight="1" x14ac:dyDescent="0.45">
      <c r="A8" s="51">
        <v>3237</v>
      </c>
      <c r="B8" s="201">
        <v>45880</v>
      </c>
      <c r="C8" s="200"/>
      <c r="D8" s="22">
        <v>2</v>
      </c>
      <c r="E8" s="22">
        <v>23</v>
      </c>
      <c r="F8" s="22">
        <v>23</v>
      </c>
      <c r="G8" s="22">
        <v>0</v>
      </c>
      <c r="H8" s="22">
        <v>0</v>
      </c>
      <c r="I8" s="85"/>
      <c r="J8" s="85"/>
      <c r="K8" s="85"/>
      <c r="L8" s="85"/>
      <c r="M8" s="85" t="s">
        <v>36</v>
      </c>
      <c r="N8" s="22" t="s">
        <v>14</v>
      </c>
      <c r="O8" s="36">
        <v>45880</v>
      </c>
      <c r="P8" s="22">
        <v>3237</v>
      </c>
    </row>
    <row r="9" spans="1:21" ht="15" customHeight="1" x14ac:dyDescent="0.45">
      <c r="A9" s="51">
        <v>3238</v>
      </c>
      <c r="B9" s="75">
        <v>45853</v>
      </c>
      <c r="C9" s="75"/>
      <c r="D9" s="22">
        <v>2</v>
      </c>
      <c r="E9" s="22">
        <v>23</v>
      </c>
      <c r="F9" s="22">
        <v>23</v>
      </c>
      <c r="G9" s="22">
        <v>0</v>
      </c>
      <c r="H9" s="22">
        <v>0</v>
      </c>
      <c r="I9" s="85"/>
      <c r="J9" s="85"/>
      <c r="K9" s="85"/>
      <c r="L9" s="85"/>
      <c r="M9" s="85" t="s">
        <v>29</v>
      </c>
      <c r="N9" s="22" t="s">
        <v>14</v>
      </c>
      <c r="O9" s="36">
        <v>45853</v>
      </c>
      <c r="P9" s="22">
        <v>3238</v>
      </c>
    </row>
    <row r="10" spans="1:21" ht="15" customHeight="1" x14ac:dyDescent="0.45">
      <c r="A10" s="51">
        <v>3239</v>
      </c>
      <c r="B10" s="74"/>
      <c r="C10" s="74"/>
      <c r="D10" s="22"/>
      <c r="E10" s="22"/>
      <c r="F10" s="22"/>
      <c r="G10" s="22"/>
      <c r="H10" s="22"/>
      <c r="I10" s="85"/>
      <c r="J10" s="85"/>
      <c r="K10" s="85"/>
      <c r="L10" s="85"/>
      <c r="M10" s="85"/>
      <c r="N10" s="22"/>
      <c r="O10" s="35"/>
      <c r="P10" s="22"/>
    </row>
    <row r="11" spans="1:21" ht="15" customHeight="1" x14ac:dyDescent="0.45">
      <c r="A11" s="51">
        <v>3240</v>
      </c>
      <c r="B11" s="94">
        <v>45862</v>
      </c>
      <c r="C11" s="169"/>
      <c r="D11" s="22">
        <v>1</v>
      </c>
      <c r="E11" s="22">
        <v>8</v>
      </c>
      <c r="F11" s="22">
        <v>8</v>
      </c>
      <c r="G11" s="22">
        <v>0</v>
      </c>
      <c r="H11" s="22">
        <v>0</v>
      </c>
      <c r="I11" s="85"/>
      <c r="J11" s="85"/>
      <c r="K11" s="85"/>
      <c r="L11" s="85"/>
      <c r="M11" s="85" t="s">
        <v>29</v>
      </c>
      <c r="N11" s="22" t="s">
        <v>14</v>
      </c>
      <c r="O11" s="36">
        <v>45862</v>
      </c>
      <c r="P11" s="22">
        <v>3240</v>
      </c>
    </row>
    <row r="12" spans="1:21" ht="15" customHeight="1" x14ac:dyDescent="0.45">
      <c r="A12" s="51">
        <v>3241</v>
      </c>
      <c r="B12" s="203">
        <v>45860</v>
      </c>
      <c r="C12" s="202"/>
      <c r="D12" s="22">
        <v>4</v>
      </c>
      <c r="E12" s="22">
        <v>39</v>
      </c>
      <c r="F12" s="22">
        <v>39</v>
      </c>
      <c r="G12" s="22">
        <v>0</v>
      </c>
      <c r="H12" s="22">
        <v>0</v>
      </c>
      <c r="I12" s="85"/>
      <c r="J12" s="85"/>
      <c r="K12" s="85"/>
      <c r="L12" s="85"/>
      <c r="M12" s="85" t="s">
        <v>29</v>
      </c>
      <c r="N12" s="22" t="s">
        <v>14</v>
      </c>
      <c r="O12" s="52">
        <v>45860</v>
      </c>
      <c r="P12" s="22">
        <v>3241</v>
      </c>
    </row>
    <row r="13" spans="1:21" ht="15" customHeight="1" x14ac:dyDescent="0.45">
      <c r="A13" s="51">
        <v>3242</v>
      </c>
      <c r="B13" s="90">
        <v>45884</v>
      </c>
      <c r="C13" s="164"/>
      <c r="D13" s="22">
        <v>3</v>
      </c>
      <c r="E13" s="22">
        <v>20</v>
      </c>
      <c r="F13" s="22">
        <v>20</v>
      </c>
      <c r="G13" s="22">
        <v>0</v>
      </c>
      <c r="H13" s="22">
        <v>0</v>
      </c>
      <c r="I13" s="85"/>
      <c r="J13" s="85"/>
      <c r="K13" s="85"/>
      <c r="L13" s="85"/>
      <c r="M13" s="85" t="s">
        <v>29</v>
      </c>
      <c r="N13" s="22" t="s">
        <v>14</v>
      </c>
      <c r="O13" s="52">
        <v>45884</v>
      </c>
      <c r="P13" s="22">
        <v>3242</v>
      </c>
    </row>
    <row r="14" spans="1:21" ht="15" customHeight="1" x14ac:dyDescent="0.45">
      <c r="A14" s="51">
        <v>3243</v>
      </c>
      <c r="B14" s="75">
        <v>45856</v>
      </c>
      <c r="C14" s="75"/>
      <c r="D14" s="22">
        <v>3</v>
      </c>
      <c r="E14" s="22">
        <v>20</v>
      </c>
      <c r="F14" s="22">
        <v>20</v>
      </c>
      <c r="G14" s="22">
        <v>0</v>
      </c>
      <c r="H14" s="22">
        <v>0</v>
      </c>
      <c r="I14" s="85"/>
      <c r="J14" s="85"/>
      <c r="K14" s="85"/>
      <c r="L14" s="85"/>
      <c r="M14" s="85" t="s">
        <v>29</v>
      </c>
      <c r="N14" s="22" t="s">
        <v>14</v>
      </c>
      <c r="O14" s="36">
        <v>45856</v>
      </c>
      <c r="P14" s="22">
        <v>3243</v>
      </c>
    </row>
    <row r="15" spans="1:21" ht="15" customHeight="1" x14ac:dyDescent="0.45">
      <c r="A15" s="51">
        <v>3244</v>
      </c>
      <c r="B15" s="94">
        <v>45881</v>
      </c>
      <c r="C15" s="169"/>
      <c r="D15" s="22">
        <v>2</v>
      </c>
      <c r="E15" s="22">
        <v>18</v>
      </c>
      <c r="F15" s="22">
        <v>18</v>
      </c>
      <c r="G15" s="22">
        <v>0</v>
      </c>
      <c r="H15" s="22">
        <v>0</v>
      </c>
      <c r="I15" s="85"/>
      <c r="J15" s="85"/>
      <c r="K15" s="85"/>
      <c r="L15" s="85"/>
      <c r="M15" s="85" t="s">
        <v>29</v>
      </c>
      <c r="N15" s="22" t="s">
        <v>14</v>
      </c>
      <c r="O15" s="36">
        <v>45881</v>
      </c>
      <c r="P15" s="22">
        <v>3244</v>
      </c>
    </row>
    <row r="16" spans="1:21" ht="15" customHeight="1" x14ac:dyDescent="0.45">
      <c r="A16" s="55">
        <v>3245</v>
      </c>
      <c r="B16" s="74"/>
      <c r="C16" s="74"/>
      <c r="D16" s="22"/>
      <c r="E16" s="22"/>
      <c r="F16" s="22"/>
      <c r="G16" s="22"/>
      <c r="H16" s="22"/>
      <c r="I16" s="85"/>
      <c r="J16" s="85"/>
      <c r="K16" s="85"/>
      <c r="L16" s="85"/>
      <c r="M16" s="85"/>
      <c r="N16" s="22"/>
      <c r="O16" s="35"/>
      <c r="P16" s="22"/>
    </row>
    <row r="17" spans="1:16" ht="15" customHeight="1" x14ac:dyDescent="0.45">
      <c r="A17" s="51">
        <v>3246</v>
      </c>
      <c r="B17" s="78"/>
      <c r="C17" s="78"/>
      <c r="D17" s="22"/>
      <c r="E17" s="79"/>
      <c r="F17" s="79"/>
      <c r="G17" s="79"/>
      <c r="H17" s="79"/>
      <c r="I17" s="86"/>
      <c r="J17" s="86"/>
      <c r="K17" s="86"/>
      <c r="L17" s="86"/>
      <c r="M17" s="86"/>
      <c r="N17" s="87"/>
      <c r="O17" s="50"/>
      <c r="P17" s="79"/>
    </row>
    <row r="18" spans="1:16" ht="15" customHeight="1" x14ac:dyDescent="0.45">
      <c r="A18" s="55">
        <v>3247</v>
      </c>
      <c r="B18" s="74"/>
      <c r="C18" s="74"/>
      <c r="D18" s="22"/>
      <c r="E18" s="80"/>
      <c r="F18" s="80"/>
      <c r="G18" s="80"/>
      <c r="H18" s="80"/>
      <c r="I18" s="80"/>
      <c r="J18" s="80"/>
      <c r="K18" s="80"/>
      <c r="L18" s="80"/>
      <c r="M18" s="80"/>
      <c r="N18" s="87"/>
      <c r="O18" s="35"/>
      <c r="P18" s="80"/>
    </row>
    <row r="19" spans="1:16" ht="15" customHeight="1" x14ac:dyDescent="0.45">
      <c r="A19" s="51">
        <v>3248</v>
      </c>
      <c r="B19" s="94">
        <v>45887</v>
      </c>
      <c r="C19" s="169"/>
      <c r="D19" s="22">
        <v>1</v>
      </c>
      <c r="E19" s="22">
        <v>1</v>
      </c>
      <c r="F19" s="22">
        <v>1</v>
      </c>
      <c r="G19" s="22">
        <v>0</v>
      </c>
      <c r="H19" s="22">
        <v>0</v>
      </c>
      <c r="I19" s="85"/>
      <c r="J19" s="85"/>
      <c r="K19" s="85"/>
      <c r="L19" s="85"/>
      <c r="M19" s="85" t="s">
        <v>29</v>
      </c>
      <c r="N19" s="22" t="s">
        <v>37</v>
      </c>
      <c r="O19" s="36">
        <v>45887</v>
      </c>
      <c r="P19" s="22">
        <v>3248</v>
      </c>
    </row>
    <row r="20" spans="1:16" ht="15" customHeight="1" x14ac:dyDescent="0.45">
      <c r="A20" s="51">
        <v>3250</v>
      </c>
      <c r="B20" s="74"/>
      <c r="C20" s="74"/>
      <c r="D20" s="22"/>
      <c r="E20" s="22"/>
      <c r="F20" s="22"/>
      <c r="G20" s="22"/>
      <c r="H20" s="22"/>
      <c r="I20" s="85"/>
      <c r="J20" s="85"/>
      <c r="K20" s="85"/>
      <c r="L20" s="85"/>
      <c r="M20" s="85"/>
      <c r="N20" s="22"/>
      <c r="O20" s="35"/>
      <c r="P20" s="22"/>
    </row>
    <row r="21" spans="1:16" ht="15" customHeight="1" x14ac:dyDescent="0.45">
      <c r="A21" s="51">
        <v>3251</v>
      </c>
      <c r="B21" s="74"/>
      <c r="C21" s="74"/>
      <c r="D21" s="22"/>
      <c r="E21" s="22"/>
      <c r="F21" s="22"/>
      <c r="G21" s="22"/>
      <c r="H21" s="22"/>
      <c r="I21" s="85"/>
      <c r="J21" s="85"/>
      <c r="K21" s="85"/>
      <c r="L21" s="85"/>
      <c r="M21" s="85"/>
      <c r="N21" s="22"/>
      <c r="O21" s="35"/>
      <c r="P21" s="22"/>
    </row>
    <row r="22" spans="1:16" ht="15" customHeight="1" x14ac:dyDescent="0.45">
      <c r="A22" s="97">
        <v>3252</v>
      </c>
      <c r="B22" s="74"/>
      <c r="C22" s="74"/>
      <c r="D22" s="22"/>
      <c r="E22" s="22"/>
      <c r="F22" s="22"/>
      <c r="G22" s="22"/>
      <c r="H22" s="22"/>
      <c r="I22" s="85"/>
      <c r="J22" s="85"/>
      <c r="K22" s="85"/>
      <c r="L22" s="85"/>
      <c r="M22" s="85"/>
      <c r="N22" s="22"/>
      <c r="O22" s="35"/>
      <c r="P22" s="22"/>
    </row>
    <row r="23" spans="1:16" ht="15" customHeight="1" x14ac:dyDescent="0.45">
      <c r="A23" s="55">
        <v>3253</v>
      </c>
      <c r="B23" s="74"/>
      <c r="C23" s="74"/>
      <c r="D23" s="22"/>
      <c r="E23" s="22"/>
      <c r="F23" s="22"/>
      <c r="G23" s="22"/>
      <c r="H23" s="22"/>
      <c r="I23" s="85"/>
      <c r="J23" s="85"/>
      <c r="K23" s="85"/>
      <c r="L23" s="85"/>
      <c r="M23" s="85"/>
      <c r="N23" s="22"/>
      <c r="O23" s="35"/>
      <c r="P23" s="22"/>
    </row>
    <row r="24" spans="1:16" ht="15" customHeight="1" x14ac:dyDescent="0.45">
      <c r="A24" s="51">
        <v>3254</v>
      </c>
      <c r="B24" s="74"/>
      <c r="C24" s="74"/>
      <c r="D24" s="22"/>
      <c r="E24" s="22"/>
      <c r="F24" s="22"/>
      <c r="G24" s="22"/>
      <c r="H24" s="22"/>
      <c r="I24" s="85"/>
      <c r="J24" s="85"/>
      <c r="K24" s="85"/>
      <c r="L24" s="85"/>
      <c r="M24" s="85"/>
      <c r="N24" s="22"/>
      <c r="O24" s="35"/>
      <c r="P24" s="22"/>
    </row>
    <row r="25" spans="1:16" ht="15" customHeight="1" x14ac:dyDescent="0.45">
      <c r="A25" s="51">
        <v>3255</v>
      </c>
      <c r="B25" s="78"/>
      <c r="C25" s="78"/>
      <c r="D25" s="22"/>
      <c r="E25" s="22"/>
      <c r="F25" s="22"/>
      <c r="G25" s="22"/>
      <c r="H25" s="22"/>
      <c r="I25" s="85"/>
      <c r="J25" s="85"/>
      <c r="K25" s="85"/>
      <c r="L25" s="85"/>
      <c r="M25" s="85"/>
      <c r="N25" s="22"/>
      <c r="O25" s="50"/>
      <c r="P25" s="22"/>
    </row>
    <row r="26" spans="1:16" ht="15" customHeight="1" x14ac:dyDescent="0.45">
      <c r="A26" s="51">
        <v>3256</v>
      </c>
      <c r="B26" s="78"/>
      <c r="C26" s="78"/>
      <c r="D26" s="22"/>
      <c r="E26" s="22"/>
      <c r="F26" s="22"/>
      <c r="G26" s="22"/>
      <c r="H26" s="22"/>
      <c r="I26" s="85"/>
      <c r="J26" s="85"/>
      <c r="K26" s="85"/>
      <c r="L26" s="85"/>
      <c r="M26" s="85"/>
      <c r="N26" s="22"/>
      <c r="O26" s="50"/>
      <c r="P26" s="22"/>
    </row>
    <row r="27" spans="1:16" ht="15" customHeight="1" x14ac:dyDescent="0.45">
      <c r="A27" s="51">
        <v>3258</v>
      </c>
      <c r="B27" s="94">
        <v>45858</v>
      </c>
      <c r="C27" s="94"/>
      <c r="D27" s="22">
        <v>1</v>
      </c>
      <c r="E27" s="22">
        <v>12</v>
      </c>
      <c r="F27" s="22">
        <v>12</v>
      </c>
      <c r="G27" s="22">
        <v>0</v>
      </c>
      <c r="H27" s="22">
        <v>0</v>
      </c>
      <c r="I27" s="85"/>
      <c r="J27" s="85"/>
      <c r="K27" s="85"/>
      <c r="L27" s="85"/>
      <c r="M27" s="85" t="s">
        <v>29</v>
      </c>
      <c r="N27" s="22" t="s">
        <v>14</v>
      </c>
      <c r="O27" s="36">
        <v>45858</v>
      </c>
      <c r="P27" s="22">
        <v>3258</v>
      </c>
    </row>
    <row r="28" spans="1:16" ht="15" customHeight="1" x14ac:dyDescent="0.45">
      <c r="A28" s="51">
        <v>3259</v>
      </c>
      <c r="B28" s="74"/>
      <c r="C28" s="74"/>
      <c r="D28" s="22"/>
      <c r="E28" s="80"/>
      <c r="F28" s="80"/>
      <c r="G28" s="80"/>
      <c r="H28" s="80"/>
      <c r="I28" s="80"/>
      <c r="J28" s="80"/>
      <c r="K28" s="80"/>
      <c r="L28" s="80"/>
      <c r="M28" s="80"/>
      <c r="N28" s="87"/>
      <c r="O28" s="35"/>
      <c r="P28" s="80"/>
    </row>
    <row r="29" spans="1:16" ht="15" customHeight="1" x14ac:dyDescent="0.45">
      <c r="A29" s="55">
        <v>3260</v>
      </c>
      <c r="B29" s="74"/>
      <c r="C29" s="103"/>
      <c r="D29" s="85"/>
      <c r="E29" s="79"/>
      <c r="F29" s="79"/>
      <c r="G29" s="79"/>
      <c r="H29" s="79"/>
      <c r="I29" s="86"/>
      <c r="J29" s="86"/>
      <c r="K29" s="86"/>
      <c r="L29" s="86"/>
      <c r="M29" s="86"/>
      <c r="N29" s="87"/>
      <c r="O29" s="35"/>
      <c r="P29" s="79"/>
    </row>
    <row r="30" spans="1:16" ht="15" customHeight="1" x14ac:dyDescent="0.45">
      <c r="A30" s="51">
        <v>3261</v>
      </c>
      <c r="B30" s="203">
        <v>45869</v>
      </c>
      <c r="C30" s="204"/>
      <c r="D30" s="205">
        <v>1</v>
      </c>
      <c r="E30" s="206">
        <v>4</v>
      </c>
      <c r="F30" s="206">
        <v>4</v>
      </c>
      <c r="G30" s="206">
        <v>0</v>
      </c>
      <c r="H30" s="206">
        <v>0</v>
      </c>
      <c r="I30" s="207"/>
      <c r="J30" s="207"/>
      <c r="K30" s="207"/>
      <c r="L30" s="207"/>
      <c r="M30" s="207" t="s">
        <v>29</v>
      </c>
      <c r="N30" s="208" t="s">
        <v>14</v>
      </c>
      <c r="O30" s="52">
        <v>45869</v>
      </c>
      <c r="P30" s="206"/>
    </row>
    <row r="31" spans="1:16" ht="15" customHeight="1" x14ac:dyDescent="0.45">
      <c r="A31" s="51">
        <v>3262</v>
      </c>
      <c r="B31" s="94">
        <v>45857</v>
      </c>
      <c r="C31" s="104"/>
      <c r="D31" s="81">
        <v>3</v>
      </c>
      <c r="E31" s="81">
        <v>14</v>
      </c>
      <c r="F31" s="81">
        <v>9</v>
      </c>
      <c r="G31" s="81">
        <v>5</v>
      </c>
      <c r="H31" s="81">
        <v>0</v>
      </c>
      <c r="I31" s="88"/>
      <c r="J31" s="88"/>
      <c r="K31" s="88"/>
      <c r="L31" s="88"/>
      <c r="M31" s="88" t="s">
        <v>29</v>
      </c>
      <c r="N31" s="35" t="s">
        <v>14</v>
      </c>
      <c r="O31" s="36">
        <v>45857</v>
      </c>
      <c r="P31" s="81">
        <v>3262</v>
      </c>
    </row>
    <row r="32" spans="1:16" ht="15" customHeight="1" x14ac:dyDescent="0.45">
      <c r="A32" s="51">
        <v>3263</v>
      </c>
      <c r="B32" s="201">
        <v>45875</v>
      </c>
      <c r="C32" s="200"/>
      <c r="D32" s="22">
        <v>1</v>
      </c>
      <c r="E32" s="22">
        <v>17</v>
      </c>
      <c r="F32" s="22">
        <v>17</v>
      </c>
      <c r="G32" s="22">
        <v>0</v>
      </c>
      <c r="H32" s="22">
        <v>0</v>
      </c>
      <c r="I32" s="85"/>
      <c r="J32" s="85"/>
      <c r="K32" s="85"/>
      <c r="L32" s="85"/>
      <c r="M32" s="85" t="s">
        <v>29</v>
      </c>
      <c r="N32" s="22" t="s">
        <v>14</v>
      </c>
      <c r="O32" s="36">
        <v>45875</v>
      </c>
      <c r="P32" s="22">
        <v>3263</v>
      </c>
    </row>
    <row r="33" spans="1:16" ht="15" customHeight="1" x14ac:dyDescent="0.45">
      <c r="A33" s="51">
        <v>3264</v>
      </c>
      <c r="B33" s="94">
        <v>45875</v>
      </c>
      <c r="C33" s="169"/>
      <c r="D33" s="22">
        <v>2</v>
      </c>
      <c r="E33" s="22">
        <v>15</v>
      </c>
      <c r="F33" s="22">
        <v>15</v>
      </c>
      <c r="G33" s="22">
        <v>0</v>
      </c>
      <c r="H33" s="22">
        <v>0</v>
      </c>
      <c r="I33" s="85"/>
      <c r="J33" s="85"/>
      <c r="K33" s="85"/>
      <c r="L33" s="85"/>
      <c r="M33" s="85" t="s">
        <v>29</v>
      </c>
      <c r="N33" s="22" t="s">
        <v>14</v>
      </c>
      <c r="O33" s="36">
        <v>45875</v>
      </c>
      <c r="P33" s="22">
        <v>3264</v>
      </c>
    </row>
    <row r="34" spans="1:16" ht="15" customHeight="1" x14ac:dyDescent="0.45">
      <c r="A34" s="51">
        <v>3265</v>
      </c>
      <c r="B34" s="201">
        <v>45872</v>
      </c>
      <c r="C34" s="200"/>
      <c r="D34" s="22">
        <v>3</v>
      </c>
      <c r="E34" s="22">
        <v>13</v>
      </c>
      <c r="F34" s="22">
        <v>13</v>
      </c>
      <c r="G34" s="22">
        <v>0</v>
      </c>
      <c r="H34" s="22">
        <v>0</v>
      </c>
      <c r="I34" s="85"/>
      <c r="J34" s="85"/>
      <c r="K34" s="85"/>
      <c r="L34" s="85"/>
      <c r="M34" s="85" t="s">
        <v>29</v>
      </c>
      <c r="N34" s="22" t="s">
        <v>14</v>
      </c>
      <c r="O34" s="36">
        <v>45872</v>
      </c>
      <c r="P34" s="22">
        <v>3265</v>
      </c>
    </row>
    <row r="35" spans="1:16" ht="15" customHeight="1" x14ac:dyDescent="0.45">
      <c r="A35" s="51">
        <v>3266</v>
      </c>
      <c r="B35" s="94">
        <v>45859</v>
      </c>
      <c r="C35" s="94"/>
      <c r="D35" s="22">
        <v>2</v>
      </c>
      <c r="E35" s="22">
        <v>24</v>
      </c>
      <c r="F35" s="22">
        <v>24</v>
      </c>
      <c r="G35" s="22">
        <v>0</v>
      </c>
      <c r="H35" s="22">
        <v>0</v>
      </c>
      <c r="I35" s="85"/>
      <c r="J35" s="85"/>
      <c r="K35" s="85"/>
      <c r="L35" s="85"/>
      <c r="M35" s="85" t="s">
        <v>29</v>
      </c>
      <c r="N35" s="22" t="s">
        <v>14</v>
      </c>
      <c r="O35" s="36">
        <v>45859</v>
      </c>
      <c r="P35" s="22">
        <v>3266</v>
      </c>
    </row>
    <row r="36" spans="1:16" ht="15" customHeight="1" x14ac:dyDescent="0.45">
      <c r="A36" s="55">
        <v>3267</v>
      </c>
      <c r="B36" s="74"/>
      <c r="C36" s="74"/>
      <c r="D36" s="22"/>
      <c r="E36" s="22"/>
      <c r="F36" s="22"/>
      <c r="G36" s="22"/>
      <c r="H36" s="22"/>
      <c r="I36" s="85"/>
      <c r="J36" s="85"/>
      <c r="K36" s="85"/>
      <c r="L36" s="85"/>
      <c r="M36" s="85"/>
      <c r="N36" s="22"/>
      <c r="O36" s="35"/>
      <c r="P36" s="22"/>
    </row>
    <row r="37" spans="1:16" ht="15" customHeight="1" x14ac:dyDescent="0.45">
      <c r="A37" s="51">
        <v>3299</v>
      </c>
      <c r="B37" s="94">
        <v>45887</v>
      </c>
      <c r="C37" s="169"/>
      <c r="D37" s="22">
        <v>2</v>
      </c>
      <c r="E37" s="22">
        <v>14</v>
      </c>
      <c r="F37" s="22">
        <v>14</v>
      </c>
      <c r="G37" s="22">
        <v>0</v>
      </c>
      <c r="H37" s="22">
        <v>0</v>
      </c>
      <c r="I37" s="85"/>
      <c r="J37" s="85"/>
      <c r="K37" s="85"/>
      <c r="L37" s="85"/>
      <c r="M37" s="85" t="s">
        <v>29</v>
      </c>
      <c r="N37" s="22" t="s">
        <v>37</v>
      </c>
      <c r="O37" s="36">
        <v>45887</v>
      </c>
      <c r="P37" s="22">
        <v>3299</v>
      </c>
    </row>
    <row r="38" spans="1:16" ht="15" customHeight="1" x14ac:dyDescent="0.45">
      <c r="A38" s="51">
        <v>3531</v>
      </c>
      <c r="B38" s="203">
        <v>45863</v>
      </c>
      <c r="C38" s="202"/>
      <c r="D38" s="22">
        <v>3</v>
      </c>
      <c r="E38" s="79">
        <v>115</v>
      </c>
      <c r="F38" s="79">
        <v>115</v>
      </c>
      <c r="G38" s="79">
        <v>0</v>
      </c>
      <c r="H38" s="79">
        <v>0</v>
      </c>
      <c r="I38" s="86"/>
      <c r="J38" s="86"/>
      <c r="K38" s="86"/>
      <c r="L38" s="86"/>
      <c r="M38" s="86" t="s">
        <v>29</v>
      </c>
      <c r="N38" s="87" t="s">
        <v>14</v>
      </c>
      <c r="O38" s="52">
        <v>45863</v>
      </c>
      <c r="P38" s="79">
        <v>3531</v>
      </c>
    </row>
    <row r="39" spans="1:16" ht="15" customHeight="1" x14ac:dyDescent="0.45">
      <c r="A39" s="55">
        <v>3532</v>
      </c>
      <c r="B39" s="78"/>
      <c r="C39" s="78"/>
      <c r="D39" s="22"/>
      <c r="E39" s="22"/>
      <c r="F39" s="22"/>
      <c r="G39" s="22"/>
      <c r="H39" s="22"/>
      <c r="I39" s="85"/>
      <c r="J39" s="85"/>
      <c r="K39" s="85"/>
      <c r="L39" s="85"/>
      <c r="M39" s="85"/>
      <c r="N39" s="22"/>
      <c r="O39" s="50"/>
      <c r="P39" s="22"/>
    </row>
    <row r="40" spans="1:16" ht="15" customHeight="1" x14ac:dyDescent="0.45">
      <c r="A40" s="55">
        <v>3533</v>
      </c>
      <c r="B40" s="74"/>
      <c r="C40" s="74"/>
      <c r="D40" s="22"/>
      <c r="E40" s="22"/>
      <c r="F40" s="22"/>
      <c r="G40" s="22"/>
      <c r="H40" s="22"/>
      <c r="I40" s="85"/>
      <c r="J40" s="85"/>
      <c r="K40" s="85"/>
      <c r="L40" s="85"/>
      <c r="M40" s="85"/>
      <c r="N40" s="22"/>
      <c r="O40" s="35"/>
      <c r="P40" s="22"/>
    </row>
    <row r="41" spans="1:16" ht="15" customHeight="1" x14ac:dyDescent="0.45">
      <c r="A41" s="55">
        <v>3534</v>
      </c>
      <c r="B41" s="74"/>
      <c r="C41" s="74"/>
      <c r="D41" s="22"/>
      <c r="E41" s="22"/>
      <c r="F41" s="22"/>
      <c r="G41" s="22"/>
      <c r="H41" s="22"/>
      <c r="I41" s="85"/>
      <c r="J41" s="85"/>
      <c r="K41" s="85"/>
      <c r="L41" s="85"/>
      <c r="M41" s="85"/>
      <c r="N41" s="22"/>
      <c r="O41" s="35"/>
      <c r="P41" s="22"/>
    </row>
    <row r="42" spans="1:16" ht="15" customHeight="1" x14ac:dyDescent="0.45">
      <c r="A42" s="51">
        <v>3535</v>
      </c>
      <c r="B42" s="94">
        <v>45890</v>
      </c>
      <c r="C42" s="169"/>
      <c r="D42" s="22">
        <v>2</v>
      </c>
      <c r="E42" s="79">
        <v>6</v>
      </c>
      <c r="F42" s="79">
        <v>6</v>
      </c>
      <c r="G42" s="79">
        <v>0</v>
      </c>
      <c r="H42" s="79">
        <v>0</v>
      </c>
      <c r="I42" s="86"/>
      <c r="J42" s="86"/>
      <c r="K42" s="86"/>
      <c r="L42" s="86"/>
      <c r="M42" s="86" t="s">
        <v>29</v>
      </c>
      <c r="N42" s="87" t="s">
        <v>38</v>
      </c>
      <c r="O42" s="36">
        <v>45890</v>
      </c>
      <c r="P42" s="79">
        <v>3535</v>
      </c>
    </row>
    <row r="43" spans="1:16" ht="15" customHeight="1" x14ac:dyDescent="0.45">
      <c r="A43" s="51">
        <v>3536</v>
      </c>
      <c r="B43" s="74"/>
      <c r="C43" s="74"/>
      <c r="D43" s="22"/>
      <c r="E43" s="22"/>
      <c r="F43" s="22"/>
      <c r="G43" s="22"/>
      <c r="H43" s="22"/>
      <c r="I43" s="85"/>
      <c r="J43" s="85"/>
      <c r="K43" s="85"/>
      <c r="L43" s="85"/>
      <c r="M43" s="85"/>
      <c r="N43" s="22"/>
      <c r="O43" s="35"/>
      <c r="P43" s="22"/>
    </row>
    <row r="44" spans="1:16" ht="15" customHeight="1" x14ac:dyDescent="0.45">
      <c r="A44" s="51">
        <v>3537</v>
      </c>
      <c r="B44" s="75">
        <v>45858</v>
      </c>
      <c r="C44" s="75"/>
      <c r="D44" s="22">
        <v>1</v>
      </c>
      <c r="E44" s="22">
        <v>9</v>
      </c>
      <c r="F44" s="22">
        <v>9</v>
      </c>
      <c r="G44" s="22">
        <v>0</v>
      </c>
      <c r="H44" s="22">
        <v>0</v>
      </c>
      <c r="I44" s="85"/>
      <c r="J44" s="85"/>
      <c r="K44" s="85"/>
      <c r="L44" s="85"/>
      <c r="M44" s="85" t="s">
        <v>29</v>
      </c>
      <c r="N44" s="22" t="s">
        <v>14</v>
      </c>
      <c r="O44" s="36">
        <v>45858</v>
      </c>
      <c r="P44" s="22">
        <v>3537</v>
      </c>
    </row>
    <row r="45" spans="1:16" ht="15" customHeight="1" x14ac:dyDescent="0.45">
      <c r="A45" s="51">
        <v>3538</v>
      </c>
      <c r="B45" s="94">
        <v>45883</v>
      </c>
      <c r="C45" s="169"/>
      <c r="D45" s="22">
        <v>3</v>
      </c>
      <c r="E45" s="22">
        <v>28</v>
      </c>
      <c r="F45" s="22">
        <v>28</v>
      </c>
      <c r="G45" s="22">
        <v>0</v>
      </c>
      <c r="H45" s="22">
        <v>0</v>
      </c>
      <c r="I45" s="85"/>
      <c r="J45" s="85"/>
      <c r="K45" s="85"/>
      <c r="L45" s="85"/>
      <c r="M45" s="85" t="s">
        <v>29</v>
      </c>
      <c r="N45" s="22" t="s">
        <v>14</v>
      </c>
      <c r="O45" s="36">
        <v>45883</v>
      </c>
      <c r="P45" s="22">
        <v>3538</v>
      </c>
    </row>
    <row r="46" spans="1:16" ht="15" customHeight="1" x14ac:dyDescent="0.45">
      <c r="A46" s="55">
        <v>3540</v>
      </c>
      <c r="B46" s="78"/>
      <c r="C46" s="133"/>
      <c r="D46" s="85"/>
      <c r="E46" s="79"/>
      <c r="F46" s="79"/>
      <c r="G46" s="79"/>
      <c r="H46" s="79"/>
      <c r="I46" s="86"/>
      <c r="J46" s="86"/>
      <c r="K46" s="86"/>
      <c r="L46" s="86"/>
      <c r="M46" s="86"/>
      <c r="N46" s="87"/>
      <c r="O46" s="50"/>
      <c r="P46" s="79"/>
    </row>
    <row r="47" spans="1:16" ht="15" customHeight="1" x14ac:dyDescent="0.45">
      <c r="A47" s="51">
        <v>3541</v>
      </c>
      <c r="B47" s="90">
        <v>45879</v>
      </c>
      <c r="C47" s="183"/>
      <c r="D47" s="85">
        <v>1</v>
      </c>
      <c r="E47" s="79">
        <v>19</v>
      </c>
      <c r="F47" s="79">
        <v>19</v>
      </c>
      <c r="G47" s="79">
        <v>0</v>
      </c>
      <c r="H47" s="79">
        <v>0</v>
      </c>
      <c r="I47" s="86"/>
      <c r="J47" s="86"/>
      <c r="K47" s="86"/>
      <c r="L47" s="86"/>
      <c r="M47" s="86" t="s">
        <v>36</v>
      </c>
      <c r="N47" s="87" t="s">
        <v>14</v>
      </c>
      <c r="O47" s="52">
        <v>45879</v>
      </c>
      <c r="P47" s="79">
        <v>3541</v>
      </c>
    </row>
    <row r="48" spans="1:16" ht="15" customHeight="1" x14ac:dyDescent="0.45">
      <c r="A48" s="51">
        <v>3542</v>
      </c>
      <c r="B48" s="75">
        <v>45834</v>
      </c>
      <c r="C48" s="75"/>
      <c r="D48" s="35">
        <v>3</v>
      </c>
      <c r="E48" s="35">
        <v>193</v>
      </c>
      <c r="F48" s="35">
        <v>193</v>
      </c>
      <c r="G48" s="35">
        <v>0</v>
      </c>
      <c r="H48" s="35">
        <v>0</v>
      </c>
      <c r="I48" s="85"/>
      <c r="J48" s="85"/>
      <c r="K48" s="85"/>
      <c r="L48" s="85"/>
      <c r="M48" s="14" t="s">
        <v>29</v>
      </c>
      <c r="N48" s="35" t="s">
        <v>14</v>
      </c>
      <c r="O48" s="36">
        <v>45834</v>
      </c>
      <c r="P48" s="22">
        <v>3542</v>
      </c>
    </row>
    <row r="49" spans="1:16" ht="15" customHeight="1" x14ac:dyDescent="0.45">
      <c r="A49" s="55">
        <v>3543</v>
      </c>
      <c r="B49" s="76"/>
      <c r="C49" s="101"/>
      <c r="D49" s="35"/>
      <c r="E49" s="35"/>
      <c r="F49" s="35"/>
      <c r="G49" s="35"/>
      <c r="H49" s="35"/>
      <c r="I49" s="14"/>
      <c r="J49" s="14"/>
      <c r="K49" s="14"/>
      <c r="L49" s="14"/>
      <c r="M49" s="14"/>
      <c r="N49" s="35"/>
      <c r="O49" s="72"/>
      <c r="P49" s="35"/>
    </row>
    <row r="50" spans="1:16" ht="15" customHeight="1" x14ac:dyDescent="0.45">
      <c r="A50" s="55">
        <v>3544</v>
      </c>
      <c r="B50" s="78"/>
      <c r="C50" s="78"/>
      <c r="D50" s="22"/>
      <c r="E50" s="22"/>
      <c r="F50" s="22"/>
      <c r="G50" s="22"/>
      <c r="H50" s="22"/>
      <c r="I50" s="85"/>
      <c r="J50" s="85"/>
      <c r="K50" s="85"/>
      <c r="L50" s="85"/>
      <c r="M50" s="85"/>
      <c r="N50" s="22"/>
      <c r="O50" s="35"/>
      <c r="P50" s="22"/>
    </row>
    <row r="51" spans="1:16" ht="15" customHeight="1" x14ac:dyDescent="0.45">
      <c r="A51" s="51">
        <v>3545</v>
      </c>
      <c r="B51" s="90">
        <v>45872</v>
      </c>
      <c r="C51" s="164"/>
      <c r="D51" s="22">
        <v>1</v>
      </c>
      <c r="E51" s="22">
        <v>38</v>
      </c>
      <c r="F51" s="22">
        <v>38</v>
      </c>
      <c r="G51" s="22">
        <v>0</v>
      </c>
      <c r="H51" s="22">
        <v>0</v>
      </c>
      <c r="I51" s="85"/>
      <c r="J51" s="85"/>
      <c r="K51" s="85"/>
      <c r="L51" s="85"/>
      <c r="M51" s="85" t="s">
        <v>29</v>
      </c>
      <c r="N51" s="22" t="s">
        <v>14</v>
      </c>
      <c r="O51" s="36">
        <v>45872</v>
      </c>
      <c r="P51" s="22">
        <v>3545</v>
      </c>
    </row>
    <row r="52" spans="1:16" ht="15" customHeight="1" x14ac:dyDescent="0.45">
      <c r="A52" s="51">
        <v>3546</v>
      </c>
      <c r="B52" s="74"/>
      <c r="C52" s="74"/>
      <c r="D52" s="22"/>
      <c r="E52" s="79"/>
      <c r="F52" s="79"/>
      <c r="G52" s="79"/>
      <c r="H52" s="79"/>
      <c r="I52" s="86"/>
      <c r="J52" s="86"/>
      <c r="K52" s="86"/>
      <c r="L52" s="86"/>
      <c r="M52" s="86"/>
      <c r="N52" s="87"/>
      <c r="O52" s="50"/>
      <c r="P52" s="79"/>
    </row>
    <row r="53" spans="1:16" ht="15" customHeight="1" x14ac:dyDescent="0.45">
      <c r="A53" s="51">
        <v>3547</v>
      </c>
      <c r="B53" s="94">
        <v>45859</v>
      </c>
      <c r="D53" s="22">
        <v>1</v>
      </c>
      <c r="E53" s="22">
        <v>16</v>
      </c>
      <c r="F53" s="22">
        <v>16</v>
      </c>
      <c r="G53" s="22">
        <v>0</v>
      </c>
      <c r="H53" s="22">
        <v>0</v>
      </c>
      <c r="I53" s="85"/>
      <c r="J53" s="85"/>
      <c r="K53" s="85"/>
      <c r="L53" s="85"/>
      <c r="M53" s="85" t="s">
        <v>29</v>
      </c>
      <c r="N53" s="22" t="s">
        <v>14</v>
      </c>
      <c r="O53" s="36">
        <v>45859</v>
      </c>
      <c r="P53" s="22">
        <v>3547</v>
      </c>
    </row>
    <row r="54" spans="1:16" ht="15" customHeight="1" x14ac:dyDescent="0.45">
      <c r="A54" s="51">
        <v>3548</v>
      </c>
      <c r="B54" s="201">
        <v>45859</v>
      </c>
      <c r="C54" s="201"/>
      <c r="D54" s="22">
        <v>2</v>
      </c>
      <c r="E54" s="22">
        <v>41</v>
      </c>
      <c r="F54" s="22">
        <v>41</v>
      </c>
      <c r="G54" s="22">
        <v>0</v>
      </c>
      <c r="H54" s="22">
        <v>0</v>
      </c>
      <c r="I54" s="85"/>
      <c r="J54" s="85"/>
      <c r="K54" s="85"/>
      <c r="L54" s="85"/>
      <c r="M54" s="85" t="s">
        <v>29</v>
      </c>
      <c r="N54" s="22" t="s">
        <v>14</v>
      </c>
      <c r="O54" s="36">
        <v>45859</v>
      </c>
      <c r="P54" s="22">
        <v>3548</v>
      </c>
    </row>
    <row r="55" spans="1:16" ht="15" customHeight="1" x14ac:dyDescent="0.45">
      <c r="A55" s="51">
        <v>3549</v>
      </c>
      <c r="B55" s="94">
        <v>45858</v>
      </c>
      <c r="C55" s="94"/>
      <c r="D55" s="22">
        <v>2</v>
      </c>
      <c r="E55" s="22">
        <v>97</v>
      </c>
      <c r="F55" s="22">
        <v>97</v>
      </c>
      <c r="G55" s="22">
        <v>0</v>
      </c>
      <c r="H55" s="22">
        <v>0</v>
      </c>
      <c r="I55" s="85"/>
      <c r="J55" s="85"/>
      <c r="K55" s="85"/>
      <c r="L55" s="85"/>
      <c r="M55" s="85" t="s">
        <v>29</v>
      </c>
      <c r="N55" s="22" t="s">
        <v>14</v>
      </c>
      <c r="O55" s="36">
        <v>45858</v>
      </c>
      <c r="P55" s="22">
        <v>3549</v>
      </c>
    </row>
    <row r="56" spans="1:16" ht="15" customHeight="1" x14ac:dyDescent="0.45">
      <c r="A56" s="51">
        <v>3550</v>
      </c>
      <c r="B56" s="201">
        <v>45887</v>
      </c>
      <c r="C56" s="200"/>
      <c r="D56" s="22">
        <v>3</v>
      </c>
      <c r="E56" s="22">
        <v>92</v>
      </c>
      <c r="F56" s="22">
        <v>92</v>
      </c>
      <c r="G56" s="22">
        <v>0</v>
      </c>
      <c r="H56" s="22">
        <v>0</v>
      </c>
      <c r="I56" s="85"/>
      <c r="J56" s="85"/>
      <c r="K56" s="85"/>
      <c r="L56" s="85"/>
      <c r="M56" s="85" t="s">
        <v>29</v>
      </c>
      <c r="N56" s="22" t="s">
        <v>37</v>
      </c>
      <c r="O56" s="36">
        <v>45887</v>
      </c>
      <c r="P56" s="22">
        <v>3550</v>
      </c>
    </row>
    <row r="57" spans="1:16" ht="15" customHeight="1" x14ac:dyDescent="0.45">
      <c r="A57" s="55">
        <v>3551</v>
      </c>
      <c r="B57" s="218">
        <v>45894</v>
      </c>
      <c r="C57" s="219"/>
      <c r="D57" s="22">
        <v>1</v>
      </c>
      <c r="E57" s="22">
        <v>6</v>
      </c>
      <c r="F57" s="22">
        <v>6</v>
      </c>
      <c r="G57" s="22">
        <v>0</v>
      </c>
      <c r="H57" s="22">
        <v>0</v>
      </c>
      <c r="I57" s="85"/>
      <c r="J57" s="85"/>
      <c r="K57" s="85"/>
      <c r="L57" s="85"/>
      <c r="M57" s="85" t="s">
        <v>29</v>
      </c>
      <c r="N57" s="22" t="s">
        <v>38</v>
      </c>
      <c r="O57" s="36">
        <v>45894</v>
      </c>
      <c r="P57" s="22">
        <v>3551</v>
      </c>
    </row>
    <row r="58" spans="1:16" ht="15" customHeight="1" x14ac:dyDescent="0.45">
      <c r="A58" s="51">
        <v>3552</v>
      </c>
      <c r="B58" s="90">
        <v>45888</v>
      </c>
      <c r="C58" s="164"/>
      <c r="D58" s="22">
        <v>1</v>
      </c>
      <c r="E58" s="22">
        <v>2</v>
      </c>
      <c r="F58" s="22">
        <v>2</v>
      </c>
      <c r="G58" s="22">
        <v>0</v>
      </c>
      <c r="H58" s="22">
        <v>0</v>
      </c>
      <c r="I58" s="85"/>
      <c r="J58" s="85"/>
      <c r="K58" s="85"/>
      <c r="L58" s="85"/>
      <c r="M58" s="85" t="s">
        <v>29</v>
      </c>
      <c r="N58" s="22" t="s">
        <v>37</v>
      </c>
      <c r="O58" s="36">
        <v>45888</v>
      </c>
      <c r="P58" s="22">
        <v>3552</v>
      </c>
    </row>
    <row r="59" spans="1:16" ht="15" customHeight="1" x14ac:dyDescent="0.45">
      <c r="A59" s="51">
        <v>3553</v>
      </c>
      <c r="B59" s="90">
        <v>45853</v>
      </c>
      <c r="C59" s="90"/>
      <c r="D59" s="22">
        <v>1</v>
      </c>
      <c r="E59" s="22">
        <v>35</v>
      </c>
      <c r="F59" s="22">
        <v>35</v>
      </c>
      <c r="G59" s="22">
        <v>0</v>
      </c>
      <c r="H59" s="22">
        <v>0</v>
      </c>
      <c r="I59" s="85"/>
      <c r="J59" s="85"/>
      <c r="K59" s="85"/>
      <c r="L59" s="85"/>
      <c r="M59" s="85" t="s">
        <v>29</v>
      </c>
      <c r="N59" s="22" t="s">
        <v>14</v>
      </c>
      <c r="O59" s="36">
        <v>45853</v>
      </c>
      <c r="P59" s="22">
        <v>3553</v>
      </c>
    </row>
    <row r="60" spans="1:16" ht="15" customHeight="1" x14ac:dyDescent="0.45">
      <c r="A60" s="55">
        <v>3554</v>
      </c>
      <c r="B60" s="74"/>
      <c r="C60" s="103"/>
      <c r="D60" s="85"/>
      <c r="E60" s="79"/>
      <c r="F60" s="79"/>
      <c r="G60" s="79"/>
      <c r="H60" s="79"/>
      <c r="I60" s="86"/>
      <c r="J60" s="86"/>
      <c r="K60" s="86"/>
      <c r="L60" s="86"/>
      <c r="M60" s="86"/>
      <c r="N60" s="87"/>
      <c r="O60" s="50"/>
      <c r="P60" s="79"/>
    </row>
    <row r="61" spans="1:16" ht="15" customHeight="1" x14ac:dyDescent="0.45">
      <c r="A61" s="51">
        <v>3555</v>
      </c>
      <c r="B61" s="90">
        <v>45893</v>
      </c>
      <c r="C61" s="164"/>
      <c r="D61" s="22">
        <v>1</v>
      </c>
      <c r="E61" s="80">
        <v>18</v>
      </c>
      <c r="F61" s="80">
        <v>18</v>
      </c>
      <c r="G61" s="80">
        <v>0</v>
      </c>
      <c r="H61" s="80">
        <v>0</v>
      </c>
      <c r="I61" s="80"/>
      <c r="J61" s="80"/>
      <c r="K61" s="80"/>
      <c r="L61" s="80"/>
      <c r="M61" s="80" t="s">
        <v>29</v>
      </c>
      <c r="N61" s="87" t="s">
        <v>38</v>
      </c>
      <c r="O61" s="52">
        <v>45893</v>
      </c>
      <c r="P61" s="80">
        <v>3555</v>
      </c>
    </row>
    <row r="62" spans="1:16" ht="15" customHeight="1" x14ac:dyDescent="0.45">
      <c r="A62" s="51">
        <v>3556</v>
      </c>
      <c r="B62" s="74"/>
      <c r="C62" s="74"/>
      <c r="D62" s="22"/>
      <c r="E62" s="22"/>
      <c r="F62" s="22"/>
      <c r="G62" s="22"/>
      <c r="H62" s="22"/>
      <c r="I62" s="85"/>
      <c r="J62" s="85"/>
      <c r="K62" s="85"/>
      <c r="L62" s="85"/>
      <c r="M62" s="85"/>
      <c r="N62" s="22"/>
      <c r="O62" s="35"/>
      <c r="P62" s="22"/>
    </row>
    <row r="63" spans="1:16" ht="15" customHeight="1" x14ac:dyDescent="0.45">
      <c r="A63" s="51">
        <v>3557</v>
      </c>
      <c r="B63" s="77">
        <v>45839</v>
      </c>
      <c r="C63" s="102"/>
      <c r="D63" s="35">
        <v>1</v>
      </c>
      <c r="E63" s="82">
        <v>16</v>
      </c>
      <c r="F63" s="82">
        <v>16</v>
      </c>
      <c r="G63" s="82">
        <v>0</v>
      </c>
      <c r="H63" s="82">
        <v>0</v>
      </c>
      <c r="I63" s="89"/>
      <c r="J63" s="89"/>
      <c r="K63" s="89"/>
      <c r="L63" s="89"/>
      <c r="M63" s="89" t="s">
        <v>29</v>
      </c>
      <c r="N63" s="50" t="s">
        <v>14</v>
      </c>
      <c r="O63" s="73">
        <v>45839</v>
      </c>
      <c r="P63" s="82">
        <v>3557</v>
      </c>
    </row>
    <row r="64" spans="1:16" ht="15" customHeight="1" x14ac:dyDescent="0.45">
      <c r="A64" s="51">
        <v>3558</v>
      </c>
      <c r="B64" s="203">
        <v>45873</v>
      </c>
      <c r="C64" s="202"/>
      <c r="D64" s="35">
        <v>2</v>
      </c>
      <c r="E64" s="35">
        <v>36</v>
      </c>
      <c r="F64" s="35">
        <v>36</v>
      </c>
      <c r="G64" s="35">
        <v>0</v>
      </c>
      <c r="H64" s="35">
        <v>0</v>
      </c>
      <c r="I64" s="14"/>
      <c r="J64" s="85"/>
      <c r="K64" s="85"/>
      <c r="L64" s="85"/>
      <c r="M64" s="85" t="s">
        <v>29</v>
      </c>
      <c r="N64" s="22" t="s">
        <v>14</v>
      </c>
      <c r="O64" s="36">
        <v>45873</v>
      </c>
      <c r="P64" s="22">
        <v>3558</v>
      </c>
    </row>
    <row r="65" spans="1:16" ht="15" customHeight="1" x14ac:dyDescent="0.45">
      <c r="A65" s="51">
        <v>3559</v>
      </c>
      <c r="B65" s="75">
        <v>45844</v>
      </c>
      <c r="C65" s="75"/>
      <c r="D65" s="35">
        <v>2</v>
      </c>
      <c r="E65" s="35">
        <v>63</v>
      </c>
      <c r="F65" s="35">
        <v>43</v>
      </c>
      <c r="G65" s="35">
        <v>20</v>
      </c>
      <c r="H65" s="35">
        <v>1</v>
      </c>
      <c r="I65" s="71">
        <v>45846</v>
      </c>
      <c r="J65" s="14">
        <v>20</v>
      </c>
      <c r="K65" s="14"/>
      <c r="L65" s="14"/>
      <c r="M65" s="14" t="s">
        <v>29</v>
      </c>
      <c r="N65" s="50" t="s">
        <v>14</v>
      </c>
      <c r="O65" s="36">
        <v>45846</v>
      </c>
      <c r="P65" s="35">
        <v>3559</v>
      </c>
    </row>
    <row r="66" spans="1:16" ht="15" customHeight="1" x14ac:dyDescent="0.45">
      <c r="A66" s="51">
        <v>3560</v>
      </c>
      <c r="B66" s="201">
        <v>45881</v>
      </c>
      <c r="C66" s="200"/>
      <c r="D66" s="35">
        <v>3</v>
      </c>
      <c r="E66" s="35">
        <v>40</v>
      </c>
      <c r="F66" s="35">
        <v>40</v>
      </c>
      <c r="G66" s="35">
        <v>0</v>
      </c>
      <c r="H66" s="35">
        <v>0</v>
      </c>
      <c r="I66" s="14"/>
      <c r="J66" s="85"/>
      <c r="K66" s="85"/>
      <c r="L66" s="85"/>
      <c r="M66" s="85" t="s">
        <v>29</v>
      </c>
      <c r="N66" s="22" t="s">
        <v>14</v>
      </c>
      <c r="O66" s="52">
        <v>45881</v>
      </c>
      <c r="P66" s="22">
        <v>3560</v>
      </c>
    </row>
    <row r="67" spans="1:16" ht="15" customHeight="1" x14ac:dyDescent="0.45">
      <c r="A67" s="51">
        <v>3561</v>
      </c>
      <c r="B67" s="75">
        <v>45842</v>
      </c>
      <c r="C67" s="75"/>
      <c r="D67" s="35">
        <v>2</v>
      </c>
      <c r="E67" s="35">
        <v>11</v>
      </c>
      <c r="F67" s="35">
        <v>11</v>
      </c>
      <c r="G67" s="35">
        <v>0</v>
      </c>
      <c r="H67" s="35">
        <v>0</v>
      </c>
      <c r="I67" s="14"/>
      <c r="J67" s="85"/>
      <c r="K67" s="85"/>
      <c r="L67" s="85"/>
      <c r="M67" s="14" t="s">
        <v>29</v>
      </c>
      <c r="N67" s="50" t="s">
        <v>14</v>
      </c>
      <c r="O67" s="75">
        <v>45842</v>
      </c>
      <c r="P67" s="22">
        <v>3561</v>
      </c>
    </row>
    <row r="68" spans="1:16" ht="18.5" x14ac:dyDescent="0.45">
      <c r="A68" s="51">
        <v>3562</v>
      </c>
      <c r="B68" s="74"/>
      <c r="C68" s="74"/>
      <c r="D68" s="35"/>
      <c r="E68" s="35"/>
      <c r="F68" s="35"/>
      <c r="G68" s="35"/>
      <c r="H68" s="35"/>
      <c r="I68" s="14"/>
      <c r="J68" s="85"/>
      <c r="K68" s="85"/>
      <c r="L68" s="85"/>
      <c r="M68" s="85"/>
      <c r="N68" s="22"/>
      <c r="O68" s="35"/>
      <c r="P68" s="22"/>
    </row>
    <row r="69" spans="1:16" ht="18.5" x14ac:dyDescent="0.45">
      <c r="A69" s="51">
        <v>3563</v>
      </c>
      <c r="B69" s="74"/>
      <c r="C69" s="74"/>
      <c r="D69" s="35"/>
      <c r="E69" s="82"/>
      <c r="F69" s="82"/>
      <c r="G69" s="82"/>
      <c r="H69" s="82"/>
      <c r="I69" s="89"/>
      <c r="J69" s="86"/>
      <c r="K69" s="86"/>
      <c r="L69" s="86"/>
      <c r="M69" s="86"/>
      <c r="N69" s="87"/>
      <c r="O69" s="35"/>
      <c r="P69" s="79"/>
    </row>
    <row r="70" spans="1:16" ht="18.5" x14ac:dyDescent="0.45">
      <c r="A70" s="51">
        <v>3564</v>
      </c>
      <c r="B70" s="75">
        <v>45836</v>
      </c>
      <c r="C70" s="75"/>
      <c r="D70" s="35">
        <v>2</v>
      </c>
      <c r="E70" s="82">
        <v>15</v>
      </c>
      <c r="F70" s="82">
        <v>15</v>
      </c>
      <c r="G70" s="82">
        <v>0</v>
      </c>
      <c r="H70" s="82">
        <v>0</v>
      </c>
      <c r="I70" s="89"/>
      <c r="J70" s="86"/>
      <c r="K70" s="86"/>
      <c r="L70" s="86"/>
      <c r="M70" s="89" t="s">
        <v>29</v>
      </c>
      <c r="N70" s="50" t="s">
        <v>14</v>
      </c>
      <c r="O70" s="36">
        <v>45836</v>
      </c>
      <c r="P70" s="82">
        <v>3564</v>
      </c>
    </row>
    <row r="71" spans="1:16" ht="18.5" x14ac:dyDescent="0.45">
      <c r="A71" s="51">
        <v>3565</v>
      </c>
      <c r="B71" s="90">
        <v>45852</v>
      </c>
      <c r="C71" s="90"/>
      <c r="D71" s="35">
        <v>2</v>
      </c>
      <c r="E71" s="35">
        <v>23</v>
      </c>
      <c r="F71" s="35">
        <v>23</v>
      </c>
      <c r="G71" s="35">
        <v>0</v>
      </c>
      <c r="H71" s="35">
        <v>0</v>
      </c>
      <c r="I71" s="14"/>
      <c r="J71" s="85"/>
      <c r="K71" s="85"/>
      <c r="L71" s="85"/>
      <c r="M71" s="14" t="s">
        <v>29</v>
      </c>
      <c r="N71" s="35" t="s">
        <v>14</v>
      </c>
      <c r="O71" s="36">
        <v>45852</v>
      </c>
      <c r="P71" s="22">
        <v>3565</v>
      </c>
    </row>
    <row r="72" spans="1:16" ht="18.5" x14ac:dyDescent="0.45">
      <c r="A72" s="51">
        <v>3566</v>
      </c>
      <c r="B72" s="201">
        <v>45862</v>
      </c>
      <c r="C72" s="200"/>
      <c r="D72" s="22">
        <v>3</v>
      </c>
      <c r="E72" s="22">
        <v>21</v>
      </c>
      <c r="F72" s="22">
        <v>21</v>
      </c>
      <c r="G72" s="22">
        <v>0</v>
      </c>
      <c r="H72" s="22">
        <v>0</v>
      </c>
      <c r="I72" s="85"/>
      <c r="J72" s="85"/>
      <c r="K72" s="85"/>
      <c r="L72" s="85"/>
      <c r="M72" s="85" t="s">
        <v>29</v>
      </c>
      <c r="N72" s="22" t="s">
        <v>14</v>
      </c>
      <c r="O72" s="36">
        <v>45862</v>
      </c>
      <c r="P72" s="22">
        <v>3566</v>
      </c>
    </row>
    <row r="73" spans="1:16" ht="18.5" x14ac:dyDescent="0.45">
      <c r="A73" s="128">
        <v>3567</v>
      </c>
      <c r="B73" s="165">
        <v>45860</v>
      </c>
      <c r="C73" s="166"/>
      <c r="D73" s="129">
        <v>3</v>
      </c>
      <c r="E73" s="129">
        <v>51</v>
      </c>
      <c r="F73" s="129">
        <v>51</v>
      </c>
      <c r="G73" s="129">
        <v>0</v>
      </c>
      <c r="H73" s="129">
        <v>0</v>
      </c>
      <c r="I73" s="130"/>
      <c r="J73" s="130"/>
      <c r="K73" s="130"/>
      <c r="L73" s="130"/>
      <c r="M73" s="130" t="s">
        <v>29</v>
      </c>
      <c r="N73" s="129" t="s">
        <v>14</v>
      </c>
      <c r="O73" s="138">
        <v>45860</v>
      </c>
      <c r="P73" s="129">
        <v>3567</v>
      </c>
    </row>
    <row r="74" spans="1:16" x14ac:dyDescent="0.35">
      <c r="P74" s="83"/>
    </row>
    <row r="75" spans="1:16" x14ac:dyDescent="0.35">
      <c r="P75" s="83"/>
    </row>
    <row r="76" spans="1:16" x14ac:dyDescent="0.35">
      <c r="P76" s="83"/>
    </row>
    <row r="77" spans="1:16" x14ac:dyDescent="0.35">
      <c r="P77" s="83"/>
    </row>
    <row r="78" spans="1:16" x14ac:dyDescent="0.35">
      <c r="P78" s="83"/>
    </row>
    <row r="79" spans="1:16" x14ac:dyDescent="0.35">
      <c r="P79" s="83"/>
    </row>
    <row r="80" spans="1:16" x14ac:dyDescent="0.35">
      <c r="P80" s="83"/>
    </row>
    <row r="81" spans="16:16" x14ac:dyDescent="0.35">
      <c r="P81" s="83"/>
    </row>
    <row r="82" spans="16:16" x14ac:dyDescent="0.35">
      <c r="P82" s="83"/>
    </row>
    <row r="83" spans="16:16" x14ac:dyDescent="0.35">
      <c r="P83" s="83"/>
    </row>
    <row r="84" spans="16:16" x14ac:dyDescent="0.35">
      <c r="P84" s="83"/>
    </row>
    <row r="85" spans="16:16" x14ac:dyDescent="0.35">
      <c r="P85" s="83"/>
    </row>
    <row r="86" spans="16:16" x14ac:dyDescent="0.35">
      <c r="P86" s="83"/>
    </row>
    <row r="87" spans="16:16" x14ac:dyDescent="0.35">
      <c r="P87" s="83"/>
    </row>
    <row r="88" spans="16:16" x14ac:dyDescent="0.35">
      <c r="P88" s="83"/>
    </row>
    <row r="89" spans="16:16" x14ac:dyDescent="0.35">
      <c r="P89" s="83"/>
    </row>
    <row r="90" spans="16:16" x14ac:dyDescent="0.35">
      <c r="P90" s="83"/>
    </row>
    <row r="91" spans="16:16" x14ac:dyDescent="0.35">
      <c r="P91" s="83"/>
    </row>
    <row r="92" spans="16:16" x14ac:dyDescent="0.35">
      <c r="P92" s="83"/>
    </row>
    <row r="93" spans="16:16" x14ac:dyDescent="0.35">
      <c r="P93" s="83"/>
    </row>
    <row r="94" spans="16:16" x14ac:dyDescent="0.35">
      <c r="P94" s="83"/>
    </row>
    <row r="95" spans="16:16" x14ac:dyDescent="0.35">
      <c r="P95" s="83"/>
    </row>
    <row r="96" spans="16:16" x14ac:dyDescent="0.35">
      <c r="P96" s="84"/>
    </row>
    <row r="97" spans="16:16" x14ac:dyDescent="0.35">
      <c r="P97" s="83"/>
    </row>
    <row r="98" spans="16:16" x14ac:dyDescent="0.35">
      <c r="P98" s="83"/>
    </row>
    <row r="99" spans="16:16" x14ac:dyDescent="0.35">
      <c r="P99" s="83"/>
    </row>
    <row r="100" spans="16:16" x14ac:dyDescent="0.35">
      <c r="P100" s="83"/>
    </row>
    <row r="101" spans="16:16" x14ac:dyDescent="0.35">
      <c r="P101" s="83"/>
    </row>
    <row r="102" spans="16:16" x14ac:dyDescent="0.35">
      <c r="P102" s="83"/>
    </row>
    <row r="103" spans="16:16" x14ac:dyDescent="0.35">
      <c r="P103" s="83"/>
    </row>
    <row r="104" spans="16:16" x14ac:dyDescent="0.35">
      <c r="P104" s="83"/>
    </row>
    <row r="105" spans="16:16" x14ac:dyDescent="0.35">
      <c r="P105" s="83"/>
    </row>
    <row r="106" spans="16:16" x14ac:dyDescent="0.35">
      <c r="P106" s="83"/>
    </row>
    <row r="107" spans="16:16" x14ac:dyDescent="0.35">
      <c r="P107" s="83"/>
    </row>
    <row r="108" spans="16:16" x14ac:dyDescent="0.35">
      <c r="P108" s="83"/>
    </row>
    <row r="109" spans="16:16" x14ac:dyDescent="0.35">
      <c r="P109" s="83"/>
    </row>
    <row r="110" spans="16:16" x14ac:dyDescent="0.35">
      <c r="P110" s="83"/>
    </row>
    <row r="111" spans="16:16" x14ac:dyDescent="0.35">
      <c r="P111" s="83"/>
    </row>
    <row r="112" spans="16:16" x14ac:dyDescent="0.35">
      <c r="P112" s="83"/>
    </row>
    <row r="113" spans="16:16" x14ac:dyDescent="0.35">
      <c r="P113" s="83"/>
    </row>
    <row r="114" spans="16:16" x14ac:dyDescent="0.35">
      <c r="P114" s="83"/>
    </row>
    <row r="115" spans="16:16" x14ac:dyDescent="0.35">
      <c r="P115" s="83"/>
    </row>
    <row r="116" spans="16:16" x14ac:dyDescent="0.35">
      <c r="P116" s="83"/>
    </row>
    <row r="117" spans="16:16" x14ac:dyDescent="0.35">
      <c r="P117" s="83"/>
    </row>
    <row r="118" spans="16:16" x14ac:dyDescent="0.35">
      <c r="P118" s="83"/>
    </row>
    <row r="119" spans="16:16" x14ac:dyDescent="0.35">
      <c r="P119" s="83"/>
    </row>
    <row r="120" spans="16:16" x14ac:dyDescent="0.35">
      <c r="P120" s="83"/>
    </row>
    <row r="121" spans="16:16" x14ac:dyDescent="0.35">
      <c r="P121" s="83"/>
    </row>
    <row r="122" spans="16:16" x14ac:dyDescent="0.35">
      <c r="P122" s="83"/>
    </row>
    <row r="123" spans="16:16" x14ac:dyDescent="0.35">
      <c r="P123" s="83"/>
    </row>
    <row r="124" spans="16:16" x14ac:dyDescent="0.35">
      <c r="P124" s="83"/>
    </row>
    <row r="125" spans="16:16" x14ac:dyDescent="0.35">
      <c r="P125" s="83"/>
    </row>
    <row r="126" spans="16:16" x14ac:dyDescent="0.35">
      <c r="P126" s="83"/>
    </row>
    <row r="127" spans="16:16" x14ac:dyDescent="0.35">
      <c r="P127" s="83"/>
    </row>
    <row r="128" spans="16:16" x14ac:dyDescent="0.35">
      <c r="P128" s="83"/>
    </row>
    <row r="129" spans="16:16" x14ac:dyDescent="0.35">
      <c r="P129" s="83"/>
    </row>
    <row r="130" spans="16:16" x14ac:dyDescent="0.35">
      <c r="P130" s="83"/>
    </row>
    <row r="131" spans="16:16" x14ac:dyDescent="0.35">
      <c r="P131" s="83"/>
    </row>
    <row r="132" spans="16:16" x14ac:dyDescent="0.35">
      <c r="P132" s="83"/>
    </row>
    <row r="133" spans="16:16" x14ac:dyDescent="0.35">
      <c r="P133" s="83"/>
    </row>
    <row r="134" spans="16:16" x14ac:dyDescent="0.35">
      <c r="P134" s="83"/>
    </row>
    <row r="135" spans="16:16" x14ac:dyDescent="0.35">
      <c r="P135" s="83"/>
    </row>
    <row r="136" spans="16:16" x14ac:dyDescent="0.35">
      <c r="P136" s="83"/>
    </row>
    <row r="137" spans="16:16" x14ac:dyDescent="0.35">
      <c r="P137" s="83"/>
    </row>
    <row r="138" spans="16:16" x14ac:dyDescent="0.35">
      <c r="P138" s="83"/>
    </row>
    <row r="139" spans="16:16" x14ac:dyDescent="0.35">
      <c r="P139" s="83"/>
    </row>
    <row r="140" spans="16:16" x14ac:dyDescent="0.35">
      <c r="P140" s="83"/>
    </row>
    <row r="141" spans="16:16" x14ac:dyDescent="0.35">
      <c r="P141" s="83"/>
    </row>
    <row r="142" spans="16:16" x14ac:dyDescent="0.35">
      <c r="P142" s="83"/>
    </row>
    <row r="143" spans="16:16" x14ac:dyDescent="0.35">
      <c r="P143" s="83"/>
    </row>
    <row r="144" spans="16:16" x14ac:dyDescent="0.35">
      <c r="P144" s="83"/>
    </row>
    <row r="145" spans="16:16" x14ac:dyDescent="0.35">
      <c r="P145" s="83"/>
    </row>
    <row r="146" spans="16:16" x14ac:dyDescent="0.35">
      <c r="P146" s="83"/>
    </row>
    <row r="147" spans="16:16" x14ac:dyDescent="0.35">
      <c r="P147" s="83"/>
    </row>
    <row r="148" spans="16:16" x14ac:dyDescent="0.35">
      <c r="P148" s="83"/>
    </row>
    <row r="149" spans="16:16" x14ac:dyDescent="0.35">
      <c r="P149" s="83"/>
    </row>
    <row r="150" spans="16:16" x14ac:dyDescent="0.35">
      <c r="P150" s="83"/>
    </row>
    <row r="151" spans="16:16" x14ac:dyDescent="0.35">
      <c r="P151" s="83"/>
    </row>
    <row r="152" spans="16:16" x14ac:dyDescent="0.35">
      <c r="P152" s="83"/>
    </row>
    <row r="153" spans="16:16" x14ac:dyDescent="0.35">
      <c r="P153" s="83"/>
    </row>
    <row r="154" spans="16:16" x14ac:dyDescent="0.35">
      <c r="P154" s="83"/>
    </row>
    <row r="155" spans="16:16" x14ac:dyDescent="0.35">
      <c r="P155" s="83"/>
    </row>
    <row r="156" spans="16:16" x14ac:dyDescent="0.35">
      <c r="P156" s="83"/>
    </row>
    <row r="157" spans="16:16" x14ac:dyDescent="0.35">
      <c r="P157" s="83"/>
    </row>
    <row r="158" spans="16:16" x14ac:dyDescent="0.35">
      <c r="P158" s="83"/>
    </row>
    <row r="159" spans="16:16" x14ac:dyDescent="0.35">
      <c r="P159" s="83"/>
    </row>
    <row r="160" spans="16:16" x14ac:dyDescent="0.35">
      <c r="P160" s="83"/>
    </row>
    <row r="161" spans="16:16" x14ac:dyDescent="0.35">
      <c r="P161" s="83"/>
    </row>
    <row r="162" spans="16:16" x14ac:dyDescent="0.35">
      <c r="P162" s="83"/>
    </row>
    <row r="163" spans="16:16" x14ac:dyDescent="0.35">
      <c r="P163" s="83"/>
    </row>
    <row r="164" spans="16:16" x14ac:dyDescent="0.35">
      <c r="P164" s="83"/>
    </row>
    <row r="165" spans="16:16" x14ac:dyDescent="0.35">
      <c r="P165" s="83"/>
    </row>
    <row r="166" spans="16:16" x14ac:dyDescent="0.35">
      <c r="P166" s="83"/>
    </row>
    <row r="167" spans="16:16" x14ac:dyDescent="0.35">
      <c r="P167" s="83"/>
    </row>
    <row r="168" spans="16:16" x14ac:dyDescent="0.35">
      <c r="P168" s="83"/>
    </row>
    <row r="169" spans="16:16" x14ac:dyDescent="0.35">
      <c r="P169" s="83"/>
    </row>
    <row r="170" spans="16:16" x14ac:dyDescent="0.35">
      <c r="P170" s="83"/>
    </row>
    <row r="171" spans="16:16" x14ac:dyDescent="0.35">
      <c r="P171" s="83"/>
    </row>
    <row r="172" spans="16:16" x14ac:dyDescent="0.35">
      <c r="P172" s="83"/>
    </row>
    <row r="173" spans="16:16" x14ac:dyDescent="0.35">
      <c r="P173" s="83"/>
    </row>
    <row r="174" spans="16:16" x14ac:dyDescent="0.35">
      <c r="P174" s="83"/>
    </row>
    <row r="175" spans="16:16" x14ac:dyDescent="0.35">
      <c r="P175" s="83"/>
    </row>
    <row r="176" spans="16:16" x14ac:dyDescent="0.35">
      <c r="P176" s="83"/>
    </row>
    <row r="177" spans="16:16" x14ac:dyDescent="0.35">
      <c r="P177" s="83"/>
    </row>
    <row r="178" spans="16:16" x14ac:dyDescent="0.35">
      <c r="P178" s="83"/>
    </row>
    <row r="179" spans="16:16" x14ac:dyDescent="0.35">
      <c r="P179" s="84"/>
    </row>
    <row r="180" spans="16:16" x14ac:dyDescent="0.35">
      <c r="P180" s="83"/>
    </row>
    <row r="181" spans="16:16" x14ac:dyDescent="0.35">
      <c r="P181" s="83"/>
    </row>
    <row r="182" spans="16:16" x14ac:dyDescent="0.35">
      <c r="P182" s="83"/>
    </row>
    <row r="183" spans="16:16" x14ac:dyDescent="0.35">
      <c r="P183" s="83"/>
    </row>
    <row r="184" spans="16:16" x14ac:dyDescent="0.35">
      <c r="P184" s="83"/>
    </row>
    <row r="185" spans="16:16" x14ac:dyDescent="0.35">
      <c r="P185" s="83"/>
    </row>
    <row r="186" spans="16:16" x14ac:dyDescent="0.35">
      <c r="P186" s="83"/>
    </row>
    <row r="187" spans="16:16" x14ac:dyDescent="0.35">
      <c r="P187" s="83"/>
    </row>
    <row r="188" spans="16:16" x14ac:dyDescent="0.35">
      <c r="P188" s="83"/>
    </row>
    <row r="189" spans="16:16" x14ac:dyDescent="0.35">
      <c r="P189" s="83"/>
    </row>
    <row r="190" spans="16:16" x14ac:dyDescent="0.35">
      <c r="P190" s="83"/>
    </row>
    <row r="191" spans="16:16" x14ac:dyDescent="0.35">
      <c r="P191" s="83"/>
    </row>
    <row r="192" spans="16:16" x14ac:dyDescent="0.35">
      <c r="P192" s="83"/>
    </row>
    <row r="193" spans="16:16" x14ac:dyDescent="0.35">
      <c r="P193" s="83"/>
    </row>
    <row r="194" spans="16:16" x14ac:dyDescent="0.35">
      <c r="P194" s="83"/>
    </row>
    <row r="195" spans="16:16" x14ac:dyDescent="0.35">
      <c r="P195" s="83"/>
    </row>
    <row r="196" spans="16:16" x14ac:dyDescent="0.35">
      <c r="P196" s="83"/>
    </row>
    <row r="197" spans="16:16" x14ac:dyDescent="0.35">
      <c r="P197" s="83"/>
    </row>
    <row r="198" spans="16:16" x14ac:dyDescent="0.35">
      <c r="P198" s="83"/>
    </row>
    <row r="199" spans="16:16" x14ac:dyDescent="0.35">
      <c r="P199" s="83"/>
    </row>
    <row r="200" spans="16:16" x14ac:dyDescent="0.35">
      <c r="P200" s="83"/>
    </row>
    <row r="201" spans="16:16" x14ac:dyDescent="0.35">
      <c r="P201" s="83"/>
    </row>
    <row r="202" spans="16:16" x14ac:dyDescent="0.35">
      <c r="P202" s="83"/>
    </row>
    <row r="203" spans="16:16" x14ac:dyDescent="0.35">
      <c r="P203" s="83"/>
    </row>
    <row r="204" spans="16:16" x14ac:dyDescent="0.35">
      <c r="P204" s="83"/>
    </row>
    <row r="205" spans="16:16" x14ac:dyDescent="0.35">
      <c r="P205" s="83"/>
    </row>
    <row r="206" spans="16:16" x14ac:dyDescent="0.35">
      <c r="P206" s="83"/>
    </row>
    <row r="207" spans="16:16" x14ac:dyDescent="0.35">
      <c r="P207" s="83"/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207"/>
  <sheetViews>
    <sheetView topLeftCell="A58" workbookViewId="0">
      <selection activeCell="P32" sqref="P32"/>
    </sheetView>
  </sheetViews>
  <sheetFormatPr defaultColWidth="9.1796875" defaultRowHeight="14.5" x14ac:dyDescent="0.35"/>
  <cols>
    <col min="1" max="1" width="10.81640625" style="1" customWidth="1"/>
    <col min="2" max="3" width="13.81640625" style="1" customWidth="1"/>
    <col min="4" max="4" width="23.1796875" style="1" customWidth="1"/>
    <col min="5" max="5" width="12.81640625" style="1" customWidth="1"/>
    <col min="6" max="6" width="12" style="1" customWidth="1"/>
    <col min="7" max="7" width="13.81640625" style="1" customWidth="1"/>
    <col min="8" max="8" width="19.1796875" style="1" customWidth="1"/>
    <col min="9" max="9" width="16.81640625" style="1" customWidth="1"/>
    <col min="10" max="10" width="12.1796875" style="1" customWidth="1"/>
    <col min="11" max="11" width="15.54296875" style="1" customWidth="1"/>
    <col min="12" max="12" width="12.453125" style="1" customWidth="1"/>
    <col min="13" max="13" width="17.54296875" style="1" customWidth="1"/>
    <col min="14" max="14" width="16.453125" style="1" customWidth="1"/>
    <col min="15" max="15" width="29.54296875" style="1" customWidth="1"/>
    <col min="16" max="16" width="23.54296875" style="1" customWidth="1"/>
    <col min="17" max="17" width="2.54296875" style="1" customWidth="1"/>
    <col min="18" max="18" width="11.81640625" style="1" customWidth="1"/>
    <col min="19" max="19" width="10.81640625" style="1" customWidth="1"/>
    <col min="20" max="20" width="14.81640625" style="1" customWidth="1"/>
    <col min="21" max="21" width="13.1796875" style="1" customWidth="1"/>
    <col min="22" max="16384" width="9.1796875" style="1"/>
  </cols>
  <sheetData>
    <row r="1" spans="1:21" ht="44" thickBot="1" x14ac:dyDescent="0.4">
      <c r="A1" s="115" t="s">
        <v>0</v>
      </c>
      <c r="B1" s="116" t="s">
        <v>1</v>
      </c>
      <c r="C1" s="116" t="s">
        <v>32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33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45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29" t="s">
        <v>15</v>
      </c>
      <c r="S2" s="230"/>
      <c r="T2" s="230"/>
      <c r="U2" s="231"/>
    </row>
    <row r="3" spans="1:21" ht="15" customHeight="1" x14ac:dyDescent="0.45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24</v>
      </c>
      <c r="U4" s="39">
        <f>T4/S4</f>
        <v>0.33333333333333331</v>
      </c>
    </row>
    <row r="5" spans="1:21" ht="15" customHeight="1" x14ac:dyDescent="0.45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45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45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45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45">
      <c r="A9" s="23">
        <v>3238</v>
      </c>
      <c r="B9" s="92">
        <v>45870</v>
      </c>
      <c r="C9" s="170"/>
      <c r="D9" s="37">
        <v>3</v>
      </c>
      <c r="E9" s="37">
        <v>68</v>
      </c>
      <c r="F9" s="37">
        <v>68</v>
      </c>
      <c r="G9" s="37">
        <v>0</v>
      </c>
      <c r="H9" s="37">
        <v>0</v>
      </c>
      <c r="I9" s="12"/>
      <c r="J9" s="12"/>
      <c r="K9" s="12"/>
      <c r="L9" s="12"/>
      <c r="M9" s="12" t="s">
        <v>29</v>
      </c>
      <c r="N9" s="37" t="s">
        <v>14</v>
      </c>
      <c r="O9" s="53">
        <v>45870</v>
      </c>
      <c r="P9" s="37">
        <v>3238</v>
      </c>
    </row>
    <row r="10" spans="1:21" ht="15" customHeight="1" x14ac:dyDescent="0.45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45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5">
      <c r="A12" s="32">
        <v>3241</v>
      </c>
      <c r="B12" s="194">
        <v>45876</v>
      </c>
      <c r="C12" s="193"/>
      <c r="D12" s="37">
        <v>4</v>
      </c>
      <c r="E12" s="37">
        <v>121</v>
      </c>
      <c r="F12" s="37">
        <v>77</v>
      </c>
      <c r="G12" s="37">
        <v>44</v>
      </c>
      <c r="H12" s="37">
        <v>2</v>
      </c>
      <c r="I12" s="184">
        <v>45878</v>
      </c>
      <c r="J12" s="12">
        <v>16</v>
      </c>
      <c r="K12" s="184">
        <v>45881</v>
      </c>
      <c r="L12" s="12">
        <v>28</v>
      </c>
      <c r="M12" s="12" t="s">
        <v>29</v>
      </c>
      <c r="N12" s="37" t="s">
        <v>14</v>
      </c>
      <c r="O12" s="174">
        <v>45881</v>
      </c>
      <c r="P12" s="37">
        <v>3241</v>
      </c>
    </row>
    <row r="13" spans="1:21" ht="15" customHeight="1" x14ac:dyDescent="0.45">
      <c r="A13" s="3">
        <v>3242</v>
      </c>
      <c r="B13" s="172">
        <v>45893</v>
      </c>
      <c r="C13" s="173"/>
      <c r="D13" s="37">
        <v>4</v>
      </c>
      <c r="E13" s="37">
        <v>37</v>
      </c>
      <c r="F13" s="37">
        <v>37</v>
      </c>
      <c r="G13" s="37">
        <v>0</v>
      </c>
      <c r="H13" s="37">
        <v>0</v>
      </c>
      <c r="I13" s="12"/>
      <c r="J13" s="12"/>
      <c r="K13" s="12"/>
      <c r="L13" s="12"/>
      <c r="M13" s="12" t="s">
        <v>29</v>
      </c>
      <c r="N13" s="37" t="s">
        <v>38</v>
      </c>
      <c r="O13" s="224">
        <v>45893</v>
      </c>
      <c r="P13" s="37">
        <v>3242</v>
      </c>
    </row>
    <row r="14" spans="1:21" ht="15" customHeight="1" x14ac:dyDescent="0.45">
      <c r="A14" s="33">
        <v>3243</v>
      </c>
      <c r="B14" s="192"/>
      <c r="C14" s="192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45">
      <c r="A15" s="33">
        <v>3244</v>
      </c>
      <c r="B15" s="170"/>
      <c r="C15" s="170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45">
      <c r="A16" s="33">
        <v>3245</v>
      </c>
      <c r="B16" s="192"/>
      <c r="C16" s="192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45">
      <c r="A17" s="33">
        <v>3246</v>
      </c>
      <c r="B17" s="176"/>
      <c r="C17" s="176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45">
      <c r="A18" s="33">
        <v>3247</v>
      </c>
      <c r="B18" s="192"/>
      <c r="C18" s="192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45">
      <c r="A19" s="33">
        <v>3248</v>
      </c>
      <c r="B19" s="170"/>
      <c r="C19" s="170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45">
      <c r="A20" s="33">
        <v>3250</v>
      </c>
      <c r="B20" s="192"/>
      <c r="C20" s="192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45">
      <c r="A21" s="33">
        <v>3251</v>
      </c>
      <c r="B21" s="170"/>
      <c r="C21" s="170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45">
      <c r="A22" s="33">
        <v>3252</v>
      </c>
      <c r="B22" s="192"/>
      <c r="C22" s="192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5">
      <c r="A23" s="34">
        <v>3253</v>
      </c>
      <c r="B23" s="170"/>
      <c r="C23" s="170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45">
      <c r="A24" s="3">
        <v>3254</v>
      </c>
      <c r="B24" s="192"/>
      <c r="C24" s="192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45">
      <c r="A25" s="33">
        <v>3255</v>
      </c>
      <c r="B25" s="176"/>
      <c r="C25" s="176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45">
      <c r="A26" s="33">
        <v>3256</v>
      </c>
      <c r="B26" s="195"/>
      <c r="C26" s="53"/>
      <c r="D26" s="40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45">
      <c r="A27" s="33">
        <v>3258</v>
      </c>
      <c r="B27" s="92">
        <v>45880</v>
      </c>
      <c r="C27" s="92"/>
      <c r="D27" s="37">
        <v>2</v>
      </c>
      <c r="E27" s="37">
        <v>38</v>
      </c>
      <c r="F27" s="37">
        <v>38</v>
      </c>
      <c r="G27" s="37">
        <v>0</v>
      </c>
      <c r="H27" s="37">
        <v>0</v>
      </c>
      <c r="I27" s="12"/>
      <c r="J27" s="12"/>
      <c r="K27" s="12"/>
      <c r="L27" s="12"/>
      <c r="M27" s="12" t="s">
        <v>29</v>
      </c>
      <c r="N27" s="37" t="s">
        <v>14</v>
      </c>
      <c r="O27" s="53">
        <v>45880</v>
      </c>
      <c r="P27" s="37">
        <v>3258</v>
      </c>
    </row>
    <row r="28" spans="1:16" ht="15" customHeight="1" x14ac:dyDescent="0.45">
      <c r="A28" s="33">
        <v>3259</v>
      </c>
      <c r="B28" s="192"/>
      <c r="C28" s="192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45">
      <c r="A29" s="33">
        <v>3260</v>
      </c>
      <c r="B29" s="170"/>
      <c r="C29" s="177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45">
      <c r="A30" s="33">
        <v>3261</v>
      </c>
      <c r="B30" s="220">
        <v>45890</v>
      </c>
      <c r="C30" s="223"/>
      <c r="D30" s="196">
        <v>2</v>
      </c>
      <c r="E30" s="197">
        <v>10</v>
      </c>
      <c r="F30" s="197">
        <v>10</v>
      </c>
      <c r="G30" s="197">
        <v>0</v>
      </c>
      <c r="H30" s="197">
        <v>0</v>
      </c>
      <c r="I30" s="198"/>
      <c r="J30" s="198"/>
      <c r="K30" s="198"/>
      <c r="L30" s="198"/>
      <c r="M30" s="198" t="s">
        <v>29</v>
      </c>
      <c r="N30" s="199" t="s">
        <v>38</v>
      </c>
      <c r="O30" s="38" t="s">
        <v>39</v>
      </c>
      <c r="P30" s="197">
        <v>3261</v>
      </c>
    </row>
    <row r="31" spans="1:16" ht="15" customHeight="1" x14ac:dyDescent="0.45">
      <c r="A31" s="33">
        <v>3262</v>
      </c>
      <c r="B31" s="92">
        <v>45869</v>
      </c>
      <c r="C31" s="175"/>
      <c r="D31" s="10">
        <v>3</v>
      </c>
      <c r="E31" s="10">
        <v>9</v>
      </c>
      <c r="F31" s="10">
        <v>9</v>
      </c>
      <c r="G31" s="10">
        <v>0</v>
      </c>
      <c r="H31" s="10">
        <v>0</v>
      </c>
      <c r="I31" s="11"/>
      <c r="J31" s="11"/>
      <c r="K31" s="11"/>
      <c r="L31" s="11"/>
      <c r="M31" s="11" t="s">
        <v>29</v>
      </c>
      <c r="N31" s="40" t="s">
        <v>14</v>
      </c>
      <c r="O31" s="53">
        <v>45869</v>
      </c>
      <c r="P31" s="10">
        <v>3262</v>
      </c>
    </row>
    <row r="32" spans="1:16" ht="15" customHeight="1" x14ac:dyDescent="0.45">
      <c r="A32" s="33">
        <v>3263</v>
      </c>
      <c r="B32" s="221">
        <v>45894</v>
      </c>
      <c r="C32" s="222"/>
      <c r="D32" s="37">
        <v>1</v>
      </c>
      <c r="E32" s="37">
        <v>1</v>
      </c>
      <c r="F32" s="37">
        <v>1</v>
      </c>
      <c r="G32" s="37">
        <v>0</v>
      </c>
      <c r="H32" s="37">
        <v>0</v>
      </c>
      <c r="I32" s="12"/>
      <c r="J32" s="12"/>
      <c r="K32" s="12"/>
      <c r="L32" s="12"/>
      <c r="M32" s="12" t="s">
        <v>29</v>
      </c>
      <c r="N32" s="37" t="s">
        <v>38</v>
      </c>
      <c r="O32" s="53">
        <v>45894</v>
      </c>
      <c r="P32" s="37">
        <v>3263</v>
      </c>
    </row>
    <row r="33" spans="1:16" ht="15" customHeight="1" x14ac:dyDescent="0.45">
      <c r="A33" s="33">
        <v>3264</v>
      </c>
      <c r="B33" s="92">
        <v>45889</v>
      </c>
      <c r="C33" s="170"/>
      <c r="D33" s="37">
        <v>1</v>
      </c>
      <c r="E33" s="37">
        <v>1</v>
      </c>
      <c r="F33" s="37">
        <v>1</v>
      </c>
      <c r="G33" s="37">
        <v>0</v>
      </c>
      <c r="H33" s="37">
        <v>0</v>
      </c>
      <c r="I33" s="12"/>
      <c r="J33" s="12"/>
      <c r="K33" s="12"/>
      <c r="L33" s="12"/>
      <c r="M33" s="12" t="s">
        <v>29</v>
      </c>
      <c r="N33" s="37" t="s">
        <v>38</v>
      </c>
      <c r="O33" s="53">
        <v>45889</v>
      </c>
      <c r="P33" s="37">
        <v>3264</v>
      </c>
    </row>
    <row r="34" spans="1:16" ht="15" customHeight="1" thickBot="1" x14ac:dyDescent="0.5">
      <c r="A34" s="34">
        <v>3265</v>
      </c>
      <c r="B34" s="192"/>
      <c r="C34" s="192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45">
      <c r="A35" s="3">
        <v>3266</v>
      </c>
      <c r="B35" s="92">
        <v>45882</v>
      </c>
      <c r="C35" s="170"/>
      <c r="D35" s="37">
        <v>2</v>
      </c>
      <c r="E35" s="37">
        <v>35</v>
      </c>
      <c r="F35" s="37">
        <v>35</v>
      </c>
      <c r="G35" s="37">
        <v>0</v>
      </c>
      <c r="H35" s="37">
        <v>0</v>
      </c>
      <c r="I35" s="12"/>
      <c r="J35" s="12"/>
      <c r="K35" s="12"/>
      <c r="L35" s="12"/>
      <c r="M35" s="12" t="s">
        <v>36</v>
      </c>
      <c r="N35" s="37" t="s">
        <v>14</v>
      </c>
      <c r="O35" s="53">
        <v>45882</v>
      </c>
      <c r="P35" s="37">
        <v>3266</v>
      </c>
    </row>
    <row r="36" spans="1:16" ht="15" customHeight="1" x14ac:dyDescent="0.45">
      <c r="A36" s="33">
        <v>3267</v>
      </c>
      <c r="B36" s="192"/>
      <c r="C36" s="192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45">
      <c r="A37" s="33">
        <v>3299</v>
      </c>
      <c r="B37" s="170"/>
      <c r="C37" s="170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45">
      <c r="A38" s="33">
        <v>3531</v>
      </c>
      <c r="B38" s="194">
        <v>45869</v>
      </c>
      <c r="C38" s="193"/>
      <c r="D38" s="37">
        <v>1</v>
      </c>
      <c r="E38" s="5">
        <v>22</v>
      </c>
      <c r="F38" s="5">
        <v>22</v>
      </c>
      <c r="G38" s="5">
        <v>0</v>
      </c>
      <c r="H38" s="5">
        <v>0</v>
      </c>
      <c r="I38" s="7"/>
      <c r="J38" s="7"/>
      <c r="K38" s="7"/>
      <c r="L38" s="7"/>
      <c r="M38" s="7" t="s">
        <v>29</v>
      </c>
      <c r="N38" s="31" t="s">
        <v>14</v>
      </c>
      <c r="O38" s="174">
        <v>45869</v>
      </c>
      <c r="P38" s="5">
        <v>3531</v>
      </c>
    </row>
    <row r="39" spans="1:16" ht="15" customHeight="1" x14ac:dyDescent="0.45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45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45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45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45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45">
      <c r="A44" s="33">
        <v>3537</v>
      </c>
      <c r="B44" s="191">
        <v>45880</v>
      </c>
      <c r="C44" s="192"/>
      <c r="D44" s="37">
        <v>3</v>
      </c>
      <c r="E44" s="37">
        <v>69</v>
      </c>
      <c r="F44" s="37">
        <v>69</v>
      </c>
      <c r="G44" s="37">
        <v>0</v>
      </c>
      <c r="H44" s="37">
        <v>0</v>
      </c>
      <c r="I44" s="12"/>
      <c r="J44" s="12"/>
      <c r="K44" s="12"/>
      <c r="L44" s="12"/>
      <c r="M44" s="12" t="s">
        <v>29</v>
      </c>
      <c r="N44" s="37" t="s">
        <v>14</v>
      </c>
      <c r="O44" s="53">
        <v>45880</v>
      </c>
      <c r="P44" s="37">
        <v>3537</v>
      </c>
    </row>
    <row r="45" spans="1:16" ht="15" customHeight="1" thickBot="1" x14ac:dyDescent="0.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45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45">
      <c r="A47" s="33">
        <v>3541</v>
      </c>
      <c r="B47" s="44"/>
      <c r="C47" s="106"/>
      <c r="D47" s="12"/>
      <c r="E47" s="5"/>
      <c r="F47" s="5"/>
      <c r="G47" s="5"/>
      <c r="H47" s="5"/>
      <c r="I47" s="7"/>
      <c r="J47" s="7"/>
      <c r="K47" s="7"/>
      <c r="L47" s="7"/>
      <c r="M47" s="7"/>
      <c r="N47" s="31"/>
      <c r="O47" s="44"/>
      <c r="P47" s="5"/>
    </row>
    <row r="48" spans="1:16" ht="15" customHeight="1" x14ac:dyDescent="0.45">
      <c r="A48" s="33">
        <v>3542</v>
      </c>
      <c r="B48" s="191">
        <v>45854</v>
      </c>
      <c r="C48" s="191"/>
      <c r="D48" s="37">
        <v>3</v>
      </c>
      <c r="E48" s="37">
        <v>74</v>
      </c>
      <c r="F48" s="37">
        <v>74</v>
      </c>
      <c r="G48" s="37">
        <v>0</v>
      </c>
      <c r="H48" s="37">
        <v>0</v>
      </c>
      <c r="I48" s="12"/>
      <c r="J48" s="12"/>
      <c r="K48" s="12"/>
      <c r="L48" s="12"/>
      <c r="M48" s="12" t="s">
        <v>29</v>
      </c>
      <c r="N48" s="37" t="s">
        <v>14</v>
      </c>
      <c r="O48" s="53">
        <v>45854</v>
      </c>
      <c r="P48" s="37">
        <v>3542</v>
      </c>
    </row>
    <row r="49" spans="1:16" ht="15" customHeight="1" x14ac:dyDescent="0.45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45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45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45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45">
      <c r="A53" s="33">
        <v>3547</v>
      </c>
      <c r="B53" s="92">
        <v>45873</v>
      </c>
      <c r="C53" s="170"/>
      <c r="D53" s="37">
        <v>1</v>
      </c>
      <c r="E53" s="37">
        <v>20</v>
      </c>
      <c r="F53" s="37">
        <v>20</v>
      </c>
      <c r="G53" s="37">
        <v>0</v>
      </c>
      <c r="H53" s="37">
        <v>0</v>
      </c>
      <c r="I53" s="12"/>
      <c r="J53" s="12"/>
      <c r="K53" s="12"/>
      <c r="L53" s="12"/>
      <c r="M53" s="12" t="s">
        <v>29</v>
      </c>
      <c r="N53" s="37" t="s">
        <v>14</v>
      </c>
      <c r="O53" s="53">
        <v>45873</v>
      </c>
      <c r="P53" s="37">
        <v>3547</v>
      </c>
    </row>
    <row r="54" spans="1:16" ht="15" customHeight="1" x14ac:dyDescent="0.45">
      <c r="A54" s="33">
        <v>3548</v>
      </c>
      <c r="B54" s="191">
        <v>45882</v>
      </c>
      <c r="C54" s="192"/>
      <c r="D54" s="37">
        <v>2</v>
      </c>
      <c r="E54" s="37">
        <v>18</v>
      </c>
      <c r="F54" s="37">
        <v>18</v>
      </c>
      <c r="G54" s="37">
        <v>0</v>
      </c>
      <c r="H54" s="37">
        <v>0</v>
      </c>
      <c r="I54" s="12"/>
      <c r="J54" s="12"/>
      <c r="K54" s="12"/>
      <c r="L54" s="12"/>
      <c r="M54" s="12" t="s">
        <v>29</v>
      </c>
      <c r="N54" s="37" t="s">
        <v>14</v>
      </c>
      <c r="O54" s="53">
        <v>45882</v>
      </c>
      <c r="P54" s="37">
        <v>3548</v>
      </c>
    </row>
    <row r="55" spans="1:16" ht="15" customHeight="1" x14ac:dyDescent="0.45">
      <c r="A55" s="33">
        <v>3549</v>
      </c>
      <c r="B55" s="92">
        <v>45868</v>
      </c>
      <c r="C55" s="170"/>
      <c r="D55" s="37">
        <v>1</v>
      </c>
      <c r="E55" s="37">
        <v>10</v>
      </c>
      <c r="F55" s="37">
        <v>10</v>
      </c>
      <c r="G55" s="37">
        <v>0</v>
      </c>
      <c r="H55" s="37">
        <v>0</v>
      </c>
      <c r="I55" s="12"/>
      <c r="J55" s="12"/>
      <c r="K55" s="12"/>
      <c r="L55" s="12"/>
      <c r="M55" s="12" t="s">
        <v>29</v>
      </c>
      <c r="N55" s="37" t="s">
        <v>14</v>
      </c>
      <c r="O55" s="53">
        <v>45868</v>
      </c>
      <c r="P55" s="37">
        <v>3549</v>
      </c>
    </row>
    <row r="56" spans="1:16" ht="15" customHeight="1" thickBot="1" x14ac:dyDescent="0.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45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45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45">
      <c r="A59" s="33">
        <v>3553</v>
      </c>
      <c r="B59" s="172">
        <v>45868</v>
      </c>
      <c r="C59" s="173"/>
      <c r="D59" s="37">
        <v>2</v>
      </c>
      <c r="E59" s="37">
        <v>5</v>
      </c>
      <c r="F59" s="37">
        <v>5</v>
      </c>
      <c r="G59" s="37">
        <v>0</v>
      </c>
      <c r="H59" s="37">
        <v>0</v>
      </c>
      <c r="I59" s="12"/>
      <c r="J59" s="12"/>
      <c r="K59" s="12"/>
      <c r="L59" s="12"/>
      <c r="M59" s="12" t="s">
        <v>29</v>
      </c>
      <c r="N59" s="37" t="s">
        <v>14</v>
      </c>
      <c r="O59" s="53">
        <v>45868</v>
      </c>
      <c r="P59" s="37"/>
    </row>
    <row r="60" spans="1:16" ht="15" customHeight="1" x14ac:dyDescent="0.45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45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45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45">
      <c r="A63" s="33">
        <v>3557</v>
      </c>
      <c r="B63" s="91">
        <v>45854</v>
      </c>
      <c r="C63" s="108"/>
      <c r="D63" s="35">
        <v>3</v>
      </c>
      <c r="E63" s="17">
        <v>38</v>
      </c>
      <c r="F63" s="17">
        <v>38</v>
      </c>
      <c r="G63" s="17">
        <v>0</v>
      </c>
      <c r="H63" s="17">
        <v>0</v>
      </c>
      <c r="I63" s="18"/>
      <c r="J63" s="18"/>
      <c r="K63" s="18"/>
      <c r="L63" s="18"/>
      <c r="M63" s="18" t="s">
        <v>29</v>
      </c>
      <c r="N63" s="38" t="s">
        <v>14</v>
      </c>
      <c r="O63" s="54">
        <v>45854</v>
      </c>
      <c r="P63" s="17">
        <v>3557</v>
      </c>
    </row>
    <row r="64" spans="1:16" ht="15" customHeight="1" x14ac:dyDescent="0.45">
      <c r="A64" s="33">
        <v>3558</v>
      </c>
      <c r="B64" s="217">
        <v>45884</v>
      </c>
      <c r="C64" s="195"/>
      <c r="D64" s="22">
        <v>1</v>
      </c>
      <c r="E64" s="37">
        <v>2</v>
      </c>
      <c r="F64" s="37">
        <v>2</v>
      </c>
      <c r="G64" s="37">
        <v>0</v>
      </c>
      <c r="H64" s="37">
        <v>0</v>
      </c>
      <c r="I64" s="12"/>
      <c r="J64" s="12"/>
      <c r="K64" s="12"/>
      <c r="L64" s="12"/>
      <c r="M64" s="12" t="s">
        <v>29</v>
      </c>
      <c r="N64" s="37" t="s">
        <v>14</v>
      </c>
      <c r="O64" s="53">
        <v>45884</v>
      </c>
      <c r="P64" s="37">
        <v>3458</v>
      </c>
    </row>
    <row r="65" spans="1:16" ht="15" customHeight="1" thickBot="1" x14ac:dyDescent="0.5">
      <c r="A65" s="33">
        <v>3559</v>
      </c>
      <c r="B65" s="92">
        <v>45870</v>
      </c>
      <c r="C65" s="170"/>
      <c r="D65" s="35">
        <v>1</v>
      </c>
      <c r="E65" s="35">
        <v>18</v>
      </c>
      <c r="F65" s="35">
        <v>18</v>
      </c>
      <c r="G65" s="35">
        <v>0</v>
      </c>
      <c r="H65" s="35">
        <v>0</v>
      </c>
      <c r="I65" s="14"/>
      <c r="J65" s="14"/>
      <c r="K65" s="14"/>
      <c r="L65" s="14"/>
      <c r="M65" s="14" t="s">
        <v>29</v>
      </c>
      <c r="N65" s="40" t="s">
        <v>14</v>
      </c>
      <c r="O65" s="53">
        <v>45870</v>
      </c>
      <c r="P65" s="35">
        <v>3559</v>
      </c>
    </row>
    <row r="66" spans="1:16" ht="15" customHeight="1" x14ac:dyDescent="0.45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45">
      <c r="A67" s="20">
        <v>3561</v>
      </c>
      <c r="B67" s="92">
        <v>45855</v>
      </c>
      <c r="C67" s="92"/>
      <c r="D67" s="37">
        <v>2</v>
      </c>
      <c r="E67" s="37">
        <v>50</v>
      </c>
      <c r="F67" s="37">
        <v>50</v>
      </c>
      <c r="G67" s="37">
        <v>0</v>
      </c>
      <c r="H67" s="37">
        <v>0</v>
      </c>
      <c r="I67" s="12"/>
      <c r="J67" s="12"/>
      <c r="K67" s="12"/>
      <c r="L67" s="12"/>
      <c r="M67" s="12" t="s">
        <v>29</v>
      </c>
      <c r="N67" s="37" t="s">
        <v>14</v>
      </c>
      <c r="O67" s="53">
        <v>45855</v>
      </c>
      <c r="P67" s="37">
        <v>3561</v>
      </c>
    </row>
    <row r="68" spans="1:16" ht="18.5" x14ac:dyDescent="0.45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5" x14ac:dyDescent="0.45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5" x14ac:dyDescent="0.45">
      <c r="A70" s="20">
        <v>3564</v>
      </c>
      <c r="B70" s="191">
        <v>45863</v>
      </c>
      <c r="C70" s="192"/>
      <c r="D70" s="37">
        <v>3</v>
      </c>
      <c r="E70" s="5">
        <v>73</v>
      </c>
      <c r="F70" s="5">
        <v>73</v>
      </c>
      <c r="G70" s="5">
        <v>0</v>
      </c>
      <c r="H70" s="5">
        <v>0</v>
      </c>
      <c r="I70" s="7"/>
      <c r="J70" s="7"/>
      <c r="K70" s="7"/>
      <c r="L70" s="7"/>
      <c r="M70" s="7" t="s">
        <v>29</v>
      </c>
      <c r="N70" s="31" t="s">
        <v>14</v>
      </c>
      <c r="O70" s="53">
        <v>45863</v>
      </c>
      <c r="P70" s="5">
        <v>3564</v>
      </c>
    </row>
    <row r="71" spans="1:16" ht="18.5" x14ac:dyDescent="0.45">
      <c r="A71" s="20">
        <v>3565</v>
      </c>
      <c r="B71" s="220">
        <v>45889</v>
      </c>
      <c r="C71" s="176"/>
      <c r="D71" s="37">
        <v>1</v>
      </c>
      <c r="E71" s="37">
        <v>12</v>
      </c>
      <c r="F71" s="37">
        <v>12</v>
      </c>
      <c r="G71" s="37">
        <v>0</v>
      </c>
      <c r="H71" s="37">
        <v>0</v>
      </c>
      <c r="I71" s="12"/>
      <c r="J71" s="12"/>
      <c r="K71" s="12"/>
      <c r="L71" s="12"/>
      <c r="M71" s="12" t="s">
        <v>29</v>
      </c>
      <c r="N71" s="37" t="s">
        <v>38</v>
      </c>
      <c r="O71" s="53">
        <v>45889</v>
      </c>
      <c r="P71" s="37">
        <v>3565</v>
      </c>
    </row>
    <row r="72" spans="1:16" ht="18.5" x14ac:dyDescent="0.45">
      <c r="A72" s="20">
        <v>3566</v>
      </c>
      <c r="B72" s="191">
        <v>45877</v>
      </c>
      <c r="C72" s="192"/>
      <c r="D72" s="37">
        <v>2</v>
      </c>
      <c r="E72" s="37">
        <v>13</v>
      </c>
      <c r="F72" s="37">
        <v>13</v>
      </c>
      <c r="G72" s="37">
        <v>0</v>
      </c>
      <c r="H72" s="37">
        <v>0</v>
      </c>
      <c r="I72" s="12"/>
      <c r="J72" s="12"/>
      <c r="K72" s="12"/>
      <c r="L72" s="12"/>
      <c r="M72" s="12" t="s">
        <v>36</v>
      </c>
      <c r="N72" s="37" t="s">
        <v>14</v>
      </c>
      <c r="O72" s="53">
        <v>45877</v>
      </c>
      <c r="P72" s="37">
        <v>3566</v>
      </c>
    </row>
    <row r="73" spans="1:16" ht="18.5" x14ac:dyDescent="0.45">
      <c r="A73" s="109">
        <v>3567</v>
      </c>
      <c r="B73" s="179">
        <v>45873</v>
      </c>
      <c r="C73" s="180"/>
      <c r="D73" s="113">
        <v>2</v>
      </c>
      <c r="E73" s="113">
        <v>12</v>
      </c>
      <c r="F73" s="113">
        <v>12</v>
      </c>
      <c r="G73" s="113">
        <v>0</v>
      </c>
      <c r="H73" s="113">
        <v>0</v>
      </c>
      <c r="I73" s="112"/>
      <c r="J73" s="112"/>
      <c r="K73" s="112"/>
      <c r="L73" s="112"/>
      <c r="M73" s="112" t="s">
        <v>29</v>
      </c>
      <c r="N73" s="113" t="s">
        <v>14</v>
      </c>
      <c r="O73" s="137">
        <v>45873</v>
      </c>
      <c r="P73" s="113">
        <v>3567</v>
      </c>
    </row>
    <row r="74" spans="1:16" x14ac:dyDescent="0.35">
      <c r="P74" s="42"/>
    </row>
    <row r="75" spans="1:16" x14ac:dyDescent="0.35">
      <c r="P75" s="42"/>
    </row>
    <row r="76" spans="1:16" x14ac:dyDescent="0.35">
      <c r="P76" s="42"/>
    </row>
    <row r="77" spans="1:16" x14ac:dyDescent="0.35">
      <c r="P77" s="42"/>
    </row>
    <row r="78" spans="1:16" x14ac:dyDescent="0.35">
      <c r="P78" s="42"/>
    </row>
    <row r="79" spans="1:16" x14ac:dyDescent="0.35">
      <c r="P79" s="42"/>
    </row>
    <row r="80" spans="1:16" x14ac:dyDescent="0.35">
      <c r="P80" s="42"/>
    </row>
    <row r="81" spans="16:16" x14ac:dyDescent="0.35">
      <c r="P81" s="42"/>
    </row>
    <row r="82" spans="16:16" x14ac:dyDescent="0.35">
      <c r="P82" s="42"/>
    </row>
    <row r="83" spans="16:16" x14ac:dyDescent="0.35">
      <c r="P83" s="42"/>
    </row>
    <row r="84" spans="16:16" x14ac:dyDescent="0.35">
      <c r="P84" s="42"/>
    </row>
    <row r="85" spans="16:16" x14ac:dyDescent="0.35">
      <c r="P85" s="42"/>
    </row>
    <row r="86" spans="16:16" x14ac:dyDescent="0.35">
      <c r="P86" s="42"/>
    </row>
    <row r="87" spans="16:16" x14ac:dyDescent="0.35">
      <c r="P87" s="42"/>
    </row>
    <row r="88" spans="16:16" x14ac:dyDescent="0.35">
      <c r="P88" s="42"/>
    </row>
    <row r="89" spans="16:16" x14ac:dyDescent="0.35">
      <c r="P89" s="42"/>
    </row>
    <row r="90" spans="16:16" x14ac:dyDescent="0.35">
      <c r="P90" s="42"/>
    </row>
    <row r="91" spans="16:16" x14ac:dyDescent="0.35">
      <c r="P91" s="42"/>
    </row>
    <row r="92" spans="16:16" x14ac:dyDescent="0.35">
      <c r="P92" s="42"/>
    </row>
    <row r="93" spans="16:16" x14ac:dyDescent="0.35">
      <c r="P93" s="42"/>
    </row>
    <row r="94" spans="16:16" x14ac:dyDescent="0.35">
      <c r="P94" s="42"/>
    </row>
    <row r="95" spans="16:16" x14ac:dyDescent="0.35">
      <c r="P95" s="42"/>
    </row>
    <row r="96" spans="16:16" x14ac:dyDescent="0.35">
      <c r="P96" s="43"/>
    </row>
    <row r="97" spans="16:16" x14ac:dyDescent="0.35">
      <c r="P97" s="42"/>
    </row>
    <row r="98" spans="16:16" x14ac:dyDescent="0.35">
      <c r="P98" s="42"/>
    </row>
    <row r="99" spans="16:16" x14ac:dyDescent="0.35">
      <c r="P99" s="42"/>
    </row>
    <row r="100" spans="16:16" x14ac:dyDescent="0.35">
      <c r="P100" s="42"/>
    </row>
    <row r="101" spans="16:16" x14ac:dyDescent="0.35">
      <c r="P101" s="42"/>
    </row>
    <row r="102" spans="16:16" x14ac:dyDescent="0.35">
      <c r="P102" s="42"/>
    </row>
    <row r="103" spans="16:16" x14ac:dyDescent="0.35">
      <c r="P103" s="42"/>
    </row>
    <row r="104" spans="16:16" x14ac:dyDescent="0.35">
      <c r="P104" s="42"/>
    </row>
    <row r="105" spans="16:16" x14ac:dyDescent="0.35">
      <c r="P105" s="42"/>
    </row>
    <row r="106" spans="16:16" x14ac:dyDescent="0.35">
      <c r="P106" s="42"/>
    </row>
    <row r="107" spans="16:16" x14ac:dyDescent="0.35">
      <c r="P107" s="42"/>
    </row>
    <row r="108" spans="16:16" x14ac:dyDescent="0.35">
      <c r="P108" s="42"/>
    </row>
    <row r="109" spans="16:16" x14ac:dyDescent="0.35">
      <c r="P109" s="42"/>
    </row>
    <row r="110" spans="16:16" x14ac:dyDescent="0.35">
      <c r="P110" s="42"/>
    </row>
    <row r="111" spans="16:16" x14ac:dyDescent="0.35">
      <c r="P111" s="42"/>
    </row>
    <row r="112" spans="16:16" x14ac:dyDescent="0.35">
      <c r="P112" s="42"/>
    </row>
    <row r="113" spans="16:16" x14ac:dyDescent="0.35">
      <c r="P113" s="42"/>
    </row>
    <row r="114" spans="16:16" x14ac:dyDescent="0.35">
      <c r="P114" s="42"/>
    </row>
    <row r="115" spans="16:16" x14ac:dyDescent="0.35">
      <c r="P115" s="42"/>
    </row>
    <row r="116" spans="16:16" x14ac:dyDescent="0.35">
      <c r="P116" s="42"/>
    </row>
    <row r="117" spans="16:16" x14ac:dyDescent="0.35">
      <c r="P117" s="42"/>
    </row>
    <row r="118" spans="16:16" x14ac:dyDescent="0.35">
      <c r="P118" s="42"/>
    </row>
    <row r="119" spans="16:16" x14ac:dyDescent="0.35">
      <c r="P119" s="42"/>
    </row>
    <row r="120" spans="16:16" x14ac:dyDescent="0.35">
      <c r="P120" s="42"/>
    </row>
    <row r="121" spans="16:16" x14ac:dyDescent="0.35">
      <c r="P121" s="42"/>
    </row>
    <row r="122" spans="16:16" x14ac:dyDescent="0.35">
      <c r="P122" s="42"/>
    </row>
    <row r="123" spans="16:16" x14ac:dyDescent="0.35">
      <c r="P123" s="42"/>
    </row>
    <row r="124" spans="16:16" x14ac:dyDescent="0.35">
      <c r="P124" s="42"/>
    </row>
    <row r="125" spans="16:16" x14ac:dyDescent="0.35">
      <c r="P125" s="42"/>
    </row>
    <row r="126" spans="16:16" x14ac:dyDescent="0.35">
      <c r="P126" s="42"/>
    </row>
    <row r="127" spans="16:16" x14ac:dyDescent="0.35">
      <c r="P127" s="42"/>
    </row>
    <row r="128" spans="16:16" x14ac:dyDescent="0.35">
      <c r="P128" s="42"/>
    </row>
    <row r="129" spans="16:16" x14ac:dyDescent="0.35">
      <c r="P129" s="42"/>
    </row>
    <row r="130" spans="16:16" x14ac:dyDescent="0.35">
      <c r="P130" s="42"/>
    </row>
    <row r="131" spans="16:16" x14ac:dyDescent="0.35">
      <c r="P131" s="42"/>
    </row>
    <row r="132" spans="16:16" x14ac:dyDescent="0.35">
      <c r="P132" s="42"/>
    </row>
    <row r="133" spans="16:16" x14ac:dyDescent="0.35">
      <c r="P133" s="42"/>
    </row>
    <row r="134" spans="16:16" x14ac:dyDescent="0.35">
      <c r="P134" s="42"/>
    </row>
    <row r="135" spans="16:16" x14ac:dyDescent="0.35">
      <c r="P135" s="42"/>
    </row>
    <row r="136" spans="16:16" x14ac:dyDescent="0.35">
      <c r="P136" s="42"/>
    </row>
    <row r="137" spans="16:16" x14ac:dyDescent="0.35">
      <c r="P137" s="42"/>
    </row>
    <row r="138" spans="16:16" x14ac:dyDescent="0.35">
      <c r="P138" s="42"/>
    </row>
    <row r="139" spans="16:16" x14ac:dyDescent="0.35">
      <c r="P139" s="42"/>
    </row>
    <row r="140" spans="16:16" x14ac:dyDescent="0.35">
      <c r="P140" s="42"/>
    </row>
    <row r="141" spans="16:16" x14ac:dyDescent="0.35">
      <c r="P141" s="42"/>
    </row>
    <row r="142" spans="16:16" x14ac:dyDescent="0.35">
      <c r="P142" s="42"/>
    </row>
    <row r="143" spans="16:16" x14ac:dyDescent="0.35">
      <c r="P143" s="42"/>
    </row>
    <row r="144" spans="16:16" x14ac:dyDescent="0.35">
      <c r="P144" s="42"/>
    </row>
    <row r="145" spans="16:16" x14ac:dyDescent="0.35">
      <c r="P145" s="42"/>
    </row>
    <row r="146" spans="16:16" x14ac:dyDescent="0.35">
      <c r="P146" s="42"/>
    </row>
    <row r="147" spans="16:16" x14ac:dyDescent="0.35">
      <c r="P147" s="42"/>
    </row>
    <row r="148" spans="16:16" x14ac:dyDescent="0.35">
      <c r="P148" s="42"/>
    </row>
    <row r="149" spans="16:16" x14ac:dyDescent="0.35">
      <c r="P149" s="42"/>
    </row>
    <row r="150" spans="16:16" x14ac:dyDescent="0.35">
      <c r="P150" s="42"/>
    </row>
    <row r="151" spans="16:16" x14ac:dyDescent="0.35">
      <c r="P151" s="42"/>
    </row>
    <row r="152" spans="16:16" x14ac:dyDescent="0.35">
      <c r="P152" s="42"/>
    </row>
    <row r="153" spans="16:16" x14ac:dyDescent="0.35">
      <c r="P153" s="42"/>
    </row>
    <row r="154" spans="16:16" x14ac:dyDescent="0.35">
      <c r="P154" s="42"/>
    </row>
    <row r="155" spans="16:16" x14ac:dyDescent="0.35">
      <c r="P155" s="42"/>
    </row>
    <row r="156" spans="16:16" x14ac:dyDescent="0.35">
      <c r="P156" s="42"/>
    </row>
    <row r="157" spans="16:16" x14ac:dyDescent="0.35">
      <c r="P157" s="42"/>
    </row>
    <row r="158" spans="16:16" x14ac:dyDescent="0.35">
      <c r="P158" s="42"/>
    </row>
    <row r="159" spans="16:16" x14ac:dyDescent="0.35">
      <c r="P159" s="42"/>
    </row>
    <row r="160" spans="16:16" x14ac:dyDescent="0.35">
      <c r="P160" s="42"/>
    </row>
    <row r="161" spans="16:16" x14ac:dyDescent="0.35">
      <c r="P161" s="42"/>
    </row>
    <row r="162" spans="16:16" x14ac:dyDescent="0.35">
      <c r="P162" s="42"/>
    </row>
    <row r="163" spans="16:16" x14ac:dyDescent="0.35">
      <c r="P163" s="42"/>
    </row>
    <row r="164" spans="16:16" x14ac:dyDescent="0.35">
      <c r="P164" s="42"/>
    </row>
    <row r="165" spans="16:16" x14ac:dyDescent="0.35">
      <c r="P165" s="42"/>
    </row>
    <row r="166" spans="16:16" x14ac:dyDescent="0.35">
      <c r="P166" s="42"/>
    </row>
    <row r="167" spans="16:16" x14ac:dyDescent="0.35">
      <c r="P167" s="42"/>
    </row>
    <row r="168" spans="16:16" x14ac:dyDescent="0.35">
      <c r="P168" s="42"/>
    </row>
    <row r="169" spans="16:16" x14ac:dyDescent="0.35">
      <c r="P169" s="42"/>
    </row>
    <row r="170" spans="16:16" x14ac:dyDescent="0.35">
      <c r="P170" s="42"/>
    </row>
    <row r="171" spans="16:16" x14ac:dyDescent="0.35">
      <c r="P171" s="42"/>
    </row>
    <row r="172" spans="16:16" x14ac:dyDescent="0.35">
      <c r="P172" s="42"/>
    </row>
    <row r="173" spans="16:16" x14ac:dyDescent="0.35">
      <c r="P173" s="42"/>
    </row>
    <row r="174" spans="16:16" x14ac:dyDescent="0.35">
      <c r="P174" s="42"/>
    </row>
    <row r="175" spans="16:16" x14ac:dyDescent="0.35">
      <c r="P175" s="42"/>
    </row>
    <row r="176" spans="16:16" x14ac:dyDescent="0.35">
      <c r="P176" s="42"/>
    </row>
    <row r="177" spans="16:16" x14ac:dyDescent="0.35">
      <c r="P177" s="42"/>
    </row>
    <row r="178" spans="16:16" x14ac:dyDescent="0.35">
      <c r="P178" s="42"/>
    </row>
    <row r="179" spans="16:16" x14ac:dyDescent="0.35">
      <c r="P179" s="43"/>
    </row>
    <row r="180" spans="16:16" x14ac:dyDescent="0.35">
      <c r="P180" s="42"/>
    </row>
    <row r="181" spans="16:16" x14ac:dyDescent="0.35">
      <c r="P181" s="42"/>
    </row>
    <row r="182" spans="16:16" x14ac:dyDescent="0.35">
      <c r="P182" s="42"/>
    </row>
    <row r="183" spans="16:16" x14ac:dyDescent="0.35">
      <c r="P183" s="42"/>
    </row>
    <row r="184" spans="16:16" x14ac:dyDescent="0.35">
      <c r="P184" s="42"/>
    </row>
    <row r="185" spans="16:16" x14ac:dyDescent="0.35">
      <c r="P185" s="42"/>
    </row>
    <row r="186" spans="16:16" x14ac:dyDescent="0.35">
      <c r="P186" s="42"/>
    </row>
    <row r="187" spans="16:16" x14ac:dyDescent="0.35">
      <c r="P187" s="42"/>
    </row>
    <row r="188" spans="16:16" x14ac:dyDescent="0.35">
      <c r="P188" s="42"/>
    </row>
    <row r="189" spans="16:16" x14ac:dyDescent="0.35">
      <c r="P189" s="42"/>
    </row>
    <row r="190" spans="16:16" x14ac:dyDescent="0.35">
      <c r="P190" s="42"/>
    </row>
    <row r="191" spans="16:16" x14ac:dyDescent="0.35">
      <c r="P191" s="42"/>
    </row>
    <row r="192" spans="16:16" x14ac:dyDescent="0.35">
      <c r="P192" s="42"/>
    </row>
    <row r="193" spans="16:16" x14ac:dyDescent="0.35">
      <c r="P193" s="42"/>
    </row>
    <row r="194" spans="16:16" x14ac:dyDescent="0.35">
      <c r="P194" s="42"/>
    </row>
    <row r="195" spans="16:16" x14ac:dyDescent="0.35">
      <c r="P195" s="42"/>
    </row>
    <row r="196" spans="16:16" x14ac:dyDescent="0.35">
      <c r="P196" s="42"/>
    </row>
    <row r="197" spans="16:16" x14ac:dyDescent="0.35">
      <c r="P197" s="42"/>
    </row>
    <row r="198" spans="16:16" x14ac:dyDescent="0.35">
      <c r="P198" s="42"/>
    </row>
    <row r="199" spans="16:16" x14ac:dyDescent="0.35">
      <c r="P199" s="42"/>
    </row>
    <row r="200" spans="16:16" x14ac:dyDescent="0.35">
      <c r="P200" s="42"/>
    </row>
    <row r="201" spans="16:16" x14ac:dyDescent="0.35">
      <c r="P201" s="42"/>
    </row>
    <row r="202" spans="16:16" x14ac:dyDescent="0.35">
      <c r="P202" s="42"/>
    </row>
    <row r="203" spans="16:16" x14ac:dyDescent="0.35">
      <c r="P203" s="42"/>
    </row>
    <row r="204" spans="16:16" x14ac:dyDescent="0.35">
      <c r="P204" s="42"/>
    </row>
    <row r="205" spans="16:16" x14ac:dyDescent="0.35">
      <c r="P205" s="42"/>
    </row>
    <row r="206" spans="16:16" x14ac:dyDescent="0.35">
      <c r="P206" s="42"/>
    </row>
    <row r="207" spans="16:16" x14ac:dyDescent="0.3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topLeftCell="A56" workbookViewId="0">
      <selection activeCell="K54" sqref="K54"/>
    </sheetView>
  </sheetViews>
  <sheetFormatPr defaultColWidth="9.1796875" defaultRowHeight="14.5" x14ac:dyDescent="0.35"/>
  <cols>
    <col min="1" max="1" width="10.81640625" style="1" customWidth="1"/>
    <col min="2" max="3" width="13.81640625" style="1" customWidth="1"/>
    <col min="4" max="4" width="23.1796875" style="1" customWidth="1"/>
    <col min="5" max="5" width="15.453125" style="1" customWidth="1"/>
    <col min="6" max="6" width="13.54296875" style="1" customWidth="1"/>
    <col min="7" max="7" width="17" style="1" customWidth="1"/>
    <col min="8" max="8" width="18.54296875" style="1" customWidth="1"/>
    <col min="9" max="9" width="14.453125" style="1" customWidth="1"/>
    <col min="10" max="10" width="11.81640625" style="1" customWidth="1"/>
    <col min="11" max="11" width="16.54296875" style="1" customWidth="1"/>
    <col min="12" max="12" width="12.54296875" style="1" customWidth="1"/>
    <col min="13" max="13" width="17.1796875" style="1" customWidth="1"/>
    <col min="14" max="14" width="16.1796875" style="1" customWidth="1"/>
    <col min="15" max="15" width="29.81640625" style="1" customWidth="1"/>
    <col min="16" max="16" width="25.81640625" style="1" customWidth="1"/>
    <col min="17" max="17" width="2.54296875" style="1" customWidth="1"/>
    <col min="18" max="18" width="11.81640625" style="1" customWidth="1"/>
    <col min="19" max="19" width="10.81640625" style="1" customWidth="1"/>
    <col min="20" max="20" width="14.81640625" style="1" customWidth="1"/>
    <col min="21" max="21" width="13.1796875" style="1" customWidth="1"/>
    <col min="22" max="16384" width="9.1796875" style="1"/>
  </cols>
  <sheetData>
    <row r="1" spans="1:21" ht="44" thickBot="1" x14ac:dyDescent="0.4">
      <c r="A1" s="115" t="s">
        <v>0</v>
      </c>
      <c r="B1" s="116" t="s">
        <v>1</v>
      </c>
      <c r="C1" s="116" t="s">
        <v>32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33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45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29" t="s">
        <v>15</v>
      </c>
      <c r="S2" s="230"/>
      <c r="T2" s="230"/>
      <c r="U2" s="231"/>
    </row>
    <row r="3" spans="1:21" ht="15" customHeight="1" x14ac:dyDescent="0.45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12</v>
      </c>
      <c r="U4" s="39">
        <f>T4/S4</f>
        <v>0.16666666666666666</v>
      </c>
    </row>
    <row r="5" spans="1:21" ht="15" customHeight="1" x14ac:dyDescent="0.45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45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45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45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45">
      <c r="A9" s="23">
        <v>3238</v>
      </c>
      <c r="B9" s="92">
        <v>45883</v>
      </c>
      <c r="C9" s="170"/>
      <c r="D9" s="37">
        <v>2</v>
      </c>
      <c r="E9" s="37">
        <v>15</v>
      </c>
      <c r="F9" s="37">
        <v>15</v>
      </c>
      <c r="G9" s="37"/>
      <c r="H9" s="37"/>
      <c r="I9" s="12"/>
      <c r="J9" s="12"/>
      <c r="K9" s="12"/>
      <c r="L9" s="12"/>
      <c r="M9" s="12" t="s">
        <v>29</v>
      </c>
      <c r="N9" s="37" t="s">
        <v>14</v>
      </c>
      <c r="O9" s="53">
        <v>45883</v>
      </c>
      <c r="P9" s="37">
        <v>3238</v>
      </c>
    </row>
    <row r="10" spans="1:21" ht="15" customHeight="1" x14ac:dyDescent="0.45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45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5">
      <c r="A12" s="32">
        <v>3241</v>
      </c>
      <c r="B12" s="225">
        <v>45894</v>
      </c>
      <c r="C12" s="226"/>
      <c r="D12" s="37">
        <v>1</v>
      </c>
      <c r="E12" s="37">
        <v>1</v>
      </c>
      <c r="F12" s="37">
        <v>1</v>
      </c>
      <c r="G12" s="37">
        <v>0</v>
      </c>
      <c r="H12" s="37">
        <v>0</v>
      </c>
      <c r="I12" s="12"/>
      <c r="J12" s="12"/>
      <c r="K12" s="12"/>
      <c r="L12" s="12"/>
      <c r="M12" s="12" t="s">
        <v>29</v>
      </c>
      <c r="N12" s="37" t="s">
        <v>38</v>
      </c>
      <c r="O12" s="174">
        <v>45894</v>
      </c>
      <c r="P12" s="37">
        <v>3241</v>
      </c>
    </row>
    <row r="13" spans="1:21" ht="15" customHeight="1" x14ac:dyDescent="0.45">
      <c r="A13" s="3">
        <v>3242</v>
      </c>
      <c r="B13" s="44"/>
      <c r="C13" s="44"/>
      <c r="D13" s="37"/>
      <c r="E13" s="37"/>
      <c r="F13" s="37"/>
      <c r="G13" s="37"/>
      <c r="H13" s="37"/>
      <c r="I13" s="12"/>
      <c r="J13" s="12"/>
      <c r="K13" s="12"/>
      <c r="L13" s="12"/>
      <c r="M13" s="12"/>
      <c r="N13" s="37"/>
      <c r="O13" s="44"/>
      <c r="P13" s="37"/>
    </row>
    <row r="14" spans="1:21" ht="15" customHeight="1" x14ac:dyDescent="0.45">
      <c r="A14" s="33">
        <v>3243</v>
      </c>
      <c r="B14" s="40"/>
      <c r="C14" s="40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45">
      <c r="A15" s="33">
        <v>3244</v>
      </c>
      <c r="B15" s="40"/>
      <c r="C15" s="40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45">
      <c r="A16" s="33">
        <v>3245</v>
      </c>
      <c r="B16" s="40"/>
      <c r="C16" s="40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45">
      <c r="A17" s="33">
        <v>3246</v>
      </c>
      <c r="B17" s="38"/>
      <c r="C17" s="38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45">
      <c r="A18" s="33">
        <v>3247</v>
      </c>
      <c r="B18" s="40"/>
      <c r="C18" s="40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45">
      <c r="A19" s="33">
        <v>3248</v>
      </c>
      <c r="B19" s="40"/>
      <c r="C19" s="40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45">
      <c r="A20" s="33">
        <v>3250</v>
      </c>
      <c r="B20" s="40"/>
      <c r="C20" s="40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45">
      <c r="A21" s="33">
        <v>3251</v>
      </c>
      <c r="B21" s="40"/>
      <c r="C21" s="40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45">
      <c r="A22" s="33">
        <v>3252</v>
      </c>
      <c r="B22" s="40"/>
      <c r="C22" s="40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5">
      <c r="A23" s="34">
        <v>3253</v>
      </c>
      <c r="B23" s="40"/>
      <c r="C23" s="40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45">
      <c r="A24" s="3">
        <v>3254</v>
      </c>
      <c r="B24" s="40"/>
      <c r="C24" s="40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45">
      <c r="A25" s="33">
        <v>3255</v>
      </c>
      <c r="B25" s="38"/>
      <c r="C25" s="38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45">
      <c r="A26" s="33">
        <v>3256</v>
      </c>
      <c r="B26" s="44"/>
      <c r="C26" s="44"/>
      <c r="D26" s="37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45">
      <c r="A27" s="33">
        <v>3258</v>
      </c>
      <c r="B27" s="40"/>
      <c r="C27" s="40"/>
      <c r="D27" s="37"/>
      <c r="E27" s="37"/>
      <c r="F27" s="37"/>
      <c r="G27" s="37"/>
      <c r="H27" s="37"/>
      <c r="I27" s="12"/>
      <c r="J27" s="12"/>
      <c r="K27" s="12"/>
      <c r="L27" s="12"/>
      <c r="M27" s="12"/>
      <c r="N27" s="37"/>
      <c r="O27" s="40"/>
      <c r="P27" s="37"/>
    </row>
    <row r="28" spans="1:16" ht="15" customHeight="1" x14ac:dyDescent="0.45">
      <c r="A28" s="33">
        <v>3259</v>
      </c>
      <c r="B28" s="40"/>
      <c r="C28" s="40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45">
      <c r="A29" s="33">
        <v>3260</v>
      </c>
      <c r="B29" s="40"/>
      <c r="C29" s="13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45">
      <c r="A30" s="33">
        <v>3261</v>
      </c>
      <c r="B30" s="38"/>
      <c r="D30" s="196"/>
      <c r="E30" s="197"/>
      <c r="F30" s="197"/>
      <c r="G30" s="197"/>
      <c r="H30" s="197"/>
      <c r="I30" s="198"/>
      <c r="J30" s="198"/>
      <c r="K30" s="198"/>
      <c r="L30" s="198"/>
      <c r="M30" s="198"/>
      <c r="N30" s="199"/>
      <c r="O30" s="38"/>
      <c r="P30" s="15"/>
    </row>
    <row r="31" spans="1:16" ht="15" customHeight="1" x14ac:dyDescent="0.45">
      <c r="A31" s="33">
        <v>3262</v>
      </c>
      <c r="B31" s="40"/>
      <c r="C31" s="10"/>
      <c r="D31" s="10"/>
      <c r="E31" s="10"/>
      <c r="F31" s="10"/>
      <c r="G31" s="10"/>
      <c r="H31" s="10"/>
      <c r="I31" s="11"/>
      <c r="J31" s="11"/>
      <c r="K31" s="11"/>
      <c r="L31" s="11"/>
      <c r="M31" s="11"/>
      <c r="N31" s="40"/>
      <c r="O31" s="40"/>
      <c r="P31" s="10"/>
    </row>
    <row r="32" spans="1:16" ht="15" customHeight="1" x14ac:dyDescent="0.45">
      <c r="A32" s="33">
        <v>3263</v>
      </c>
      <c r="B32" s="40"/>
      <c r="C32" s="40"/>
      <c r="D32" s="37"/>
      <c r="E32" s="37"/>
      <c r="F32" s="37"/>
      <c r="G32" s="37"/>
      <c r="H32" s="37"/>
      <c r="I32" s="12"/>
      <c r="J32" s="12"/>
      <c r="K32" s="12"/>
      <c r="L32" s="12"/>
      <c r="M32" s="12"/>
      <c r="N32" s="37"/>
      <c r="O32" s="40"/>
      <c r="P32" s="37"/>
    </row>
    <row r="33" spans="1:16" ht="15" customHeight="1" x14ac:dyDescent="0.45">
      <c r="A33" s="33">
        <v>3264</v>
      </c>
      <c r="B33" s="40"/>
      <c r="C33" s="40"/>
      <c r="D33" s="37"/>
      <c r="E33" s="37"/>
      <c r="F33" s="37"/>
      <c r="G33" s="37"/>
      <c r="H33" s="37"/>
      <c r="I33" s="12"/>
      <c r="J33" s="12"/>
      <c r="K33" s="12"/>
      <c r="L33" s="12"/>
      <c r="M33" s="12"/>
      <c r="N33" s="37"/>
      <c r="O33" s="40"/>
      <c r="P33" s="37"/>
    </row>
    <row r="34" spans="1:16" ht="15" customHeight="1" thickBot="1" x14ac:dyDescent="0.5">
      <c r="A34" s="34">
        <v>3265</v>
      </c>
      <c r="B34" s="40"/>
      <c r="C34" s="40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45">
      <c r="A35" s="3">
        <v>3266</v>
      </c>
      <c r="B35" s="92">
        <v>45888</v>
      </c>
      <c r="C35" s="170"/>
      <c r="D35" s="37">
        <v>1</v>
      </c>
      <c r="E35" s="37">
        <v>3</v>
      </c>
      <c r="F35" s="37">
        <v>3</v>
      </c>
      <c r="G35" s="37">
        <v>0</v>
      </c>
      <c r="H35" s="37">
        <v>0</v>
      </c>
      <c r="I35" s="12"/>
      <c r="J35" s="12"/>
      <c r="K35" s="12"/>
      <c r="L35" s="12"/>
      <c r="M35" s="12" t="s">
        <v>29</v>
      </c>
      <c r="N35" s="37" t="s">
        <v>37</v>
      </c>
      <c r="O35" s="53">
        <v>45888</v>
      </c>
      <c r="P35" s="37">
        <v>3266</v>
      </c>
    </row>
    <row r="36" spans="1:16" ht="15" customHeight="1" x14ac:dyDescent="0.45">
      <c r="A36" s="33">
        <v>3267</v>
      </c>
      <c r="B36" s="40"/>
      <c r="C36" s="40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45">
      <c r="A37" s="33">
        <v>3299</v>
      </c>
      <c r="B37" s="40"/>
      <c r="C37" s="40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45">
      <c r="A38" s="33">
        <v>3531</v>
      </c>
      <c r="B38" s="38"/>
      <c r="C38" s="38"/>
      <c r="D38" s="37"/>
      <c r="E38" s="5"/>
      <c r="F38" s="5"/>
      <c r="G38" s="5"/>
      <c r="H38" s="5"/>
      <c r="I38" s="7"/>
      <c r="J38" s="7"/>
      <c r="K38" s="7"/>
      <c r="L38" s="7"/>
      <c r="M38" s="7"/>
      <c r="N38" s="31"/>
      <c r="O38" s="38"/>
      <c r="P38" s="5"/>
    </row>
    <row r="39" spans="1:16" ht="15" customHeight="1" x14ac:dyDescent="0.45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45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45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45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45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45">
      <c r="A44" s="33">
        <v>3537</v>
      </c>
      <c r="B44" s="40"/>
      <c r="C44" s="40"/>
      <c r="D44" s="37"/>
      <c r="E44" s="37"/>
      <c r="F44" s="37"/>
      <c r="G44" s="37"/>
      <c r="H44" s="37"/>
      <c r="I44" s="12"/>
      <c r="J44" s="12"/>
      <c r="K44" s="12"/>
      <c r="L44" s="12"/>
      <c r="M44" s="12"/>
      <c r="N44" s="37"/>
      <c r="O44" s="40"/>
      <c r="P44" s="37"/>
    </row>
    <row r="45" spans="1:16" ht="15" customHeight="1" thickBot="1" x14ac:dyDescent="0.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45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45">
      <c r="A47" s="33">
        <v>3541</v>
      </c>
      <c r="B47" s="44"/>
      <c r="C47" s="106"/>
      <c r="D47" s="12"/>
      <c r="E47" s="5"/>
      <c r="F47" s="5"/>
      <c r="G47" s="5"/>
      <c r="H47" s="5"/>
      <c r="I47" s="7"/>
      <c r="J47" s="7"/>
      <c r="K47" s="7"/>
      <c r="L47" s="7"/>
      <c r="M47" s="7"/>
      <c r="N47" s="31"/>
      <c r="O47" s="44"/>
      <c r="P47" s="5"/>
    </row>
    <row r="48" spans="1:16" ht="15" customHeight="1" x14ac:dyDescent="0.45">
      <c r="A48" s="33">
        <v>3542</v>
      </c>
      <c r="B48" s="40"/>
      <c r="C48" s="40"/>
      <c r="D48" s="37"/>
      <c r="E48" s="37"/>
      <c r="F48" s="37"/>
      <c r="G48" s="37"/>
      <c r="H48" s="37"/>
      <c r="I48" s="12"/>
      <c r="J48" s="12"/>
      <c r="K48" s="12"/>
      <c r="L48" s="12"/>
      <c r="M48" s="12"/>
      <c r="N48" s="37"/>
      <c r="O48" s="40"/>
      <c r="P48" s="37"/>
    </row>
    <row r="49" spans="1:16" ht="15" customHeight="1" x14ac:dyDescent="0.45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45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45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45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45">
      <c r="A53" s="33">
        <v>3547</v>
      </c>
      <c r="B53" s="221">
        <v>45894</v>
      </c>
      <c r="C53" s="222"/>
      <c r="D53" s="37">
        <v>2</v>
      </c>
      <c r="E53" s="37">
        <v>26</v>
      </c>
      <c r="F53" s="37">
        <v>26</v>
      </c>
      <c r="G53" s="37">
        <v>0</v>
      </c>
      <c r="H53" s="37">
        <v>0</v>
      </c>
      <c r="I53" s="12"/>
      <c r="J53" s="12"/>
      <c r="K53" s="12"/>
      <c r="L53" s="12"/>
      <c r="M53" s="12" t="s">
        <v>29</v>
      </c>
      <c r="N53" s="37" t="s">
        <v>38</v>
      </c>
      <c r="O53" s="53">
        <v>45894</v>
      </c>
      <c r="P53" s="37">
        <v>3547</v>
      </c>
    </row>
    <row r="54" spans="1:16" ht="15" customHeight="1" x14ac:dyDescent="0.45">
      <c r="A54" s="33">
        <v>3548</v>
      </c>
      <c r="B54" s="40"/>
      <c r="C54" s="40"/>
      <c r="D54" s="37"/>
      <c r="E54" s="37"/>
      <c r="F54" s="37"/>
      <c r="G54" s="37"/>
      <c r="H54" s="37"/>
      <c r="I54" s="12"/>
      <c r="J54" s="12"/>
      <c r="K54" s="12"/>
      <c r="L54" s="12"/>
      <c r="M54" s="12"/>
      <c r="N54" s="37"/>
      <c r="O54" s="40"/>
      <c r="P54" s="37"/>
    </row>
    <row r="55" spans="1:16" ht="15" customHeight="1" x14ac:dyDescent="0.45">
      <c r="A55" s="33">
        <v>3549</v>
      </c>
      <c r="B55" s="92">
        <v>45893</v>
      </c>
      <c r="C55" s="170"/>
      <c r="D55" s="37">
        <v>2</v>
      </c>
      <c r="E55" s="37">
        <v>9</v>
      </c>
      <c r="F55" s="37">
        <v>9</v>
      </c>
      <c r="G55" s="37">
        <v>0</v>
      </c>
      <c r="H55" s="37">
        <v>0</v>
      </c>
      <c r="I55" s="12"/>
      <c r="J55" s="12"/>
      <c r="K55" s="12"/>
      <c r="L55" s="12"/>
      <c r="M55" s="12" t="s">
        <v>29</v>
      </c>
      <c r="N55" s="37" t="s">
        <v>38</v>
      </c>
      <c r="O55" s="53">
        <v>45893</v>
      </c>
      <c r="P55" s="37">
        <v>3549</v>
      </c>
    </row>
    <row r="56" spans="1:16" ht="15" customHeight="1" thickBot="1" x14ac:dyDescent="0.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45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45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45">
      <c r="A59" s="33">
        <v>3553</v>
      </c>
      <c r="B59" s="172">
        <v>45887</v>
      </c>
      <c r="C59" s="173"/>
      <c r="D59" s="37">
        <v>2</v>
      </c>
      <c r="E59" s="37">
        <v>68</v>
      </c>
      <c r="F59" s="37">
        <v>68</v>
      </c>
      <c r="G59" s="37">
        <v>0</v>
      </c>
      <c r="H59" s="37">
        <v>0</v>
      </c>
      <c r="I59" s="12"/>
      <c r="J59" s="12"/>
      <c r="K59" s="12"/>
      <c r="L59" s="12"/>
      <c r="M59" s="12" t="s">
        <v>29</v>
      </c>
      <c r="N59" s="37" t="s">
        <v>37</v>
      </c>
      <c r="O59" s="53">
        <v>45887</v>
      </c>
      <c r="P59" s="37">
        <v>3553</v>
      </c>
    </row>
    <row r="60" spans="1:16" ht="15" customHeight="1" x14ac:dyDescent="0.45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45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45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45">
      <c r="A63" s="33">
        <v>3557</v>
      </c>
      <c r="B63" s="91">
        <v>45867</v>
      </c>
      <c r="C63" s="171"/>
      <c r="D63" s="35">
        <v>2</v>
      </c>
      <c r="E63" s="17"/>
      <c r="F63" s="17"/>
      <c r="G63" s="17">
        <v>0</v>
      </c>
      <c r="H63" s="17">
        <v>0</v>
      </c>
      <c r="I63" s="18"/>
      <c r="J63" s="18"/>
      <c r="K63" s="18"/>
      <c r="L63" s="18"/>
      <c r="M63" s="18" t="s">
        <v>29</v>
      </c>
      <c r="N63" s="38" t="s">
        <v>14</v>
      </c>
      <c r="O63" s="19" t="s">
        <v>35</v>
      </c>
      <c r="P63" s="17">
        <v>3557</v>
      </c>
    </row>
    <row r="64" spans="1:16" ht="15" customHeight="1" x14ac:dyDescent="0.45">
      <c r="A64" s="33">
        <v>3558</v>
      </c>
      <c r="B64" s="44"/>
      <c r="C64" s="44"/>
      <c r="D64" s="22"/>
      <c r="E64" s="37"/>
      <c r="F64" s="37"/>
      <c r="G64" s="37"/>
      <c r="H64" s="37"/>
      <c r="I64" s="12"/>
      <c r="J64" s="12"/>
      <c r="K64" s="12"/>
      <c r="L64" s="12"/>
      <c r="M64" s="12"/>
      <c r="N64" s="37"/>
      <c r="O64" s="40"/>
      <c r="P64" s="37"/>
    </row>
    <row r="65" spans="1:16" ht="15" customHeight="1" thickBot="1" x14ac:dyDescent="0.5">
      <c r="A65" s="33">
        <v>3559</v>
      </c>
      <c r="B65" s="92">
        <v>45883</v>
      </c>
      <c r="C65" s="170"/>
      <c r="D65" s="35">
        <v>1</v>
      </c>
      <c r="E65" s="35">
        <v>35</v>
      </c>
      <c r="F65" s="35">
        <v>35</v>
      </c>
      <c r="G65" s="35">
        <v>0</v>
      </c>
      <c r="H65" s="35">
        <v>0</v>
      </c>
      <c r="I65" s="14"/>
      <c r="J65" s="14"/>
      <c r="K65" s="14"/>
      <c r="L65" s="14"/>
      <c r="M65" s="14" t="s">
        <v>29</v>
      </c>
      <c r="N65" s="40" t="s">
        <v>14</v>
      </c>
      <c r="O65" s="53">
        <v>45883</v>
      </c>
      <c r="P65" s="35">
        <v>3559</v>
      </c>
    </row>
    <row r="66" spans="1:16" ht="15" customHeight="1" x14ac:dyDescent="0.45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45">
      <c r="A67" s="20">
        <v>3561</v>
      </c>
      <c r="B67" s="92">
        <v>45875</v>
      </c>
      <c r="C67" s="170"/>
      <c r="D67" s="37">
        <v>3</v>
      </c>
      <c r="E67" s="37">
        <v>102</v>
      </c>
      <c r="F67" s="37">
        <v>102</v>
      </c>
      <c r="G67" s="37">
        <v>0</v>
      </c>
      <c r="H67" s="37">
        <v>0</v>
      </c>
      <c r="I67" s="12"/>
      <c r="J67" s="12"/>
      <c r="K67" s="12"/>
      <c r="L67" s="12"/>
      <c r="M67" s="12" t="s">
        <v>29</v>
      </c>
      <c r="N67" s="37" t="s">
        <v>14</v>
      </c>
      <c r="O67" s="53">
        <v>45875</v>
      </c>
      <c r="P67" s="37">
        <v>3561</v>
      </c>
    </row>
    <row r="68" spans="1:16" ht="18.5" x14ac:dyDescent="0.45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5" x14ac:dyDescent="0.45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5" x14ac:dyDescent="0.45">
      <c r="A70" s="20">
        <v>3564</v>
      </c>
      <c r="B70" s="191">
        <v>45883</v>
      </c>
      <c r="C70" s="192"/>
      <c r="D70" s="37">
        <v>3</v>
      </c>
      <c r="E70" s="5">
        <v>65</v>
      </c>
      <c r="F70" s="5">
        <v>65</v>
      </c>
      <c r="G70" s="5">
        <v>0</v>
      </c>
      <c r="H70" s="5">
        <v>0</v>
      </c>
      <c r="I70" s="7"/>
      <c r="J70" s="7"/>
      <c r="K70" s="7"/>
      <c r="L70" s="7"/>
      <c r="M70" s="7" t="s">
        <v>29</v>
      </c>
      <c r="N70" s="31" t="s">
        <v>14</v>
      </c>
      <c r="O70" s="53">
        <v>45883</v>
      </c>
      <c r="P70" s="5">
        <v>3564</v>
      </c>
    </row>
    <row r="71" spans="1:16" ht="18.5" x14ac:dyDescent="0.45">
      <c r="A71" s="20">
        <v>3565</v>
      </c>
      <c r="B71" s="38"/>
      <c r="C71" s="38"/>
      <c r="D71" s="37"/>
      <c r="E71" s="37"/>
      <c r="F71" s="37"/>
      <c r="G71" s="37"/>
      <c r="H71" s="37"/>
      <c r="I71" s="12"/>
      <c r="J71" s="12"/>
      <c r="K71" s="12"/>
      <c r="L71" s="12"/>
      <c r="M71" s="12"/>
      <c r="N71" s="37"/>
      <c r="O71" s="40"/>
      <c r="P71" s="37"/>
    </row>
    <row r="72" spans="1:16" ht="18.5" x14ac:dyDescent="0.45">
      <c r="A72" s="20">
        <v>3566</v>
      </c>
      <c r="B72" s="191">
        <v>45884</v>
      </c>
      <c r="C72" s="192"/>
      <c r="D72" s="37">
        <v>2</v>
      </c>
      <c r="E72" s="37">
        <v>18</v>
      </c>
      <c r="F72" s="37">
        <v>18</v>
      </c>
      <c r="G72" s="37">
        <v>0</v>
      </c>
      <c r="H72" s="37">
        <v>0</v>
      </c>
      <c r="I72" s="12"/>
      <c r="J72" s="12"/>
      <c r="K72" s="12"/>
      <c r="L72" s="12"/>
      <c r="M72" s="12" t="s">
        <v>29</v>
      </c>
      <c r="N72" s="37" t="s">
        <v>14</v>
      </c>
      <c r="O72" s="53">
        <v>45884</v>
      </c>
      <c r="P72" s="216">
        <v>3566</v>
      </c>
    </row>
    <row r="73" spans="1:16" ht="18.5" x14ac:dyDescent="0.45">
      <c r="A73" s="109">
        <v>3567</v>
      </c>
      <c r="B73" s="179">
        <v>45887</v>
      </c>
      <c r="C73" s="180"/>
      <c r="D73" s="113">
        <v>2</v>
      </c>
      <c r="E73" s="113">
        <v>52</v>
      </c>
      <c r="F73" s="113">
        <v>52</v>
      </c>
      <c r="G73" s="113">
        <v>0</v>
      </c>
      <c r="H73" s="113">
        <v>0</v>
      </c>
      <c r="I73" s="112"/>
      <c r="J73" s="112"/>
      <c r="K73" s="112"/>
      <c r="L73" s="112"/>
      <c r="M73" s="112" t="s">
        <v>29</v>
      </c>
      <c r="N73" s="113" t="s">
        <v>37</v>
      </c>
      <c r="O73" s="137">
        <v>45887</v>
      </c>
      <c r="P73" s="113">
        <v>3567</v>
      </c>
    </row>
    <row r="74" spans="1:16" x14ac:dyDescent="0.35">
      <c r="P74" s="42"/>
    </row>
    <row r="75" spans="1:16" x14ac:dyDescent="0.35">
      <c r="P75" s="42"/>
    </row>
    <row r="76" spans="1:16" x14ac:dyDescent="0.35">
      <c r="P76" s="42"/>
    </row>
    <row r="77" spans="1:16" x14ac:dyDescent="0.35">
      <c r="P77" s="42"/>
    </row>
    <row r="78" spans="1:16" x14ac:dyDescent="0.35">
      <c r="P78" s="42"/>
    </row>
    <row r="79" spans="1:16" x14ac:dyDescent="0.35">
      <c r="P79" s="42"/>
    </row>
    <row r="80" spans="1:16" x14ac:dyDescent="0.35">
      <c r="P80" s="42"/>
    </row>
    <row r="81" spans="16:16" x14ac:dyDescent="0.35">
      <c r="P81" s="42"/>
    </row>
    <row r="82" spans="16:16" x14ac:dyDescent="0.35">
      <c r="P82" s="42"/>
    </row>
    <row r="83" spans="16:16" x14ac:dyDescent="0.35">
      <c r="P83" s="42"/>
    </row>
    <row r="84" spans="16:16" x14ac:dyDescent="0.35">
      <c r="P84" s="42"/>
    </row>
    <row r="85" spans="16:16" x14ac:dyDescent="0.35">
      <c r="P85" s="42"/>
    </row>
    <row r="86" spans="16:16" x14ac:dyDescent="0.35">
      <c r="P86" s="42"/>
    </row>
    <row r="87" spans="16:16" x14ac:dyDescent="0.35">
      <c r="P87" s="42"/>
    </row>
    <row r="88" spans="16:16" x14ac:dyDescent="0.35">
      <c r="P88" s="42"/>
    </row>
    <row r="89" spans="16:16" x14ac:dyDescent="0.35">
      <c r="P89" s="42"/>
    </row>
    <row r="90" spans="16:16" x14ac:dyDescent="0.35">
      <c r="P90" s="42"/>
    </row>
    <row r="91" spans="16:16" x14ac:dyDescent="0.35">
      <c r="P91" s="42"/>
    </row>
    <row r="92" spans="16:16" x14ac:dyDescent="0.35">
      <c r="P92" s="42"/>
    </row>
    <row r="93" spans="16:16" x14ac:dyDescent="0.35">
      <c r="P93" s="42"/>
    </row>
    <row r="94" spans="16:16" x14ac:dyDescent="0.35">
      <c r="P94" s="42"/>
    </row>
    <row r="95" spans="16:16" x14ac:dyDescent="0.35">
      <c r="P95" s="42"/>
    </row>
    <row r="96" spans="16:16" x14ac:dyDescent="0.35">
      <c r="P96" s="43"/>
    </row>
    <row r="97" spans="16:16" x14ac:dyDescent="0.35">
      <c r="P97" s="42"/>
    </row>
    <row r="98" spans="16:16" x14ac:dyDescent="0.35">
      <c r="P98" s="42"/>
    </row>
    <row r="99" spans="16:16" x14ac:dyDescent="0.35">
      <c r="P99" s="42"/>
    </row>
    <row r="100" spans="16:16" x14ac:dyDescent="0.35">
      <c r="P100" s="42"/>
    </row>
    <row r="101" spans="16:16" x14ac:dyDescent="0.35">
      <c r="P101" s="42"/>
    </row>
    <row r="102" spans="16:16" x14ac:dyDescent="0.35">
      <c r="P102" s="42"/>
    </row>
    <row r="103" spans="16:16" x14ac:dyDescent="0.35">
      <c r="P103" s="42"/>
    </row>
    <row r="104" spans="16:16" x14ac:dyDescent="0.35">
      <c r="P104" s="42"/>
    </row>
    <row r="105" spans="16:16" x14ac:dyDescent="0.35">
      <c r="P105" s="42"/>
    </row>
    <row r="106" spans="16:16" x14ac:dyDescent="0.35">
      <c r="P106" s="42"/>
    </row>
    <row r="107" spans="16:16" x14ac:dyDescent="0.35">
      <c r="P107" s="42"/>
    </row>
    <row r="108" spans="16:16" x14ac:dyDescent="0.35">
      <c r="P108" s="42"/>
    </row>
    <row r="109" spans="16:16" x14ac:dyDescent="0.35">
      <c r="P109" s="42"/>
    </row>
    <row r="110" spans="16:16" x14ac:dyDescent="0.35">
      <c r="P110" s="42"/>
    </row>
    <row r="111" spans="16:16" x14ac:dyDescent="0.35">
      <c r="P111" s="42"/>
    </row>
    <row r="112" spans="16:16" x14ac:dyDescent="0.35">
      <c r="P112" s="42"/>
    </row>
    <row r="113" spans="16:16" x14ac:dyDescent="0.35">
      <c r="P113" s="42"/>
    </row>
    <row r="114" spans="16:16" x14ac:dyDescent="0.35">
      <c r="P114" s="42"/>
    </row>
    <row r="115" spans="16:16" x14ac:dyDescent="0.35">
      <c r="P115" s="42"/>
    </row>
    <row r="116" spans="16:16" x14ac:dyDescent="0.35">
      <c r="P116" s="42"/>
    </row>
    <row r="117" spans="16:16" x14ac:dyDescent="0.35">
      <c r="P117" s="42"/>
    </row>
    <row r="118" spans="16:16" x14ac:dyDescent="0.35">
      <c r="P118" s="42"/>
    </row>
    <row r="119" spans="16:16" x14ac:dyDescent="0.35">
      <c r="P119" s="42"/>
    </row>
    <row r="120" spans="16:16" x14ac:dyDescent="0.35">
      <c r="P120" s="42"/>
    </row>
    <row r="121" spans="16:16" x14ac:dyDescent="0.35">
      <c r="P121" s="42"/>
    </row>
    <row r="122" spans="16:16" x14ac:dyDescent="0.35">
      <c r="P122" s="42"/>
    </row>
    <row r="123" spans="16:16" x14ac:dyDescent="0.35">
      <c r="P123" s="42"/>
    </row>
    <row r="124" spans="16:16" x14ac:dyDescent="0.35">
      <c r="P124" s="42"/>
    </row>
    <row r="125" spans="16:16" x14ac:dyDescent="0.35">
      <c r="P125" s="42"/>
    </row>
    <row r="126" spans="16:16" x14ac:dyDescent="0.35">
      <c r="P126" s="42"/>
    </row>
    <row r="127" spans="16:16" x14ac:dyDescent="0.35">
      <c r="P127" s="42"/>
    </row>
    <row r="128" spans="16:16" x14ac:dyDescent="0.35">
      <c r="P128" s="42"/>
    </row>
    <row r="129" spans="16:16" x14ac:dyDescent="0.35">
      <c r="P129" s="42"/>
    </row>
    <row r="130" spans="16:16" x14ac:dyDescent="0.35">
      <c r="P130" s="42"/>
    </row>
    <row r="131" spans="16:16" x14ac:dyDescent="0.35">
      <c r="P131" s="42"/>
    </row>
    <row r="132" spans="16:16" x14ac:dyDescent="0.35">
      <c r="P132" s="42"/>
    </row>
    <row r="133" spans="16:16" x14ac:dyDescent="0.35">
      <c r="P133" s="42"/>
    </row>
    <row r="134" spans="16:16" x14ac:dyDescent="0.35">
      <c r="P134" s="42"/>
    </row>
    <row r="135" spans="16:16" x14ac:dyDescent="0.35">
      <c r="P135" s="42"/>
    </row>
    <row r="136" spans="16:16" x14ac:dyDescent="0.35">
      <c r="P136" s="42"/>
    </row>
    <row r="137" spans="16:16" x14ac:dyDescent="0.35">
      <c r="P137" s="42"/>
    </row>
    <row r="138" spans="16:16" x14ac:dyDescent="0.35">
      <c r="P138" s="42"/>
    </row>
    <row r="139" spans="16:16" x14ac:dyDescent="0.35">
      <c r="P139" s="42"/>
    </row>
    <row r="140" spans="16:16" x14ac:dyDescent="0.35">
      <c r="P140" s="42"/>
    </row>
    <row r="141" spans="16:16" x14ac:dyDescent="0.35">
      <c r="P141" s="42"/>
    </row>
    <row r="142" spans="16:16" x14ac:dyDescent="0.35">
      <c r="P142" s="42"/>
    </row>
    <row r="143" spans="16:16" x14ac:dyDescent="0.35">
      <c r="P143" s="42"/>
    </row>
    <row r="144" spans="16:16" x14ac:dyDescent="0.35">
      <c r="P144" s="42"/>
    </row>
    <row r="145" spans="16:16" x14ac:dyDescent="0.35">
      <c r="P145" s="42"/>
    </row>
    <row r="146" spans="16:16" x14ac:dyDescent="0.35">
      <c r="P146" s="42"/>
    </row>
    <row r="147" spans="16:16" x14ac:dyDescent="0.35">
      <c r="P147" s="42"/>
    </row>
    <row r="148" spans="16:16" x14ac:dyDescent="0.35">
      <c r="P148" s="42"/>
    </row>
    <row r="149" spans="16:16" x14ac:dyDescent="0.35">
      <c r="P149" s="42"/>
    </row>
    <row r="150" spans="16:16" x14ac:dyDescent="0.35">
      <c r="P150" s="42"/>
    </row>
    <row r="151" spans="16:16" x14ac:dyDescent="0.35">
      <c r="P151" s="42"/>
    </row>
    <row r="152" spans="16:16" x14ac:dyDescent="0.35">
      <c r="P152" s="42"/>
    </row>
    <row r="153" spans="16:16" x14ac:dyDescent="0.35">
      <c r="P153" s="42"/>
    </row>
    <row r="154" spans="16:16" x14ac:dyDescent="0.35">
      <c r="P154" s="42"/>
    </row>
    <row r="155" spans="16:16" x14ac:dyDescent="0.35">
      <c r="P155" s="42"/>
    </row>
    <row r="156" spans="16:16" x14ac:dyDescent="0.35">
      <c r="P156" s="42"/>
    </row>
    <row r="157" spans="16:16" x14ac:dyDescent="0.35">
      <c r="P157" s="42"/>
    </row>
    <row r="158" spans="16:16" x14ac:dyDescent="0.35">
      <c r="P158" s="42"/>
    </row>
    <row r="159" spans="16:16" x14ac:dyDescent="0.35">
      <c r="P159" s="42"/>
    </row>
    <row r="160" spans="16:16" x14ac:dyDescent="0.35">
      <c r="P160" s="42"/>
    </row>
    <row r="161" spans="16:16" x14ac:dyDescent="0.35">
      <c r="P161" s="42"/>
    </row>
    <row r="162" spans="16:16" x14ac:dyDescent="0.35">
      <c r="P162" s="42"/>
    </row>
    <row r="163" spans="16:16" x14ac:dyDescent="0.35">
      <c r="P163" s="42"/>
    </row>
    <row r="164" spans="16:16" x14ac:dyDescent="0.35">
      <c r="P164" s="42"/>
    </row>
    <row r="165" spans="16:16" x14ac:dyDescent="0.35">
      <c r="P165" s="42"/>
    </row>
    <row r="166" spans="16:16" x14ac:dyDescent="0.35">
      <c r="P166" s="42"/>
    </row>
    <row r="167" spans="16:16" x14ac:dyDescent="0.35">
      <c r="P167" s="42"/>
    </row>
    <row r="168" spans="16:16" x14ac:dyDescent="0.35">
      <c r="P168" s="42"/>
    </row>
    <row r="169" spans="16:16" x14ac:dyDescent="0.35">
      <c r="P169" s="42"/>
    </row>
    <row r="170" spans="16:16" x14ac:dyDescent="0.35">
      <c r="P170" s="42"/>
    </row>
    <row r="171" spans="16:16" x14ac:dyDescent="0.35">
      <c r="P171" s="42"/>
    </row>
    <row r="172" spans="16:16" x14ac:dyDescent="0.35">
      <c r="P172" s="42"/>
    </row>
    <row r="173" spans="16:16" x14ac:dyDescent="0.35">
      <c r="P173" s="42"/>
    </row>
    <row r="174" spans="16:16" x14ac:dyDescent="0.35">
      <c r="P174" s="42"/>
    </row>
    <row r="175" spans="16:16" x14ac:dyDescent="0.35">
      <c r="P175" s="42"/>
    </row>
    <row r="176" spans="16:16" x14ac:dyDescent="0.35">
      <c r="P176" s="42"/>
    </row>
    <row r="177" spans="16:16" x14ac:dyDescent="0.35">
      <c r="P177" s="42"/>
    </row>
    <row r="178" spans="16:16" x14ac:dyDescent="0.35">
      <c r="P178" s="42"/>
    </row>
    <row r="179" spans="16:16" x14ac:dyDescent="0.35">
      <c r="P179" s="43"/>
    </row>
    <row r="180" spans="16:16" x14ac:dyDescent="0.35">
      <c r="P180" s="42"/>
    </row>
    <row r="181" spans="16:16" x14ac:dyDescent="0.35">
      <c r="P181" s="42"/>
    </row>
    <row r="182" spans="16:16" x14ac:dyDescent="0.35">
      <c r="P182" s="42"/>
    </row>
    <row r="183" spans="16:16" x14ac:dyDescent="0.35">
      <c r="P183" s="42"/>
    </row>
    <row r="184" spans="16:16" x14ac:dyDescent="0.35">
      <c r="P184" s="42"/>
    </row>
    <row r="185" spans="16:16" x14ac:dyDescent="0.35">
      <c r="P185" s="42"/>
    </row>
    <row r="186" spans="16:16" x14ac:dyDescent="0.35">
      <c r="P186" s="42"/>
    </row>
    <row r="187" spans="16:16" x14ac:dyDescent="0.35">
      <c r="P187" s="42"/>
    </row>
    <row r="188" spans="16:16" x14ac:dyDescent="0.35">
      <c r="P188" s="42"/>
    </row>
    <row r="189" spans="16:16" x14ac:dyDescent="0.35">
      <c r="P189" s="42"/>
    </row>
    <row r="190" spans="16:16" x14ac:dyDescent="0.35">
      <c r="P190" s="42"/>
    </row>
    <row r="191" spans="16:16" x14ac:dyDescent="0.35">
      <c r="P191" s="42"/>
    </row>
    <row r="192" spans="16:16" x14ac:dyDescent="0.35">
      <c r="P192" s="42"/>
    </row>
    <row r="193" spans="16:16" x14ac:dyDescent="0.35">
      <c r="P193" s="42"/>
    </row>
    <row r="194" spans="16:16" x14ac:dyDescent="0.35">
      <c r="P194" s="42"/>
    </row>
    <row r="195" spans="16:16" x14ac:dyDescent="0.35">
      <c r="P195" s="42"/>
    </row>
    <row r="196" spans="16:16" x14ac:dyDescent="0.35">
      <c r="P196" s="42"/>
    </row>
    <row r="197" spans="16:16" x14ac:dyDescent="0.35">
      <c r="P197" s="42"/>
    </row>
    <row r="198" spans="16:16" x14ac:dyDescent="0.35">
      <c r="P198" s="42"/>
    </row>
    <row r="199" spans="16:16" x14ac:dyDescent="0.35">
      <c r="P199" s="42"/>
    </row>
    <row r="200" spans="16:16" x14ac:dyDescent="0.35">
      <c r="P200" s="42"/>
    </row>
    <row r="201" spans="16:16" x14ac:dyDescent="0.35">
      <c r="P201" s="42"/>
    </row>
    <row r="202" spans="16:16" x14ac:dyDescent="0.35">
      <c r="P202" s="42"/>
    </row>
    <row r="203" spans="16:16" x14ac:dyDescent="0.35">
      <c r="P203" s="42"/>
    </row>
    <row r="204" spans="16:16" x14ac:dyDescent="0.35">
      <c r="P204" s="42"/>
    </row>
    <row r="205" spans="16:16" x14ac:dyDescent="0.35">
      <c r="P205" s="42"/>
    </row>
    <row r="206" spans="16:16" x14ac:dyDescent="0.35">
      <c r="P206" s="42"/>
    </row>
    <row r="207" spans="16:16" x14ac:dyDescent="0.3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topLeftCell="E55" zoomScaleNormal="100" workbookViewId="0">
      <selection activeCell="P70" sqref="P70"/>
    </sheetView>
  </sheetViews>
  <sheetFormatPr defaultColWidth="9.1796875" defaultRowHeight="14.5" x14ac:dyDescent="0.35"/>
  <cols>
    <col min="1" max="1" width="10.81640625" style="1" customWidth="1"/>
    <col min="2" max="3" width="13.81640625" style="1" customWidth="1"/>
    <col min="4" max="4" width="22.81640625" style="1" customWidth="1"/>
    <col min="5" max="5" width="12" style="1" customWidth="1"/>
    <col min="6" max="6" width="14" style="1" customWidth="1"/>
    <col min="7" max="7" width="14.54296875" style="1" customWidth="1"/>
    <col min="8" max="8" width="19.1796875" style="1" customWidth="1"/>
    <col min="9" max="9" width="14.1796875" style="1" customWidth="1"/>
    <col min="10" max="10" width="11.81640625" style="1" customWidth="1"/>
    <col min="11" max="11" width="17.54296875" style="1" customWidth="1"/>
    <col min="12" max="12" width="12.81640625" style="1" customWidth="1"/>
    <col min="13" max="13" width="18.453125" style="1" customWidth="1"/>
    <col min="14" max="14" width="15.1796875" style="1" customWidth="1"/>
    <col min="15" max="15" width="29.81640625" style="1" customWidth="1"/>
    <col min="16" max="16" width="23.81640625" style="1" customWidth="1"/>
    <col min="17" max="17" width="2.54296875" style="1" customWidth="1"/>
    <col min="18" max="18" width="11.81640625" style="1" customWidth="1"/>
    <col min="19" max="19" width="10.81640625" style="1" customWidth="1"/>
    <col min="20" max="20" width="14.81640625" style="1" customWidth="1"/>
    <col min="21" max="21" width="13.1796875" style="1" customWidth="1"/>
    <col min="22" max="16384" width="9.1796875" style="1"/>
  </cols>
  <sheetData>
    <row r="1" spans="1:21" ht="44" thickBot="1" x14ac:dyDescent="0.4">
      <c r="A1" s="115" t="s">
        <v>0</v>
      </c>
      <c r="B1" s="116" t="s">
        <v>1</v>
      </c>
      <c r="C1" s="116" t="s">
        <v>32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33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45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29" t="s">
        <v>15</v>
      </c>
      <c r="S2" s="230"/>
      <c r="T2" s="230"/>
      <c r="U2" s="231"/>
    </row>
    <row r="3" spans="1:21" ht="15" customHeight="1" x14ac:dyDescent="0.45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5</v>
      </c>
      <c r="U4" s="39">
        <f>T4/S4</f>
        <v>6.9444444444444448E-2</v>
      </c>
    </row>
    <row r="5" spans="1:21" ht="15" customHeight="1" x14ac:dyDescent="0.45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45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45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45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45">
      <c r="A9" s="23">
        <v>3238</v>
      </c>
      <c r="B9" s="92">
        <v>45890</v>
      </c>
      <c r="C9" s="170"/>
      <c r="D9" s="37">
        <v>1</v>
      </c>
      <c r="E9" s="37">
        <v>1</v>
      </c>
      <c r="F9" s="37">
        <v>1</v>
      </c>
      <c r="G9" s="37">
        <v>0</v>
      </c>
      <c r="H9" s="37">
        <v>0</v>
      </c>
      <c r="I9" s="12"/>
      <c r="J9" s="12"/>
      <c r="K9" s="12"/>
      <c r="L9" s="12"/>
      <c r="M9" s="12" t="s">
        <v>29</v>
      </c>
      <c r="N9" s="37" t="s">
        <v>38</v>
      </c>
      <c r="O9" s="53">
        <v>45890</v>
      </c>
      <c r="P9" s="37">
        <v>3238</v>
      </c>
    </row>
    <row r="10" spans="1:21" ht="15" customHeight="1" x14ac:dyDescent="0.45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45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5">
      <c r="A12" s="32">
        <v>3241</v>
      </c>
      <c r="B12" s="38"/>
      <c r="C12" s="38"/>
      <c r="D12" s="37"/>
      <c r="E12" s="37"/>
      <c r="F12" s="37"/>
      <c r="G12" s="37"/>
      <c r="H12" s="37"/>
      <c r="I12" s="12"/>
      <c r="J12" s="12"/>
      <c r="K12" s="12"/>
      <c r="L12" s="12"/>
      <c r="M12" s="12"/>
      <c r="N12" s="37"/>
      <c r="O12" s="38"/>
      <c r="P12" s="37"/>
    </row>
    <row r="13" spans="1:21" ht="15" customHeight="1" x14ac:dyDescent="0.45">
      <c r="A13" s="3">
        <v>3242</v>
      </c>
      <c r="B13" s="44"/>
      <c r="C13" s="44"/>
      <c r="D13" s="37"/>
      <c r="E13" s="37"/>
      <c r="F13" s="37"/>
      <c r="G13" s="37"/>
      <c r="H13" s="37"/>
      <c r="I13" s="12"/>
      <c r="J13" s="12"/>
      <c r="K13" s="12"/>
      <c r="L13" s="12"/>
      <c r="M13" s="12"/>
      <c r="N13" s="37"/>
      <c r="O13" s="44"/>
      <c r="P13" s="37"/>
    </row>
    <row r="14" spans="1:21" ht="15" customHeight="1" x14ac:dyDescent="0.45">
      <c r="A14" s="33">
        <v>3243</v>
      </c>
      <c r="B14" s="40"/>
      <c r="C14" s="40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45">
      <c r="A15" s="33">
        <v>3244</v>
      </c>
      <c r="B15" s="40"/>
      <c r="C15" s="40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45">
      <c r="A16" s="33">
        <v>3245</v>
      </c>
      <c r="B16" s="40"/>
      <c r="C16" s="40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45">
      <c r="A17" s="33">
        <v>3246</v>
      </c>
      <c r="B17" s="38"/>
      <c r="C17" s="38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45">
      <c r="A18" s="33">
        <v>3247</v>
      </c>
      <c r="B18" s="40"/>
      <c r="C18" s="40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45">
      <c r="A19" s="33">
        <v>3248</v>
      </c>
      <c r="B19" s="40"/>
      <c r="C19" s="40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45">
      <c r="A20" s="33">
        <v>3250</v>
      </c>
      <c r="B20" s="40"/>
      <c r="C20" s="40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45">
      <c r="A21" s="33">
        <v>3251</v>
      </c>
      <c r="B21" s="40"/>
      <c r="C21" s="40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45">
      <c r="A22" s="33">
        <v>3252</v>
      </c>
      <c r="B22" s="40"/>
      <c r="C22" s="40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5">
      <c r="A23" s="34">
        <v>3253</v>
      </c>
      <c r="B23" s="40"/>
      <c r="C23" s="40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45">
      <c r="A24" s="3">
        <v>3254</v>
      </c>
      <c r="B24" s="40"/>
      <c r="C24" s="40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45">
      <c r="A25" s="33">
        <v>3255</v>
      </c>
      <c r="B25" s="38"/>
      <c r="C25" s="38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45">
      <c r="A26" s="33">
        <v>3256</v>
      </c>
      <c r="B26" s="44"/>
      <c r="C26" s="44"/>
      <c r="D26" s="37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45">
      <c r="A27" s="33">
        <v>3258</v>
      </c>
      <c r="B27" s="40"/>
      <c r="C27" s="40"/>
      <c r="D27" s="37"/>
      <c r="E27" s="37"/>
      <c r="F27" s="37"/>
      <c r="G27" s="37"/>
      <c r="H27" s="37"/>
      <c r="I27" s="12"/>
      <c r="J27" s="12"/>
      <c r="K27" s="12"/>
      <c r="L27" s="12"/>
      <c r="M27" s="12"/>
      <c r="N27" s="37"/>
      <c r="O27" s="40"/>
      <c r="P27" s="37"/>
    </row>
    <row r="28" spans="1:16" ht="15" customHeight="1" x14ac:dyDescent="0.45">
      <c r="A28" s="33">
        <v>3259</v>
      </c>
      <c r="B28" s="40"/>
      <c r="C28" s="40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45">
      <c r="A29" s="33">
        <v>3260</v>
      </c>
      <c r="B29" s="40"/>
      <c r="C29" s="13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45">
      <c r="A30" s="33">
        <v>3261</v>
      </c>
      <c r="B30" s="38"/>
      <c r="D30" s="124"/>
      <c r="E30" s="125"/>
      <c r="F30" s="125"/>
      <c r="G30" s="125"/>
      <c r="H30" s="125"/>
      <c r="I30" s="126"/>
      <c r="J30" s="126"/>
      <c r="K30" s="126"/>
      <c r="L30" s="126"/>
      <c r="M30" s="126"/>
      <c r="N30" s="127"/>
      <c r="O30" s="38"/>
      <c r="P30" s="125"/>
    </row>
    <row r="31" spans="1:16" ht="15" customHeight="1" x14ac:dyDescent="0.45">
      <c r="A31" s="33">
        <v>3262</v>
      </c>
      <c r="B31" s="40"/>
      <c r="C31" s="10"/>
      <c r="D31" s="10"/>
      <c r="E31" s="10"/>
      <c r="F31" s="10"/>
      <c r="G31" s="10"/>
      <c r="H31" s="10"/>
      <c r="I31" s="11"/>
      <c r="J31" s="11"/>
      <c r="K31" s="11"/>
      <c r="L31" s="11"/>
      <c r="M31" s="11"/>
      <c r="N31" s="40"/>
      <c r="O31" s="40"/>
      <c r="P31" s="10"/>
    </row>
    <row r="32" spans="1:16" ht="15" customHeight="1" x14ac:dyDescent="0.45">
      <c r="A32" s="33">
        <v>3263</v>
      </c>
      <c r="B32" s="40"/>
      <c r="C32" s="40"/>
      <c r="D32" s="37"/>
      <c r="E32" s="37"/>
      <c r="F32" s="37"/>
      <c r="G32" s="37"/>
      <c r="H32" s="37"/>
      <c r="I32" s="12"/>
      <c r="J32" s="12"/>
      <c r="K32" s="12"/>
      <c r="L32" s="12"/>
      <c r="M32" s="12"/>
      <c r="N32" s="37"/>
      <c r="O32" s="40"/>
      <c r="P32" s="37"/>
    </row>
    <row r="33" spans="1:16" ht="15" customHeight="1" x14ac:dyDescent="0.45">
      <c r="A33" s="33">
        <v>3264</v>
      </c>
      <c r="B33" s="40"/>
      <c r="C33" s="40"/>
      <c r="D33" s="37"/>
      <c r="E33" s="37"/>
      <c r="F33" s="37"/>
      <c r="G33" s="37"/>
      <c r="H33" s="37"/>
      <c r="I33" s="12"/>
      <c r="J33" s="12"/>
      <c r="K33" s="12"/>
      <c r="L33" s="12"/>
      <c r="M33" s="12"/>
      <c r="N33" s="37"/>
      <c r="O33" s="40"/>
      <c r="P33" s="37"/>
    </row>
    <row r="34" spans="1:16" ht="15" customHeight="1" thickBot="1" x14ac:dyDescent="0.5">
      <c r="A34" s="34">
        <v>3265</v>
      </c>
      <c r="B34" s="40"/>
      <c r="C34" s="40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45">
      <c r="A35" s="3">
        <v>3266</v>
      </c>
      <c r="B35" s="40"/>
      <c r="C35" s="40"/>
      <c r="D35" s="37"/>
      <c r="E35" s="37"/>
      <c r="F35" s="37"/>
      <c r="G35" s="37"/>
      <c r="H35" s="37"/>
      <c r="I35" s="12"/>
      <c r="J35" s="12"/>
      <c r="K35" s="12"/>
      <c r="L35" s="12"/>
      <c r="M35" s="12"/>
      <c r="N35" s="37"/>
      <c r="O35" s="40"/>
      <c r="P35" s="37"/>
    </row>
    <row r="36" spans="1:16" ht="15" customHeight="1" x14ac:dyDescent="0.45">
      <c r="A36" s="33">
        <v>3267</v>
      </c>
      <c r="B36" s="40"/>
      <c r="C36" s="40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45">
      <c r="A37" s="33">
        <v>3299</v>
      </c>
      <c r="B37" s="40"/>
      <c r="C37" s="40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45">
      <c r="A38" s="33">
        <v>3531</v>
      </c>
      <c r="B38" s="38"/>
      <c r="C38" s="38"/>
      <c r="D38" s="37"/>
      <c r="E38" s="5"/>
      <c r="F38" s="5"/>
      <c r="G38" s="5"/>
      <c r="H38" s="5"/>
      <c r="I38" s="7"/>
      <c r="J38" s="7"/>
      <c r="K38" s="7"/>
      <c r="L38" s="7"/>
      <c r="M38" s="7"/>
      <c r="N38" s="31"/>
      <c r="O38" s="38"/>
      <c r="P38" s="5"/>
    </row>
    <row r="39" spans="1:16" ht="15" customHeight="1" x14ac:dyDescent="0.45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45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45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45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45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45">
      <c r="A44" s="33">
        <v>3537</v>
      </c>
      <c r="B44" s="40"/>
      <c r="C44" s="40"/>
      <c r="D44" s="37"/>
      <c r="E44" s="37"/>
      <c r="F44" s="37"/>
      <c r="G44" s="37"/>
      <c r="H44" s="37"/>
      <c r="I44" s="12"/>
      <c r="J44" s="12"/>
      <c r="K44" s="12"/>
      <c r="L44" s="12"/>
      <c r="M44" s="12"/>
      <c r="N44" s="37"/>
      <c r="O44" s="40"/>
      <c r="P44" s="37"/>
    </row>
    <row r="45" spans="1:16" ht="15" customHeight="1" thickBot="1" x14ac:dyDescent="0.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45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45">
      <c r="A47" s="33">
        <v>3541</v>
      </c>
      <c r="B47" s="44"/>
      <c r="C47" s="106"/>
      <c r="D47" s="12"/>
      <c r="E47" s="5"/>
      <c r="F47" s="5"/>
      <c r="G47" s="5"/>
      <c r="H47" s="5"/>
      <c r="I47" s="7"/>
      <c r="J47" s="7"/>
      <c r="K47" s="7"/>
      <c r="L47" s="7"/>
      <c r="M47" s="7"/>
      <c r="N47" s="31"/>
      <c r="O47" s="44"/>
      <c r="P47" s="5"/>
    </row>
    <row r="48" spans="1:16" ht="15" customHeight="1" x14ac:dyDescent="0.45">
      <c r="A48" s="33">
        <v>3542</v>
      </c>
      <c r="B48" s="40"/>
      <c r="C48" s="40"/>
      <c r="D48" s="37"/>
      <c r="E48" s="37"/>
      <c r="F48" s="37"/>
      <c r="G48" s="37"/>
      <c r="H48" s="37"/>
      <c r="I48" s="12"/>
      <c r="J48" s="12"/>
      <c r="K48" s="12"/>
      <c r="L48" s="12"/>
      <c r="M48" s="12"/>
      <c r="N48" s="37"/>
      <c r="O48" s="40"/>
      <c r="P48" s="37"/>
    </row>
    <row r="49" spans="1:16" ht="15" customHeight="1" x14ac:dyDescent="0.45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45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45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45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45">
      <c r="A53" s="33">
        <v>3547</v>
      </c>
      <c r="B53" s="40"/>
      <c r="C53" s="40"/>
      <c r="D53" s="37"/>
      <c r="E53" s="37"/>
      <c r="F53" s="37"/>
      <c r="G53" s="37"/>
      <c r="H53" s="37"/>
      <c r="I53" s="12"/>
      <c r="J53" s="12"/>
      <c r="K53" s="12"/>
      <c r="L53" s="12"/>
      <c r="M53" s="12"/>
      <c r="N53" s="37"/>
      <c r="O53" s="40"/>
      <c r="P53" s="37"/>
    </row>
    <row r="54" spans="1:16" ht="15" customHeight="1" x14ac:dyDescent="0.45">
      <c r="A54" s="33">
        <v>3548</v>
      </c>
      <c r="B54" s="40"/>
      <c r="C54" s="40"/>
      <c r="D54" s="37"/>
      <c r="E54" s="37"/>
      <c r="F54" s="37"/>
      <c r="G54" s="37"/>
      <c r="H54" s="37"/>
      <c r="I54" s="12"/>
      <c r="J54" s="12"/>
      <c r="K54" s="12"/>
      <c r="L54" s="12"/>
      <c r="M54" s="12"/>
      <c r="N54" s="37"/>
      <c r="O54" s="40"/>
      <c r="P54" s="37"/>
    </row>
    <row r="55" spans="1:16" ht="15" customHeight="1" x14ac:dyDescent="0.45">
      <c r="A55" s="33">
        <v>3549</v>
      </c>
      <c r="B55" s="40"/>
      <c r="C55" s="40"/>
      <c r="D55" s="37"/>
      <c r="E55" s="37"/>
      <c r="F55" s="37"/>
      <c r="G55" s="37"/>
      <c r="H55" s="37"/>
      <c r="I55" s="12"/>
      <c r="J55" s="12"/>
      <c r="K55" s="12"/>
      <c r="L55" s="12"/>
      <c r="M55" s="12"/>
      <c r="N55" s="37"/>
      <c r="O55" s="40"/>
      <c r="P55" s="37"/>
    </row>
    <row r="56" spans="1:16" ht="15" customHeight="1" thickBot="1" x14ac:dyDescent="0.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45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45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45">
      <c r="A59" s="33">
        <v>3553</v>
      </c>
      <c r="B59" s="44"/>
      <c r="C59" s="44"/>
      <c r="D59" s="37"/>
      <c r="E59" s="37"/>
      <c r="F59" s="37"/>
      <c r="G59" s="37"/>
      <c r="H59" s="37"/>
      <c r="I59" s="12"/>
      <c r="J59" s="12"/>
      <c r="K59" s="12"/>
      <c r="L59" s="12"/>
      <c r="M59" s="12"/>
      <c r="N59" s="37"/>
      <c r="O59" s="40"/>
      <c r="P59" s="37"/>
    </row>
    <row r="60" spans="1:16" ht="15" customHeight="1" x14ac:dyDescent="0.45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45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45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45">
      <c r="A63" s="33">
        <v>3557</v>
      </c>
      <c r="B63" s="91">
        <v>45870</v>
      </c>
      <c r="C63" s="171"/>
      <c r="D63" s="35">
        <v>1</v>
      </c>
      <c r="E63" s="17">
        <v>4</v>
      </c>
      <c r="F63" s="17">
        <v>4</v>
      </c>
      <c r="G63" s="17">
        <v>0</v>
      </c>
      <c r="H63" s="17">
        <v>0</v>
      </c>
      <c r="I63" s="18"/>
      <c r="J63" s="18"/>
      <c r="K63" s="18"/>
      <c r="L63" s="18"/>
      <c r="M63" s="18" t="s">
        <v>29</v>
      </c>
      <c r="N63" s="38" t="s">
        <v>14</v>
      </c>
      <c r="O63" s="54">
        <v>45870</v>
      </c>
      <c r="P63" s="17">
        <v>3557</v>
      </c>
    </row>
    <row r="64" spans="1:16" ht="15" customHeight="1" x14ac:dyDescent="0.45">
      <c r="A64" s="33">
        <v>3558</v>
      </c>
      <c r="B64" s="44"/>
      <c r="C64" s="44"/>
      <c r="D64" s="22"/>
      <c r="E64" s="37"/>
      <c r="F64" s="37"/>
      <c r="G64" s="37"/>
      <c r="H64" s="37"/>
      <c r="I64" s="12"/>
      <c r="J64" s="12"/>
      <c r="K64" s="12"/>
      <c r="L64" s="12"/>
      <c r="M64" s="12"/>
      <c r="N64" s="37"/>
      <c r="O64" s="40"/>
      <c r="P64" s="37"/>
    </row>
    <row r="65" spans="1:16" ht="15" customHeight="1" thickBot="1" x14ac:dyDescent="0.5">
      <c r="A65" s="33">
        <v>3559</v>
      </c>
      <c r="B65" s="92">
        <v>45890</v>
      </c>
      <c r="C65" s="170"/>
      <c r="D65" s="35">
        <v>3</v>
      </c>
      <c r="E65" s="35">
        <v>27</v>
      </c>
      <c r="F65" s="35">
        <v>27</v>
      </c>
      <c r="G65" s="35">
        <v>0</v>
      </c>
      <c r="H65" s="35">
        <v>0</v>
      </c>
      <c r="I65" s="14"/>
      <c r="J65" s="14"/>
      <c r="K65" s="14"/>
      <c r="L65" s="14"/>
      <c r="M65" s="14" t="s">
        <v>36</v>
      </c>
      <c r="N65" s="40" t="s">
        <v>38</v>
      </c>
      <c r="O65" s="53">
        <v>45890</v>
      </c>
      <c r="P65" s="35">
        <v>3559</v>
      </c>
    </row>
    <row r="66" spans="1:16" ht="15" customHeight="1" x14ac:dyDescent="0.45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45">
      <c r="A67" s="20">
        <v>3561</v>
      </c>
      <c r="B67" s="92">
        <v>45876</v>
      </c>
      <c r="C67" s="170"/>
      <c r="D67" s="37">
        <v>3</v>
      </c>
      <c r="E67" s="37">
        <v>37</v>
      </c>
      <c r="F67" s="37">
        <v>37</v>
      </c>
      <c r="G67" s="37">
        <v>0</v>
      </c>
      <c r="H67" s="37">
        <v>0</v>
      </c>
      <c r="I67" s="12"/>
      <c r="J67" s="12"/>
      <c r="K67" s="12"/>
      <c r="L67" s="12"/>
      <c r="M67" s="12" t="s">
        <v>29</v>
      </c>
      <c r="N67" s="37" t="s">
        <v>14</v>
      </c>
      <c r="O67" s="53">
        <v>45876</v>
      </c>
      <c r="P67" s="37">
        <v>3561</v>
      </c>
    </row>
    <row r="68" spans="1:16" ht="18.5" x14ac:dyDescent="0.45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5" x14ac:dyDescent="0.45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5" x14ac:dyDescent="0.45">
      <c r="A70" s="20">
        <v>3564</v>
      </c>
      <c r="B70" s="221">
        <v>45894</v>
      </c>
      <c r="C70" s="222"/>
      <c r="D70" s="37">
        <v>1</v>
      </c>
      <c r="E70" s="5">
        <v>1</v>
      </c>
      <c r="F70" s="5">
        <v>1</v>
      </c>
      <c r="G70" s="5">
        <v>0</v>
      </c>
      <c r="H70" s="5">
        <v>0</v>
      </c>
      <c r="I70" s="7"/>
      <c r="J70" s="7"/>
      <c r="K70" s="7"/>
      <c r="L70" s="7"/>
      <c r="M70" s="7" t="s">
        <v>29</v>
      </c>
      <c r="N70" s="31" t="s">
        <v>38</v>
      </c>
      <c r="O70" s="53">
        <v>45894</v>
      </c>
      <c r="P70" s="5">
        <v>3564</v>
      </c>
    </row>
    <row r="71" spans="1:16" ht="18.5" x14ac:dyDescent="0.45">
      <c r="A71" s="20">
        <v>3565</v>
      </c>
      <c r="B71" s="38"/>
      <c r="C71" s="38"/>
      <c r="D71" s="37"/>
      <c r="E71" s="37"/>
      <c r="F71" s="37"/>
      <c r="G71" s="37"/>
      <c r="H71" s="37"/>
      <c r="I71" s="12"/>
      <c r="J71" s="12"/>
      <c r="K71" s="12"/>
      <c r="L71" s="12"/>
      <c r="M71" s="12"/>
      <c r="N71" s="37"/>
      <c r="O71" s="40"/>
      <c r="P71" s="37"/>
    </row>
    <row r="72" spans="1:16" ht="18.5" x14ac:dyDescent="0.45">
      <c r="A72" s="20">
        <v>3566</v>
      </c>
      <c r="B72" s="40"/>
      <c r="C72" s="40"/>
      <c r="D72" s="37"/>
      <c r="E72" s="37"/>
      <c r="F72" s="37"/>
      <c r="G72" s="37"/>
      <c r="H72" s="37"/>
      <c r="I72" s="12"/>
      <c r="J72" s="12"/>
      <c r="K72" s="12"/>
      <c r="L72" s="12"/>
      <c r="M72" s="12"/>
      <c r="N72" s="37"/>
      <c r="O72" s="40"/>
      <c r="P72" s="37"/>
    </row>
    <row r="73" spans="1:16" ht="18.5" x14ac:dyDescent="0.45">
      <c r="A73" s="109">
        <v>3567</v>
      </c>
      <c r="B73" s="110"/>
      <c r="C73" s="110"/>
      <c r="D73" s="111"/>
      <c r="E73" s="111"/>
      <c r="F73" s="111"/>
      <c r="G73" s="111"/>
      <c r="H73" s="111"/>
      <c r="I73" s="112"/>
      <c r="J73" s="112"/>
      <c r="K73" s="112"/>
      <c r="L73" s="112"/>
      <c r="M73" s="112"/>
      <c r="N73" s="113"/>
      <c r="O73" s="114"/>
      <c r="P73" s="113"/>
    </row>
    <row r="74" spans="1:16" x14ac:dyDescent="0.35">
      <c r="P74" s="42"/>
    </row>
    <row r="75" spans="1:16" x14ac:dyDescent="0.35">
      <c r="P75" s="42"/>
    </row>
    <row r="76" spans="1:16" x14ac:dyDescent="0.35">
      <c r="P76" s="42"/>
    </row>
    <row r="77" spans="1:16" x14ac:dyDescent="0.35">
      <c r="P77" s="42"/>
    </row>
    <row r="78" spans="1:16" x14ac:dyDescent="0.35">
      <c r="P78" s="42"/>
    </row>
    <row r="79" spans="1:16" x14ac:dyDescent="0.35">
      <c r="P79" s="42"/>
    </row>
    <row r="80" spans="1:16" x14ac:dyDescent="0.35">
      <c r="P80" s="42"/>
    </row>
    <row r="81" spans="16:16" x14ac:dyDescent="0.35">
      <c r="P81" s="42"/>
    </row>
    <row r="82" spans="16:16" x14ac:dyDescent="0.35">
      <c r="P82" s="42"/>
    </row>
    <row r="83" spans="16:16" x14ac:dyDescent="0.35">
      <c r="P83" s="42"/>
    </row>
    <row r="84" spans="16:16" x14ac:dyDescent="0.35">
      <c r="P84" s="42"/>
    </row>
    <row r="85" spans="16:16" x14ac:dyDescent="0.35">
      <c r="P85" s="42"/>
    </row>
    <row r="86" spans="16:16" x14ac:dyDescent="0.35">
      <c r="P86" s="42"/>
    </row>
    <row r="87" spans="16:16" x14ac:dyDescent="0.35">
      <c r="P87" s="42"/>
    </row>
    <row r="88" spans="16:16" x14ac:dyDescent="0.35">
      <c r="P88" s="42"/>
    </row>
    <row r="89" spans="16:16" x14ac:dyDescent="0.35">
      <c r="P89" s="42"/>
    </row>
    <row r="90" spans="16:16" x14ac:dyDescent="0.35">
      <c r="P90" s="42"/>
    </row>
    <row r="91" spans="16:16" x14ac:dyDescent="0.35">
      <c r="P91" s="42"/>
    </row>
    <row r="92" spans="16:16" x14ac:dyDescent="0.35">
      <c r="P92" s="42"/>
    </row>
    <row r="93" spans="16:16" x14ac:dyDescent="0.35">
      <c r="P93" s="42"/>
    </row>
    <row r="94" spans="16:16" x14ac:dyDescent="0.35">
      <c r="P94" s="42"/>
    </row>
    <row r="95" spans="16:16" x14ac:dyDescent="0.35">
      <c r="P95" s="42"/>
    </row>
    <row r="96" spans="16:16" x14ac:dyDescent="0.35">
      <c r="P96" s="43"/>
    </row>
    <row r="97" spans="16:16" x14ac:dyDescent="0.35">
      <c r="P97" s="42"/>
    </row>
    <row r="98" spans="16:16" x14ac:dyDescent="0.35">
      <c r="P98" s="42"/>
    </row>
    <row r="99" spans="16:16" x14ac:dyDescent="0.35">
      <c r="P99" s="42"/>
    </row>
    <row r="100" spans="16:16" x14ac:dyDescent="0.35">
      <c r="P100" s="42"/>
    </row>
    <row r="101" spans="16:16" x14ac:dyDescent="0.35">
      <c r="P101" s="42"/>
    </row>
    <row r="102" spans="16:16" x14ac:dyDescent="0.35">
      <c r="P102" s="42"/>
    </row>
    <row r="103" spans="16:16" x14ac:dyDescent="0.35">
      <c r="P103" s="42"/>
    </row>
    <row r="104" spans="16:16" x14ac:dyDescent="0.35">
      <c r="P104" s="42"/>
    </row>
    <row r="105" spans="16:16" x14ac:dyDescent="0.35">
      <c r="P105" s="42"/>
    </row>
    <row r="106" spans="16:16" x14ac:dyDescent="0.35">
      <c r="P106" s="42"/>
    </row>
    <row r="107" spans="16:16" x14ac:dyDescent="0.35">
      <c r="P107" s="42"/>
    </row>
    <row r="108" spans="16:16" x14ac:dyDescent="0.35">
      <c r="P108" s="42"/>
    </row>
    <row r="109" spans="16:16" x14ac:dyDescent="0.35">
      <c r="P109" s="42"/>
    </row>
    <row r="110" spans="16:16" x14ac:dyDescent="0.35">
      <c r="P110" s="42"/>
    </row>
    <row r="111" spans="16:16" x14ac:dyDescent="0.35">
      <c r="P111" s="42"/>
    </row>
    <row r="112" spans="16:16" x14ac:dyDescent="0.35">
      <c r="P112" s="42"/>
    </row>
    <row r="113" spans="16:16" x14ac:dyDescent="0.35">
      <c r="P113" s="42"/>
    </row>
    <row r="114" spans="16:16" x14ac:dyDescent="0.35">
      <c r="P114" s="42"/>
    </row>
    <row r="115" spans="16:16" x14ac:dyDescent="0.35">
      <c r="P115" s="42"/>
    </row>
    <row r="116" spans="16:16" x14ac:dyDescent="0.35">
      <c r="P116" s="42"/>
    </row>
    <row r="117" spans="16:16" x14ac:dyDescent="0.35">
      <c r="P117" s="42"/>
    </row>
    <row r="118" spans="16:16" x14ac:dyDescent="0.35">
      <c r="P118" s="42"/>
    </row>
    <row r="119" spans="16:16" x14ac:dyDescent="0.35">
      <c r="P119" s="42"/>
    </row>
    <row r="120" spans="16:16" x14ac:dyDescent="0.35">
      <c r="P120" s="42"/>
    </row>
    <row r="121" spans="16:16" x14ac:dyDescent="0.35">
      <c r="P121" s="42"/>
    </row>
    <row r="122" spans="16:16" x14ac:dyDescent="0.35">
      <c r="P122" s="42"/>
    </row>
    <row r="123" spans="16:16" x14ac:dyDescent="0.35">
      <c r="P123" s="42"/>
    </row>
    <row r="124" spans="16:16" x14ac:dyDescent="0.35">
      <c r="P124" s="42"/>
    </row>
    <row r="125" spans="16:16" x14ac:dyDescent="0.35">
      <c r="P125" s="42"/>
    </row>
    <row r="126" spans="16:16" x14ac:dyDescent="0.35">
      <c r="P126" s="42"/>
    </row>
    <row r="127" spans="16:16" x14ac:dyDescent="0.35">
      <c r="P127" s="42"/>
    </row>
    <row r="128" spans="16:16" x14ac:dyDescent="0.35">
      <c r="P128" s="42"/>
    </row>
    <row r="129" spans="16:16" x14ac:dyDescent="0.35">
      <c r="P129" s="42"/>
    </row>
    <row r="130" spans="16:16" x14ac:dyDescent="0.35">
      <c r="P130" s="42"/>
    </row>
    <row r="131" spans="16:16" x14ac:dyDescent="0.35">
      <c r="P131" s="42"/>
    </row>
    <row r="132" spans="16:16" x14ac:dyDescent="0.35">
      <c r="P132" s="42"/>
    </row>
    <row r="133" spans="16:16" x14ac:dyDescent="0.35">
      <c r="P133" s="42"/>
    </row>
    <row r="134" spans="16:16" x14ac:dyDescent="0.35">
      <c r="P134" s="42"/>
    </row>
    <row r="135" spans="16:16" x14ac:dyDescent="0.35">
      <c r="P135" s="42"/>
    </row>
    <row r="136" spans="16:16" x14ac:dyDescent="0.35">
      <c r="P136" s="42"/>
    </row>
    <row r="137" spans="16:16" x14ac:dyDescent="0.35">
      <c r="P137" s="42"/>
    </row>
    <row r="138" spans="16:16" x14ac:dyDescent="0.35">
      <c r="P138" s="42"/>
    </row>
    <row r="139" spans="16:16" x14ac:dyDescent="0.35">
      <c r="P139" s="42"/>
    </row>
    <row r="140" spans="16:16" x14ac:dyDescent="0.35">
      <c r="P140" s="42"/>
    </row>
    <row r="141" spans="16:16" x14ac:dyDescent="0.35">
      <c r="P141" s="42"/>
    </row>
    <row r="142" spans="16:16" x14ac:dyDescent="0.35">
      <c r="P142" s="42"/>
    </row>
    <row r="143" spans="16:16" x14ac:dyDescent="0.35">
      <c r="P143" s="42"/>
    </row>
    <row r="144" spans="16:16" x14ac:dyDescent="0.35">
      <c r="P144" s="42"/>
    </row>
    <row r="145" spans="16:16" x14ac:dyDescent="0.35">
      <c r="P145" s="42"/>
    </row>
    <row r="146" spans="16:16" x14ac:dyDescent="0.35">
      <c r="P146" s="42"/>
    </row>
    <row r="147" spans="16:16" x14ac:dyDescent="0.35">
      <c r="P147" s="42"/>
    </row>
    <row r="148" spans="16:16" x14ac:dyDescent="0.35">
      <c r="P148" s="42"/>
    </row>
    <row r="149" spans="16:16" x14ac:dyDescent="0.35">
      <c r="P149" s="42"/>
    </row>
    <row r="150" spans="16:16" x14ac:dyDescent="0.35">
      <c r="P150" s="42"/>
    </row>
    <row r="151" spans="16:16" x14ac:dyDescent="0.35">
      <c r="P151" s="42"/>
    </row>
    <row r="152" spans="16:16" x14ac:dyDescent="0.35">
      <c r="P152" s="42"/>
    </row>
    <row r="153" spans="16:16" x14ac:dyDescent="0.35">
      <c r="P153" s="42"/>
    </row>
    <row r="154" spans="16:16" x14ac:dyDescent="0.35">
      <c r="P154" s="42"/>
    </row>
    <row r="155" spans="16:16" x14ac:dyDescent="0.35">
      <c r="P155" s="42"/>
    </row>
    <row r="156" spans="16:16" x14ac:dyDescent="0.35">
      <c r="P156" s="42"/>
    </row>
    <row r="157" spans="16:16" x14ac:dyDescent="0.35">
      <c r="P157" s="42"/>
    </row>
    <row r="158" spans="16:16" x14ac:dyDescent="0.35">
      <c r="P158" s="42"/>
    </row>
    <row r="159" spans="16:16" x14ac:dyDescent="0.35">
      <c r="P159" s="42"/>
    </row>
    <row r="160" spans="16:16" x14ac:dyDescent="0.35">
      <c r="P160" s="42"/>
    </row>
    <row r="161" spans="16:16" x14ac:dyDescent="0.35">
      <c r="P161" s="42"/>
    </row>
    <row r="162" spans="16:16" x14ac:dyDescent="0.35">
      <c r="P162" s="42"/>
    </row>
    <row r="163" spans="16:16" x14ac:dyDescent="0.35">
      <c r="P163" s="42"/>
    </row>
    <row r="164" spans="16:16" x14ac:dyDescent="0.35">
      <c r="P164" s="42"/>
    </row>
    <row r="165" spans="16:16" x14ac:dyDescent="0.35">
      <c r="P165" s="42"/>
    </row>
    <row r="166" spans="16:16" x14ac:dyDescent="0.35">
      <c r="P166" s="42"/>
    </row>
    <row r="167" spans="16:16" x14ac:dyDescent="0.35">
      <c r="P167" s="42"/>
    </row>
    <row r="168" spans="16:16" x14ac:dyDescent="0.35">
      <c r="P168" s="42"/>
    </row>
    <row r="169" spans="16:16" x14ac:dyDescent="0.35">
      <c r="P169" s="42"/>
    </row>
    <row r="170" spans="16:16" x14ac:dyDescent="0.35">
      <c r="P170" s="42"/>
    </row>
    <row r="171" spans="16:16" x14ac:dyDescent="0.35">
      <c r="P171" s="42"/>
    </row>
    <row r="172" spans="16:16" x14ac:dyDescent="0.35">
      <c r="P172" s="42"/>
    </row>
    <row r="173" spans="16:16" x14ac:dyDescent="0.35">
      <c r="P173" s="42"/>
    </row>
    <row r="174" spans="16:16" x14ac:dyDescent="0.35">
      <c r="P174" s="42"/>
    </row>
    <row r="175" spans="16:16" x14ac:dyDescent="0.35">
      <c r="P175" s="42"/>
    </row>
    <row r="176" spans="16:16" x14ac:dyDescent="0.35">
      <c r="P176" s="42"/>
    </row>
    <row r="177" spans="16:16" x14ac:dyDescent="0.35">
      <c r="P177" s="42"/>
    </row>
    <row r="178" spans="16:16" x14ac:dyDescent="0.35">
      <c r="P178" s="42"/>
    </row>
    <row r="179" spans="16:16" x14ac:dyDescent="0.35">
      <c r="P179" s="43"/>
    </row>
    <row r="180" spans="16:16" x14ac:dyDescent="0.35">
      <c r="P180" s="42"/>
    </row>
    <row r="181" spans="16:16" x14ac:dyDescent="0.35">
      <c r="P181" s="42"/>
    </row>
    <row r="182" spans="16:16" x14ac:dyDescent="0.35">
      <c r="P182" s="42"/>
    </row>
    <row r="183" spans="16:16" x14ac:dyDescent="0.35">
      <c r="P183" s="42"/>
    </row>
    <row r="184" spans="16:16" x14ac:dyDescent="0.35">
      <c r="P184" s="42"/>
    </row>
    <row r="185" spans="16:16" x14ac:dyDescent="0.35">
      <c r="P185" s="42"/>
    </row>
    <row r="186" spans="16:16" x14ac:dyDescent="0.35">
      <c r="P186" s="42"/>
    </row>
    <row r="187" spans="16:16" x14ac:dyDescent="0.35">
      <c r="P187" s="42"/>
    </row>
    <row r="188" spans="16:16" x14ac:dyDescent="0.35">
      <c r="P188" s="42"/>
    </row>
    <row r="189" spans="16:16" x14ac:dyDescent="0.35">
      <c r="P189" s="42"/>
    </row>
    <row r="190" spans="16:16" x14ac:dyDescent="0.35">
      <c r="P190" s="42"/>
    </row>
    <row r="191" spans="16:16" x14ac:dyDescent="0.35">
      <c r="P191" s="42"/>
    </row>
    <row r="192" spans="16:16" x14ac:dyDescent="0.35">
      <c r="P192" s="42"/>
    </row>
    <row r="193" spans="16:16" x14ac:dyDescent="0.35">
      <c r="P193" s="42"/>
    </row>
    <row r="194" spans="16:16" x14ac:dyDescent="0.35">
      <c r="P194" s="42"/>
    </row>
    <row r="195" spans="16:16" x14ac:dyDescent="0.35">
      <c r="P195" s="42"/>
    </row>
    <row r="196" spans="16:16" x14ac:dyDescent="0.35">
      <c r="P196" s="42"/>
    </row>
    <row r="197" spans="16:16" x14ac:dyDescent="0.35">
      <c r="P197" s="42"/>
    </row>
    <row r="198" spans="16:16" x14ac:dyDescent="0.35">
      <c r="P198" s="42"/>
    </row>
    <row r="199" spans="16:16" x14ac:dyDescent="0.35">
      <c r="P199" s="42"/>
    </row>
    <row r="200" spans="16:16" x14ac:dyDescent="0.35">
      <c r="P200" s="42"/>
    </row>
    <row r="201" spans="16:16" x14ac:dyDescent="0.35">
      <c r="P201" s="42"/>
    </row>
    <row r="202" spans="16:16" x14ac:dyDescent="0.35">
      <c r="P202" s="42"/>
    </row>
    <row r="203" spans="16:16" x14ac:dyDescent="0.35">
      <c r="P203" s="42"/>
    </row>
    <row r="204" spans="16:16" x14ac:dyDescent="0.35">
      <c r="P204" s="42"/>
    </row>
    <row r="205" spans="16:16" x14ac:dyDescent="0.35">
      <c r="P205" s="42"/>
    </row>
    <row r="206" spans="16:16" x14ac:dyDescent="0.35">
      <c r="P206" s="42"/>
    </row>
    <row r="207" spans="16:16" x14ac:dyDescent="0.3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topLeftCell="A6" zoomScaleNormal="100" workbookViewId="0">
      <selection activeCell="D76" sqref="D76"/>
    </sheetView>
  </sheetViews>
  <sheetFormatPr defaultColWidth="9.1796875" defaultRowHeight="14.5" x14ac:dyDescent="0.35"/>
  <cols>
    <col min="1" max="1" width="10.81640625" style="1" customWidth="1"/>
    <col min="2" max="3" width="13.81640625" style="1" customWidth="1"/>
    <col min="4" max="4" width="22.81640625" style="1" customWidth="1"/>
    <col min="5" max="5" width="12" style="1" customWidth="1"/>
    <col min="6" max="6" width="14" style="1" customWidth="1"/>
    <col min="7" max="7" width="14.54296875" style="1" customWidth="1"/>
    <col min="8" max="8" width="19.1796875" style="1" customWidth="1"/>
    <col min="9" max="9" width="14.1796875" style="1" customWidth="1"/>
    <col min="10" max="10" width="11.81640625" style="1" customWidth="1"/>
    <col min="11" max="11" width="17.54296875" style="1" customWidth="1"/>
    <col min="12" max="12" width="12.81640625" style="1" customWidth="1"/>
    <col min="13" max="13" width="18.453125" style="1" customWidth="1"/>
    <col min="14" max="14" width="15.1796875" style="1" customWidth="1"/>
    <col min="15" max="15" width="29.81640625" style="1" customWidth="1"/>
    <col min="16" max="16" width="23.81640625" style="1" customWidth="1"/>
    <col min="17" max="17" width="2.54296875" style="1" customWidth="1"/>
    <col min="18" max="18" width="11.81640625" style="1" customWidth="1"/>
    <col min="19" max="19" width="10.81640625" style="1" customWidth="1"/>
    <col min="20" max="20" width="14.81640625" style="1" customWidth="1"/>
    <col min="21" max="21" width="13.1796875" style="1" customWidth="1"/>
    <col min="22" max="16384" width="9.1796875" style="1"/>
  </cols>
  <sheetData>
    <row r="1" spans="1:21" ht="44" thickBot="1" x14ac:dyDescent="0.4">
      <c r="A1" s="115" t="s">
        <v>0</v>
      </c>
      <c r="B1" s="116" t="s">
        <v>1</v>
      </c>
      <c r="C1" s="116" t="s">
        <v>32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33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45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29" t="s">
        <v>15</v>
      </c>
      <c r="S2" s="230"/>
      <c r="T2" s="230"/>
      <c r="U2" s="231"/>
    </row>
    <row r="3" spans="1:21" ht="15" customHeight="1" x14ac:dyDescent="0.45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1</v>
      </c>
      <c r="U4" s="39">
        <f>T4/S4</f>
        <v>1.3888888888888888E-2</v>
      </c>
    </row>
    <row r="5" spans="1:21" ht="15" customHeight="1" x14ac:dyDescent="0.45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45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45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45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45">
      <c r="A9" s="23">
        <v>3238</v>
      </c>
      <c r="B9" s="40"/>
      <c r="C9" s="40"/>
      <c r="D9" s="37"/>
      <c r="E9" s="37"/>
      <c r="F9" s="37"/>
      <c r="G9" s="37"/>
      <c r="H9" s="37"/>
      <c r="I9" s="12"/>
      <c r="J9" s="12"/>
      <c r="K9" s="12"/>
      <c r="L9" s="12"/>
      <c r="M9" s="12"/>
      <c r="N9" s="37"/>
      <c r="O9" s="40"/>
      <c r="P9" s="37"/>
    </row>
    <row r="10" spans="1:21" ht="15" customHeight="1" x14ac:dyDescent="0.45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45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5">
      <c r="A12" s="32">
        <v>3241</v>
      </c>
      <c r="B12" s="38"/>
      <c r="C12" s="38"/>
      <c r="D12" s="37"/>
      <c r="E12" s="37"/>
      <c r="F12" s="37"/>
      <c r="G12" s="37"/>
      <c r="H12" s="37"/>
      <c r="I12" s="12"/>
      <c r="J12" s="12"/>
      <c r="K12" s="12"/>
      <c r="L12" s="12"/>
      <c r="M12" s="12"/>
      <c r="N12" s="37"/>
      <c r="O12" s="38"/>
      <c r="P12" s="37"/>
    </row>
    <row r="13" spans="1:21" ht="15" customHeight="1" x14ac:dyDescent="0.45">
      <c r="A13" s="3">
        <v>3242</v>
      </c>
      <c r="B13" s="44"/>
      <c r="C13" s="44"/>
      <c r="D13" s="37"/>
      <c r="E13" s="37"/>
      <c r="F13" s="37"/>
      <c r="G13" s="37"/>
      <c r="H13" s="37"/>
      <c r="I13" s="12"/>
      <c r="J13" s="12"/>
      <c r="K13" s="12"/>
      <c r="L13" s="12"/>
      <c r="M13" s="12"/>
      <c r="N13" s="37"/>
      <c r="O13" s="44"/>
      <c r="P13" s="37"/>
    </row>
    <row r="14" spans="1:21" ht="15" customHeight="1" x14ac:dyDescent="0.45">
      <c r="A14" s="33">
        <v>3243</v>
      </c>
      <c r="B14" s="40"/>
      <c r="C14" s="40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45">
      <c r="A15" s="33">
        <v>3244</v>
      </c>
      <c r="B15" s="40"/>
      <c r="C15" s="40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45">
      <c r="A16" s="33">
        <v>3245</v>
      </c>
      <c r="B16" s="40"/>
      <c r="C16" s="40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45">
      <c r="A17" s="33">
        <v>3246</v>
      </c>
      <c r="B17" s="38"/>
      <c r="C17" s="38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45">
      <c r="A18" s="33">
        <v>3247</v>
      </c>
      <c r="B18" s="40"/>
      <c r="C18" s="40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45">
      <c r="A19" s="33">
        <v>3248</v>
      </c>
      <c r="B19" s="40"/>
      <c r="C19" s="40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45">
      <c r="A20" s="33">
        <v>3250</v>
      </c>
      <c r="B20" s="40"/>
      <c r="C20" s="40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45">
      <c r="A21" s="33">
        <v>3251</v>
      </c>
      <c r="B21" s="40"/>
      <c r="C21" s="40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45">
      <c r="A22" s="33">
        <v>3252</v>
      </c>
      <c r="B22" s="40"/>
      <c r="C22" s="40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5">
      <c r="A23" s="34">
        <v>3253</v>
      </c>
      <c r="B23" s="40"/>
      <c r="C23" s="40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45">
      <c r="A24" s="3">
        <v>3254</v>
      </c>
      <c r="B24" s="40"/>
      <c r="C24" s="40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45">
      <c r="A25" s="33">
        <v>3255</v>
      </c>
      <c r="B25" s="38"/>
      <c r="C25" s="38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45">
      <c r="A26" s="33">
        <v>3256</v>
      </c>
      <c r="B26" s="44"/>
      <c r="C26" s="44"/>
      <c r="D26" s="37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45">
      <c r="A27" s="33">
        <v>3258</v>
      </c>
      <c r="B27" s="40"/>
      <c r="C27" s="40"/>
      <c r="D27" s="37"/>
      <c r="E27" s="37"/>
      <c r="F27" s="37"/>
      <c r="G27" s="37"/>
      <c r="H27" s="37"/>
      <c r="I27" s="12"/>
      <c r="J27" s="12"/>
      <c r="K27" s="12"/>
      <c r="L27" s="12"/>
      <c r="M27" s="12"/>
      <c r="N27" s="37"/>
      <c r="O27" s="40"/>
      <c r="P27" s="37"/>
    </row>
    <row r="28" spans="1:16" ht="15" customHeight="1" x14ac:dyDescent="0.45">
      <c r="A28" s="33">
        <v>3259</v>
      </c>
      <c r="B28" s="40"/>
      <c r="C28" s="40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45">
      <c r="A29" s="33">
        <v>3260</v>
      </c>
      <c r="B29" s="40"/>
      <c r="C29" s="13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45">
      <c r="A30" s="33">
        <v>3261</v>
      </c>
      <c r="B30" s="38"/>
      <c r="D30" s="124"/>
      <c r="E30" s="125"/>
      <c r="F30" s="125"/>
      <c r="G30" s="125"/>
      <c r="H30" s="125"/>
      <c r="I30" s="126"/>
      <c r="J30" s="126"/>
      <c r="K30" s="126"/>
      <c r="L30" s="126"/>
      <c r="M30" s="126"/>
      <c r="N30" s="127"/>
      <c r="O30" s="38"/>
      <c r="P30" s="125"/>
    </row>
    <row r="31" spans="1:16" ht="15" customHeight="1" x14ac:dyDescent="0.45">
      <c r="A31" s="33">
        <v>3262</v>
      </c>
      <c r="B31" s="40"/>
      <c r="C31" s="10"/>
      <c r="D31" s="10"/>
      <c r="E31" s="10"/>
      <c r="F31" s="10"/>
      <c r="G31" s="10"/>
      <c r="H31" s="10"/>
      <c r="I31" s="11"/>
      <c r="J31" s="11"/>
      <c r="K31" s="11"/>
      <c r="L31" s="11"/>
      <c r="M31" s="11"/>
      <c r="N31" s="40"/>
      <c r="O31" s="40"/>
      <c r="P31" s="10"/>
    </row>
    <row r="32" spans="1:16" ht="15" customHeight="1" x14ac:dyDescent="0.45">
      <c r="A32" s="33">
        <v>3263</v>
      </c>
      <c r="B32" s="40"/>
      <c r="C32" s="40"/>
      <c r="D32" s="37"/>
      <c r="E32" s="37"/>
      <c r="F32" s="37"/>
      <c r="G32" s="37"/>
      <c r="H32" s="37"/>
      <c r="I32" s="12"/>
      <c r="J32" s="12"/>
      <c r="K32" s="12"/>
      <c r="L32" s="12"/>
      <c r="M32" s="12"/>
      <c r="N32" s="37"/>
      <c r="O32" s="40"/>
      <c r="P32" s="37"/>
    </row>
    <row r="33" spans="1:16" ht="15" customHeight="1" x14ac:dyDescent="0.45">
      <c r="A33" s="33">
        <v>3264</v>
      </c>
      <c r="B33" s="40"/>
      <c r="C33" s="40"/>
      <c r="D33" s="37"/>
      <c r="E33" s="37"/>
      <c r="F33" s="37"/>
      <c r="G33" s="37"/>
      <c r="H33" s="37"/>
      <c r="I33" s="12"/>
      <c r="J33" s="12"/>
      <c r="K33" s="12"/>
      <c r="L33" s="12"/>
      <c r="M33" s="12"/>
      <c r="N33" s="37"/>
      <c r="O33" s="40"/>
      <c r="P33" s="37"/>
    </row>
    <row r="34" spans="1:16" ht="15" customHeight="1" thickBot="1" x14ac:dyDescent="0.5">
      <c r="A34" s="34">
        <v>3265</v>
      </c>
      <c r="B34" s="40"/>
      <c r="C34" s="40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45">
      <c r="A35" s="3">
        <v>3266</v>
      </c>
      <c r="B35" s="40"/>
      <c r="C35" s="40"/>
      <c r="D35" s="37"/>
      <c r="E35" s="37"/>
      <c r="F35" s="37"/>
      <c r="G35" s="37"/>
      <c r="H35" s="37"/>
      <c r="I35" s="12"/>
      <c r="J35" s="12"/>
      <c r="K35" s="12"/>
      <c r="L35" s="12"/>
      <c r="M35" s="12"/>
      <c r="N35" s="37"/>
      <c r="O35" s="40"/>
      <c r="P35" s="37"/>
    </row>
    <row r="36" spans="1:16" ht="15" customHeight="1" x14ac:dyDescent="0.45">
      <c r="A36" s="33">
        <v>3267</v>
      </c>
      <c r="B36" s="40"/>
      <c r="C36" s="40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45">
      <c r="A37" s="33">
        <v>3299</v>
      </c>
      <c r="B37" s="40"/>
      <c r="C37" s="40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45">
      <c r="A38" s="33">
        <v>3531</v>
      </c>
      <c r="B38" s="38"/>
      <c r="C38" s="38"/>
      <c r="D38" s="37"/>
      <c r="E38" s="5"/>
      <c r="F38" s="5"/>
      <c r="G38" s="5"/>
      <c r="H38" s="5"/>
      <c r="I38" s="7"/>
      <c r="J38" s="7"/>
      <c r="K38" s="7"/>
      <c r="L38" s="7"/>
      <c r="M38" s="7"/>
      <c r="N38" s="31"/>
      <c r="O38" s="38"/>
      <c r="P38" s="5"/>
    </row>
    <row r="39" spans="1:16" ht="15" customHeight="1" x14ac:dyDescent="0.45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45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45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45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45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45">
      <c r="A44" s="33">
        <v>3537</v>
      </c>
      <c r="B44" s="40"/>
      <c r="C44" s="40"/>
      <c r="D44" s="37"/>
      <c r="E44" s="37"/>
      <c r="F44" s="37"/>
      <c r="G44" s="37"/>
      <c r="H44" s="37"/>
      <c r="I44" s="12"/>
      <c r="J44" s="12"/>
      <c r="K44" s="12"/>
      <c r="L44" s="12"/>
      <c r="M44" s="12"/>
      <c r="N44" s="37"/>
      <c r="O44" s="40"/>
      <c r="P44" s="37"/>
    </row>
    <row r="45" spans="1:16" ht="15" customHeight="1" thickBot="1" x14ac:dyDescent="0.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45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45">
      <c r="A47" s="33">
        <v>3541</v>
      </c>
      <c r="B47" s="44"/>
      <c r="C47" s="106"/>
      <c r="D47" s="12"/>
      <c r="E47" s="5"/>
      <c r="F47" s="5"/>
      <c r="G47" s="5"/>
      <c r="H47" s="5"/>
      <c r="I47" s="7"/>
      <c r="J47" s="7"/>
      <c r="K47" s="7"/>
      <c r="L47" s="7"/>
      <c r="M47" s="7"/>
      <c r="N47" s="31"/>
      <c r="O47" s="44"/>
      <c r="P47" s="5"/>
    </row>
    <row r="48" spans="1:16" ht="15" customHeight="1" x14ac:dyDescent="0.45">
      <c r="A48" s="33">
        <v>3542</v>
      </c>
      <c r="B48" s="40"/>
      <c r="C48" s="40"/>
      <c r="D48" s="37"/>
      <c r="E48" s="37"/>
      <c r="F48" s="37"/>
      <c r="G48" s="37"/>
      <c r="H48" s="37"/>
      <c r="I48" s="12"/>
      <c r="J48" s="12"/>
      <c r="K48" s="12"/>
      <c r="L48" s="12"/>
      <c r="M48" s="12"/>
      <c r="N48" s="37"/>
      <c r="O48" s="40"/>
      <c r="P48" s="37"/>
    </row>
    <row r="49" spans="1:16" ht="15" customHeight="1" x14ac:dyDescent="0.45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45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45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45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45">
      <c r="A53" s="33">
        <v>3547</v>
      </c>
      <c r="B53" s="40"/>
      <c r="C53" s="40"/>
      <c r="D53" s="37"/>
      <c r="E53" s="37"/>
      <c r="F53" s="37"/>
      <c r="G53" s="37"/>
      <c r="H53" s="37"/>
      <c r="I53" s="12"/>
      <c r="J53" s="12"/>
      <c r="K53" s="12"/>
      <c r="L53" s="12"/>
      <c r="M53" s="12"/>
      <c r="N53" s="37"/>
      <c r="O53" s="40"/>
      <c r="P53" s="37"/>
    </row>
    <row r="54" spans="1:16" ht="15" customHeight="1" x14ac:dyDescent="0.45">
      <c r="A54" s="33">
        <v>3548</v>
      </c>
      <c r="B54" s="40"/>
      <c r="C54" s="40"/>
      <c r="D54" s="37"/>
      <c r="E54" s="37"/>
      <c r="F54" s="37"/>
      <c r="G54" s="37"/>
      <c r="H54" s="37"/>
      <c r="I54" s="12"/>
      <c r="J54" s="12"/>
      <c r="K54" s="12"/>
      <c r="L54" s="12"/>
      <c r="M54" s="12"/>
      <c r="N54" s="37"/>
      <c r="O54" s="40"/>
      <c r="P54" s="37"/>
    </row>
    <row r="55" spans="1:16" ht="15" customHeight="1" x14ac:dyDescent="0.45">
      <c r="A55" s="33">
        <v>3549</v>
      </c>
      <c r="B55" s="40"/>
      <c r="C55" s="40"/>
      <c r="D55" s="37"/>
      <c r="E55" s="37"/>
      <c r="F55" s="37"/>
      <c r="G55" s="37"/>
      <c r="H55" s="37"/>
      <c r="I55" s="12"/>
      <c r="J55" s="12"/>
      <c r="K55" s="12"/>
      <c r="L55" s="12"/>
      <c r="M55" s="12"/>
      <c r="N55" s="37"/>
      <c r="O55" s="40"/>
      <c r="P55" s="37"/>
    </row>
    <row r="56" spans="1:16" ht="15" customHeight="1" thickBot="1" x14ac:dyDescent="0.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45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45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45">
      <c r="A59" s="33">
        <v>3553</v>
      </c>
      <c r="B59" s="44"/>
      <c r="C59" s="44"/>
      <c r="D59" s="37"/>
      <c r="E59" s="37"/>
      <c r="F59" s="37"/>
      <c r="G59" s="37"/>
      <c r="H59" s="37"/>
      <c r="I59" s="12"/>
      <c r="J59" s="12"/>
      <c r="K59" s="12"/>
      <c r="L59" s="12"/>
      <c r="M59" s="12"/>
      <c r="N59" s="37"/>
      <c r="O59" s="40"/>
      <c r="P59" s="37"/>
    </row>
    <row r="60" spans="1:16" ht="15" customHeight="1" x14ac:dyDescent="0.45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45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45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45">
      <c r="A63" s="33">
        <v>3557</v>
      </c>
      <c r="B63" s="91"/>
      <c r="C63" s="171"/>
      <c r="D63" s="35"/>
      <c r="E63" s="17"/>
      <c r="F63" s="17"/>
      <c r="G63" s="17"/>
      <c r="H63" s="17"/>
      <c r="I63" s="18"/>
      <c r="J63" s="18"/>
      <c r="K63" s="18"/>
      <c r="L63" s="18"/>
      <c r="M63" s="18"/>
      <c r="N63" s="38"/>
      <c r="O63" s="54"/>
      <c r="P63" s="17"/>
    </row>
    <row r="64" spans="1:16" ht="15" customHeight="1" x14ac:dyDescent="0.45">
      <c r="A64" s="33">
        <v>3558</v>
      </c>
      <c r="B64" s="44"/>
      <c r="C64" s="44"/>
      <c r="D64" s="22"/>
      <c r="E64" s="37"/>
      <c r="F64" s="37"/>
      <c r="G64" s="37"/>
      <c r="H64" s="37"/>
      <c r="I64" s="12"/>
      <c r="J64" s="12"/>
      <c r="K64" s="12"/>
      <c r="L64" s="12"/>
      <c r="M64" s="12"/>
      <c r="N64" s="37"/>
      <c r="O64" s="40"/>
      <c r="P64" s="37"/>
    </row>
    <row r="65" spans="1:16" ht="15" customHeight="1" thickBot="1" x14ac:dyDescent="0.5">
      <c r="A65" s="33">
        <v>3559</v>
      </c>
      <c r="B65" s="40"/>
      <c r="C65" s="40"/>
      <c r="D65" s="35"/>
      <c r="E65" s="35"/>
      <c r="F65" s="35"/>
      <c r="G65" s="35"/>
      <c r="H65" s="35"/>
      <c r="I65" s="14"/>
      <c r="J65" s="14"/>
      <c r="K65" s="14"/>
      <c r="L65" s="14"/>
      <c r="M65" s="14"/>
      <c r="N65" s="40"/>
      <c r="O65" s="40"/>
      <c r="P65" s="35"/>
    </row>
    <row r="66" spans="1:16" ht="15" customHeight="1" x14ac:dyDescent="0.45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45">
      <c r="A67" s="20">
        <v>3561</v>
      </c>
      <c r="B67" s="92">
        <v>45890</v>
      </c>
      <c r="C67" s="170"/>
      <c r="D67" s="37">
        <v>2</v>
      </c>
      <c r="E67" s="37">
        <v>25</v>
      </c>
      <c r="F67" s="37">
        <v>25</v>
      </c>
      <c r="G67" s="37">
        <v>0</v>
      </c>
      <c r="H67" s="37">
        <v>0</v>
      </c>
      <c r="I67" s="12"/>
      <c r="J67" s="12"/>
      <c r="K67" s="12"/>
      <c r="L67" s="12"/>
      <c r="M67" s="12" t="s">
        <v>29</v>
      </c>
      <c r="N67" s="37" t="s">
        <v>38</v>
      </c>
      <c r="O67" s="53">
        <v>45890.080000000002</v>
      </c>
      <c r="P67" s="37">
        <v>3561</v>
      </c>
    </row>
    <row r="68" spans="1:16" ht="18.5" x14ac:dyDescent="0.45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5" x14ac:dyDescent="0.45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5" x14ac:dyDescent="0.45">
      <c r="A70" s="20">
        <v>3564</v>
      </c>
      <c r="B70" s="40"/>
      <c r="C70" s="40"/>
      <c r="D70" s="37"/>
      <c r="E70" s="5"/>
      <c r="F70" s="5"/>
      <c r="G70" s="5"/>
      <c r="H70" s="5"/>
      <c r="I70" s="7"/>
      <c r="J70" s="7"/>
      <c r="K70" s="7"/>
      <c r="L70" s="7"/>
      <c r="M70" s="7"/>
      <c r="N70" s="31"/>
      <c r="O70" s="40"/>
      <c r="P70" s="5"/>
    </row>
    <row r="71" spans="1:16" ht="18.5" x14ac:dyDescent="0.45">
      <c r="A71" s="20">
        <v>3565</v>
      </c>
      <c r="B71" s="38"/>
      <c r="C71" s="38"/>
      <c r="D71" s="37"/>
      <c r="E71" s="37"/>
      <c r="F71" s="37"/>
      <c r="G71" s="37"/>
      <c r="H71" s="37"/>
      <c r="I71" s="12"/>
      <c r="J71" s="12"/>
      <c r="K71" s="12"/>
      <c r="L71" s="12"/>
      <c r="M71" s="12"/>
      <c r="N71" s="37"/>
      <c r="O71" s="40"/>
      <c r="P71" s="37"/>
    </row>
    <row r="72" spans="1:16" ht="18.5" x14ac:dyDescent="0.45">
      <c r="A72" s="20">
        <v>3566</v>
      </c>
      <c r="B72" s="40"/>
      <c r="C72" s="40"/>
      <c r="D72" s="37"/>
      <c r="E72" s="37"/>
      <c r="F72" s="37"/>
      <c r="G72" s="37"/>
      <c r="H72" s="37"/>
      <c r="I72" s="12"/>
      <c r="J72" s="12"/>
      <c r="K72" s="12"/>
      <c r="L72" s="12"/>
      <c r="M72" s="12"/>
      <c r="N72" s="37"/>
      <c r="O72" s="40"/>
      <c r="P72" s="37"/>
    </row>
    <row r="73" spans="1:16" ht="18.5" x14ac:dyDescent="0.45">
      <c r="A73" s="109">
        <v>3567</v>
      </c>
      <c r="B73" s="110"/>
      <c r="C73" s="110"/>
      <c r="D73" s="111"/>
      <c r="E73" s="111"/>
      <c r="F73" s="111"/>
      <c r="G73" s="111"/>
      <c r="H73" s="111"/>
      <c r="I73" s="112"/>
      <c r="J73" s="112"/>
      <c r="K73" s="112"/>
      <c r="L73" s="112"/>
      <c r="M73" s="112"/>
      <c r="N73" s="113"/>
      <c r="O73" s="114"/>
      <c r="P73" s="113"/>
    </row>
    <row r="74" spans="1:16" x14ac:dyDescent="0.35">
      <c r="P74" s="42"/>
    </row>
    <row r="75" spans="1:16" x14ac:dyDescent="0.35">
      <c r="P75" s="42"/>
    </row>
    <row r="76" spans="1:16" x14ac:dyDescent="0.35">
      <c r="P76" s="42"/>
    </row>
    <row r="77" spans="1:16" x14ac:dyDescent="0.35">
      <c r="P77" s="42"/>
    </row>
    <row r="78" spans="1:16" x14ac:dyDescent="0.35">
      <c r="P78" s="42"/>
    </row>
    <row r="79" spans="1:16" x14ac:dyDescent="0.35">
      <c r="P79" s="42"/>
    </row>
    <row r="80" spans="1:16" x14ac:dyDescent="0.35">
      <c r="P80" s="42"/>
    </row>
    <row r="81" spans="16:16" x14ac:dyDescent="0.35">
      <c r="P81" s="42"/>
    </row>
    <row r="82" spans="16:16" x14ac:dyDescent="0.35">
      <c r="P82" s="42"/>
    </row>
    <row r="83" spans="16:16" x14ac:dyDescent="0.35">
      <c r="P83" s="42"/>
    </row>
    <row r="84" spans="16:16" x14ac:dyDescent="0.35">
      <c r="P84" s="42"/>
    </row>
    <row r="85" spans="16:16" x14ac:dyDescent="0.35">
      <c r="P85" s="42"/>
    </row>
    <row r="86" spans="16:16" x14ac:dyDescent="0.35">
      <c r="P86" s="42"/>
    </row>
    <row r="87" spans="16:16" x14ac:dyDescent="0.35">
      <c r="P87" s="42"/>
    </row>
    <row r="88" spans="16:16" x14ac:dyDescent="0.35">
      <c r="P88" s="42"/>
    </row>
    <row r="89" spans="16:16" x14ac:dyDescent="0.35">
      <c r="P89" s="42"/>
    </row>
    <row r="90" spans="16:16" x14ac:dyDescent="0.35">
      <c r="P90" s="42"/>
    </row>
    <row r="91" spans="16:16" x14ac:dyDescent="0.35">
      <c r="P91" s="42"/>
    </row>
    <row r="92" spans="16:16" x14ac:dyDescent="0.35">
      <c r="P92" s="42"/>
    </row>
    <row r="93" spans="16:16" x14ac:dyDescent="0.35">
      <c r="P93" s="42"/>
    </row>
    <row r="94" spans="16:16" x14ac:dyDescent="0.35">
      <c r="P94" s="42"/>
    </row>
    <row r="95" spans="16:16" x14ac:dyDescent="0.35">
      <c r="P95" s="42"/>
    </row>
    <row r="96" spans="16:16" x14ac:dyDescent="0.35">
      <c r="P96" s="43"/>
    </row>
    <row r="97" spans="16:16" x14ac:dyDescent="0.35">
      <c r="P97" s="42"/>
    </row>
    <row r="98" spans="16:16" x14ac:dyDescent="0.35">
      <c r="P98" s="42"/>
    </row>
    <row r="99" spans="16:16" x14ac:dyDescent="0.35">
      <c r="P99" s="42"/>
    </row>
    <row r="100" spans="16:16" x14ac:dyDescent="0.35">
      <c r="P100" s="42"/>
    </row>
    <row r="101" spans="16:16" x14ac:dyDescent="0.35">
      <c r="P101" s="42"/>
    </row>
    <row r="102" spans="16:16" x14ac:dyDescent="0.35">
      <c r="P102" s="42"/>
    </row>
    <row r="103" spans="16:16" x14ac:dyDescent="0.35">
      <c r="P103" s="42"/>
    </row>
    <row r="104" spans="16:16" x14ac:dyDescent="0.35">
      <c r="P104" s="42"/>
    </row>
    <row r="105" spans="16:16" x14ac:dyDescent="0.35">
      <c r="P105" s="42"/>
    </row>
    <row r="106" spans="16:16" x14ac:dyDescent="0.35">
      <c r="P106" s="42"/>
    </row>
    <row r="107" spans="16:16" x14ac:dyDescent="0.35">
      <c r="P107" s="42"/>
    </row>
    <row r="108" spans="16:16" x14ac:dyDescent="0.35">
      <c r="P108" s="42"/>
    </row>
    <row r="109" spans="16:16" x14ac:dyDescent="0.35">
      <c r="P109" s="42"/>
    </row>
    <row r="110" spans="16:16" x14ac:dyDescent="0.35">
      <c r="P110" s="42"/>
    </row>
    <row r="111" spans="16:16" x14ac:dyDescent="0.35">
      <c r="P111" s="42"/>
    </row>
    <row r="112" spans="16:16" x14ac:dyDescent="0.35">
      <c r="P112" s="42"/>
    </row>
    <row r="113" spans="16:16" x14ac:dyDescent="0.35">
      <c r="P113" s="42"/>
    </row>
    <row r="114" spans="16:16" x14ac:dyDescent="0.35">
      <c r="P114" s="42"/>
    </row>
    <row r="115" spans="16:16" x14ac:dyDescent="0.35">
      <c r="P115" s="42"/>
    </row>
    <row r="116" spans="16:16" x14ac:dyDescent="0.35">
      <c r="P116" s="42"/>
    </row>
    <row r="117" spans="16:16" x14ac:dyDescent="0.35">
      <c r="P117" s="42"/>
    </row>
    <row r="118" spans="16:16" x14ac:dyDescent="0.35">
      <c r="P118" s="42"/>
    </row>
    <row r="119" spans="16:16" x14ac:dyDescent="0.35">
      <c r="P119" s="42"/>
    </row>
    <row r="120" spans="16:16" x14ac:dyDescent="0.35">
      <c r="P120" s="42"/>
    </row>
    <row r="121" spans="16:16" x14ac:dyDescent="0.35">
      <c r="P121" s="42"/>
    </row>
    <row r="122" spans="16:16" x14ac:dyDescent="0.35">
      <c r="P122" s="42"/>
    </row>
    <row r="123" spans="16:16" x14ac:dyDescent="0.35">
      <c r="P123" s="42"/>
    </row>
    <row r="124" spans="16:16" x14ac:dyDescent="0.35">
      <c r="P124" s="42"/>
    </row>
    <row r="125" spans="16:16" x14ac:dyDescent="0.35">
      <c r="P125" s="42"/>
    </row>
    <row r="126" spans="16:16" x14ac:dyDescent="0.35">
      <c r="P126" s="42"/>
    </row>
    <row r="127" spans="16:16" x14ac:dyDescent="0.35">
      <c r="P127" s="42"/>
    </row>
    <row r="128" spans="16:16" x14ac:dyDescent="0.35">
      <c r="P128" s="42"/>
    </row>
    <row r="129" spans="16:16" x14ac:dyDescent="0.35">
      <c r="P129" s="42"/>
    </row>
    <row r="130" spans="16:16" x14ac:dyDescent="0.35">
      <c r="P130" s="42"/>
    </row>
    <row r="131" spans="16:16" x14ac:dyDescent="0.35">
      <c r="P131" s="42"/>
    </row>
    <row r="132" spans="16:16" x14ac:dyDescent="0.35">
      <c r="P132" s="42"/>
    </row>
    <row r="133" spans="16:16" x14ac:dyDescent="0.35">
      <c r="P133" s="42"/>
    </row>
    <row r="134" spans="16:16" x14ac:dyDescent="0.35">
      <c r="P134" s="42"/>
    </row>
    <row r="135" spans="16:16" x14ac:dyDescent="0.35">
      <c r="P135" s="42"/>
    </row>
    <row r="136" spans="16:16" x14ac:dyDescent="0.35">
      <c r="P136" s="42"/>
    </row>
    <row r="137" spans="16:16" x14ac:dyDescent="0.35">
      <c r="P137" s="42"/>
    </row>
    <row r="138" spans="16:16" x14ac:dyDescent="0.35">
      <c r="P138" s="42"/>
    </row>
    <row r="139" spans="16:16" x14ac:dyDescent="0.35">
      <c r="P139" s="42"/>
    </row>
    <row r="140" spans="16:16" x14ac:dyDescent="0.35">
      <c r="P140" s="42"/>
    </row>
    <row r="141" spans="16:16" x14ac:dyDescent="0.35">
      <c r="P141" s="42"/>
    </row>
    <row r="142" spans="16:16" x14ac:dyDescent="0.35">
      <c r="P142" s="42"/>
    </row>
    <row r="143" spans="16:16" x14ac:dyDescent="0.35">
      <c r="P143" s="42"/>
    </row>
    <row r="144" spans="16:16" x14ac:dyDescent="0.35">
      <c r="P144" s="42"/>
    </row>
    <row r="145" spans="16:16" x14ac:dyDescent="0.35">
      <c r="P145" s="42"/>
    </row>
    <row r="146" spans="16:16" x14ac:dyDescent="0.35">
      <c r="P146" s="42"/>
    </row>
    <row r="147" spans="16:16" x14ac:dyDescent="0.35">
      <c r="P147" s="42"/>
    </row>
    <row r="148" spans="16:16" x14ac:dyDescent="0.35">
      <c r="P148" s="42"/>
    </row>
    <row r="149" spans="16:16" x14ac:dyDescent="0.35">
      <c r="P149" s="42"/>
    </row>
    <row r="150" spans="16:16" x14ac:dyDescent="0.35">
      <c r="P150" s="42"/>
    </row>
    <row r="151" spans="16:16" x14ac:dyDescent="0.35">
      <c r="P151" s="42"/>
    </row>
    <row r="152" spans="16:16" x14ac:dyDescent="0.35">
      <c r="P152" s="42"/>
    </row>
    <row r="153" spans="16:16" x14ac:dyDescent="0.35">
      <c r="P153" s="42"/>
    </row>
    <row r="154" spans="16:16" x14ac:dyDescent="0.35">
      <c r="P154" s="42"/>
    </row>
    <row r="155" spans="16:16" x14ac:dyDescent="0.35">
      <c r="P155" s="42"/>
    </row>
    <row r="156" spans="16:16" x14ac:dyDescent="0.35">
      <c r="P156" s="42"/>
    </row>
    <row r="157" spans="16:16" x14ac:dyDescent="0.35">
      <c r="P157" s="42"/>
    </row>
    <row r="158" spans="16:16" x14ac:dyDescent="0.35">
      <c r="P158" s="42"/>
    </row>
    <row r="159" spans="16:16" x14ac:dyDescent="0.35">
      <c r="P159" s="42"/>
    </row>
    <row r="160" spans="16:16" x14ac:dyDescent="0.35">
      <c r="P160" s="42"/>
    </row>
    <row r="161" spans="16:16" x14ac:dyDescent="0.35">
      <c r="P161" s="42"/>
    </row>
    <row r="162" spans="16:16" x14ac:dyDescent="0.35">
      <c r="P162" s="42"/>
    </row>
    <row r="163" spans="16:16" x14ac:dyDescent="0.35">
      <c r="P163" s="42"/>
    </row>
    <row r="164" spans="16:16" x14ac:dyDescent="0.35">
      <c r="P164" s="42"/>
    </row>
    <row r="165" spans="16:16" x14ac:dyDescent="0.35">
      <c r="P165" s="42"/>
    </row>
    <row r="166" spans="16:16" x14ac:dyDescent="0.35">
      <c r="P166" s="42"/>
    </row>
    <row r="167" spans="16:16" x14ac:dyDescent="0.35">
      <c r="P167" s="42"/>
    </row>
    <row r="168" spans="16:16" x14ac:dyDescent="0.35">
      <c r="P168" s="42"/>
    </row>
    <row r="169" spans="16:16" x14ac:dyDescent="0.35">
      <c r="P169" s="42"/>
    </row>
    <row r="170" spans="16:16" x14ac:dyDescent="0.35">
      <c r="P170" s="42"/>
    </row>
    <row r="171" spans="16:16" x14ac:dyDescent="0.35">
      <c r="P171" s="42"/>
    </row>
    <row r="172" spans="16:16" x14ac:dyDescent="0.35">
      <c r="P172" s="42"/>
    </row>
    <row r="173" spans="16:16" x14ac:dyDescent="0.35">
      <c r="P173" s="42"/>
    </row>
    <row r="174" spans="16:16" x14ac:dyDescent="0.35">
      <c r="P174" s="42"/>
    </row>
    <row r="175" spans="16:16" x14ac:dyDescent="0.35">
      <c r="P175" s="42"/>
    </row>
    <row r="176" spans="16:16" x14ac:dyDescent="0.35">
      <c r="P176" s="42"/>
    </row>
    <row r="177" spans="16:16" x14ac:dyDescent="0.35">
      <c r="P177" s="42"/>
    </row>
    <row r="178" spans="16:16" x14ac:dyDescent="0.35">
      <c r="P178" s="42"/>
    </row>
    <row r="179" spans="16:16" x14ac:dyDescent="0.35">
      <c r="P179" s="43"/>
    </row>
    <row r="180" spans="16:16" x14ac:dyDescent="0.35">
      <c r="P180" s="42"/>
    </row>
    <row r="181" spans="16:16" x14ac:dyDescent="0.35">
      <c r="P181" s="42"/>
    </row>
    <row r="182" spans="16:16" x14ac:dyDescent="0.35">
      <c r="P182" s="42"/>
    </row>
    <row r="183" spans="16:16" x14ac:dyDescent="0.35">
      <c r="P183" s="42"/>
    </row>
    <row r="184" spans="16:16" x14ac:dyDescent="0.35">
      <c r="P184" s="42"/>
    </row>
    <row r="185" spans="16:16" x14ac:dyDescent="0.35">
      <c r="P185" s="42"/>
    </row>
    <row r="186" spans="16:16" x14ac:dyDescent="0.35">
      <c r="P186" s="42"/>
    </row>
    <row r="187" spans="16:16" x14ac:dyDescent="0.35">
      <c r="P187" s="42"/>
    </row>
    <row r="188" spans="16:16" x14ac:dyDescent="0.35">
      <c r="P188" s="42"/>
    </row>
    <row r="189" spans="16:16" x14ac:dyDescent="0.35">
      <c r="P189" s="42"/>
    </row>
    <row r="190" spans="16:16" x14ac:dyDescent="0.35">
      <c r="P190" s="42"/>
    </row>
    <row r="191" spans="16:16" x14ac:dyDescent="0.35">
      <c r="P191" s="42"/>
    </row>
    <row r="192" spans="16:16" x14ac:dyDescent="0.35">
      <c r="P192" s="42"/>
    </row>
    <row r="193" spans="16:16" x14ac:dyDescent="0.35">
      <c r="P193" s="42"/>
    </row>
    <row r="194" spans="16:16" x14ac:dyDescent="0.35">
      <c r="P194" s="42"/>
    </row>
    <row r="195" spans="16:16" x14ac:dyDescent="0.35">
      <c r="P195" s="42"/>
    </row>
    <row r="196" spans="16:16" x14ac:dyDescent="0.35">
      <c r="P196" s="42"/>
    </row>
    <row r="197" spans="16:16" x14ac:dyDescent="0.35">
      <c r="P197" s="42"/>
    </row>
    <row r="198" spans="16:16" x14ac:dyDescent="0.35">
      <c r="P198" s="42"/>
    </row>
    <row r="199" spans="16:16" x14ac:dyDescent="0.35">
      <c r="P199" s="42"/>
    </row>
    <row r="200" spans="16:16" x14ac:dyDescent="0.35">
      <c r="P200" s="42"/>
    </row>
    <row r="201" spans="16:16" x14ac:dyDescent="0.35">
      <c r="P201" s="42"/>
    </row>
    <row r="202" spans="16:16" x14ac:dyDescent="0.35">
      <c r="P202" s="42"/>
    </row>
    <row r="203" spans="16:16" x14ac:dyDescent="0.35">
      <c r="P203" s="42"/>
    </row>
    <row r="204" spans="16:16" x14ac:dyDescent="0.35">
      <c r="P204" s="42"/>
    </row>
    <row r="205" spans="16:16" x14ac:dyDescent="0.35">
      <c r="P205" s="42"/>
    </row>
    <row r="206" spans="16:16" x14ac:dyDescent="0.35">
      <c r="P206" s="42"/>
    </row>
    <row r="207" spans="16:16" x14ac:dyDescent="0.3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1238A5-3DA6-49C0-9DE6-F132ED09034B}">
  <ds:schemaRefs>
    <ds:schemaRef ds:uri="http://schemas.microsoft.com/office/2006/metadata/properties"/>
    <ds:schemaRef ds:uri="http://schemas.microsoft.com/office/infopath/2007/PartnerControls"/>
    <ds:schemaRef ds:uri="43cd1256-8c39-421c-89a4-31c9d36cb8e2"/>
    <ds:schemaRef ds:uri="8c461ba4-3a4a-43ee-98ff-cd04aa8ad3f5"/>
  </ds:schemaRefs>
</ds:datastoreItem>
</file>

<file path=customXml/itemProps2.xml><?xml version="1.0" encoding="utf-8"?>
<ds:datastoreItem xmlns:ds="http://schemas.openxmlformats.org/officeDocument/2006/customXml" ds:itemID="{3F08BFFB-7921-464F-BF80-E49F8ABE7973}"/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Godfred Bonse</cp:lastModifiedBy>
  <cp:revision/>
  <dcterms:created xsi:type="dcterms:W3CDTF">2021-03-15T19:53:30Z</dcterms:created>
  <dcterms:modified xsi:type="dcterms:W3CDTF">2025-08-26T07:13:15Z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