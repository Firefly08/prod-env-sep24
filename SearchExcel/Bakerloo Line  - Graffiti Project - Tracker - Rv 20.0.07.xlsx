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86" documentId="8_{69F50A0B-BE6F-40F3-950C-ED26896DC7F3}" xr6:coauthVersionLast="47" xr6:coauthVersionMax="47" xr10:uidLastSave="{A080ADE7-0EE3-4ACB-89B6-235A801DA811}"/>
  <bookViews>
    <workbookView xWindow="-110" yWindow="-110" windowWidth="19420" windowHeight="10420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</sheets>
  <definedNames>
    <definedName name="_xlnm._FilterDatabase" localSheetId="0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T4" i="7"/>
  <c r="S4" i="7"/>
  <c r="T4" i="6"/>
  <c r="S4" i="6"/>
  <c r="T4" i="5"/>
  <c r="S4" i="5"/>
  <c r="T4" i="4"/>
  <c r="S4" i="4"/>
  <c r="T4" i="3"/>
  <c r="S4" i="3"/>
  <c r="T4" i="2"/>
  <c r="S4" i="2"/>
  <c r="T4" i="1"/>
  <c r="U4" i="2" l="1"/>
  <c r="U4" i="3"/>
  <c r="U4" i="7"/>
  <c r="U4" i="6"/>
  <c r="U4" i="5"/>
  <c r="U4" i="4"/>
  <c r="U4" i="1"/>
</calcChain>
</file>

<file path=xl/sharedStrings.xml><?xml version="1.0" encoding="utf-8"?>
<sst xmlns="http://schemas.openxmlformats.org/spreadsheetml/2006/main" count="527" uniqueCount="37">
  <si>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</si>
  <si>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</si>
  <si>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</si>
  <si>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</si>
  <si>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</si>
  <si>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</si>
  <si>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</si>
  <si>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</si>
  <si>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</si>
  <si>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</si>
  <si>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</si>
  <si>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</si>
  <si>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</si>
  <si>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</si>
  <si>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</si>
  <si>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</si>
  <si>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</si>
  <si>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Daniela</t>
  </si>
  <si>
    <t>Total Units Completed</t>
  </si>
  <si>
    <t>Total Trains</t>
  </si>
  <si>
    <t>Total Units</t>
  </si>
  <si>
    <t>Units Completed</t>
  </si>
  <si>
    <t>% Completed</t>
  </si>
  <si>
    <t>Stopped</t>
  </si>
  <si>
    <t xml:space="preserve"> </t>
  </si>
  <si>
    <t>27.04.2025</t>
  </si>
  <si>
    <t>13/04/2025</t>
  </si>
  <si>
    <t>04/06/2025</t>
  </si>
  <si>
    <t>15.06.2025</t>
  </si>
  <si>
    <t>Key</t>
  </si>
  <si>
    <t>Stopped Units</t>
  </si>
  <si>
    <t>Units Compled</t>
  </si>
  <si>
    <t>daniela</t>
  </si>
  <si>
    <t>20/07/205</t>
  </si>
  <si>
    <t xml:space="preserve">Stopped </t>
  </si>
  <si>
    <t>DANIELA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</si>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</sst>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9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9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13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4" fillId="10" borderId="0" xfId="0" applyFont="1" applyFill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/>
    </xf>
    <xf numFmtId="0" fontId="4" fillId="10" borderId="10" xfId="0" applyFont="1" applyFill="1" applyBorder="1" applyAlignment="1" applyProtection="1">
      <alignment horizontal="center"/>
      <protection locked="0"/>
    </xf>
    <xf numFmtId="0" fontId="4" fillId="10" borderId="14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1" fillId="2" borderId="1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>
      <alignment horizontal="left" vertical="top" wrapText="1" indent="1"/>
    </xf>
    <xf numFmtId="0" fontId="0" fillId="10" borderId="10" xfId="0" applyFill="1" applyBorder="1" applyAlignment="1" applyProtection="1">
      <alignment horizontal="center"/>
      <protection locked="0"/>
    </xf>
    <xf numFmtId="0" fontId="0" fillId="10" borderId="14" xfId="0" applyFill="1" applyBorder="1" applyAlignment="1" applyProtection="1">
      <alignment horizontal="center"/>
      <protection locked="0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0" borderId="16" xfId="0" applyFont="1" applyBorder="1" applyAlignment="1" applyProtection="1">
      <alignment horizontal="left" vertical="center"/>
      <protection locked="0"/>
    </xf>
    <xf numFmtId="14" fontId="7" fillId="0" borderId="16" xfId="0" applyNumberFormat="1" applyFont="1" applyBorder="1" applyAlignment="1" applyProtection="1">
      <alignment horizontal="left" vertical="center"/>
      <protection locked="0"/>
    </xf>
    <xf numFmtId="0" fontId="0" fillId="0" borderId="16" xfId="0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10" borderId="10" xfId="0" applyFont="1" applyFill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10" borderId="0" xfId="0" applyFont="1" applyFill="1" applyAlignment="1" applyProtection="1">
      <alignment horizontal="left"/>
      <protection locked="0"/>
    </xf>
    <xf numFmtId="0" fontId="4" fillId="10" borderId="14" xfId="0" applyFont="1" applyFill="1" applyBorder="1" applyAlignment="1" applyProtection="1">
      <alignment horizontal="left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/>
    </xf>
    <xf numFmtId="0" fontId="0" fillId="10" borderId="19" xfId="0" applyFill="1" applyBorder="1" applyAlignment="1" applyProtection="1">
      <alignment horizontal="center"/>
      <protection locked="0"/>
    </xf>
    <xf numFmtId="14" fontId="0" fillId="16" borderId="16" xfId="0" applyNumberFormat="1" applyFill="1" applyBorder="1" applyAlignment="1">
      <alignment horizontal="left" vertical="top" wrapText="1"/>
    </xf>
    <xf numFmtId="14" fontId="7" fillId="16" borderId="16" xfId="0" applyNumberFormat="1" applyFont="1" applyFill="1" applyBorder="1" applyAlignment="1" applyProtection="1">
      <alignment horizontal="left" vertical="center"/>
      <protection locked="0"/>
    </xf>
    <xf numFmtId="14" fontId="7" fillId="17" borderId="16" xfId="0" applyNumberFormat="1" applyFont="1" applyFill="1" applyBorder="1" applyAlignment="1" applyProtection="1">
      <alignment horizontal="left" vertical="center"/>
      <protection locked="0"/>
    </xf>
    <xf numFmtId="14" fontId="7" fillId="17" borderId="20" xfId="0" applyNumberFormat="1" applyFont="1" applyFill="1" applyBorder="1" applyAlignment="1" applyProtection="1">
      <alignment horizontal="left" vertical="center"/>
      <protection locked="0"/>
    </xf>
    <xf numFmtId="0" fontId="5" fillId="7" borderId="0" xfId="0" applyFont="1" applyFill="1" applyAlignment="1" applyProtection="1">
      <alignment horizontal="left" vertical="center"/>
      <protection hidden="1"/>
    </xf>
    <xf numFmtId="14" fontId="5" fillId="7" borderId="0" xfId="0" applyNumberFormat="1" applyFont="1" applyFill="1" applyAlignment="1" applyProtection="1">
      <alignment horizontal="left" vertical="center"/>
      <protection hidden="1"/>
    </xf>
    <xf numFmtId="0" fontId="5" fillId="7" borderId="0" xfId="0" applyFont="1" applyFill="1" applyAlignment="1" applyProtection="1">
      <alignment horizontal="center" vertical="center"/>
      <protection hidden="1"/>
    </xf>
    <xf numFmtId="14" fontId="5" fillId="18" borderId="0" xfId="0" applyNumberFormat="1" applyFont="1" applyFill="1" applyAlignment="1" applyProtection="1">
      <alignment horizontal="center" vertical="center"/>
      <protection hidden="1"/>
    </xf>
    <xf numFmtId="14" fontId="7" fillId="0" borderId="11" xfId="0" applyNumberFormat="1" applyFont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 wrapText="1"/>
      <protection hidden="1"/>
    </xf>
    <xf numFmtId="2" fontId="9" fillId="5" borderId="1" xfId="0" applyNumberFormat="1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9" fillId="12" borderId="17" xfId="0" applyFont="1" applyFill="1" applyBorder="1" applyAlignment="1" applyProtection="1">
      <alignment horizontal="center" vertical="center" wrapText="1"/>
      <protection hidden="1"/>
    </xf>
    <xf numFmtId="0" fontId="9" fillId="13" borderId="17" xfId="0" applyFont="1" applyFill="1" applyBorder="1" applyAlignment="1" applyProtection="1">
      <alignment horizontal="center" vertical="center" wrapText="1"/>
      <protection hidden="1"/>
    </xf>
    <xf numFmtId="0" fontId="9" fillId="5" borderId="17" xfId="0" applyFont="1" applyFill="1" applyBorder="1" applyAlignment="1" applyProtection="1">
      <alignment horizontal="center" vertical="center" wrapText="1"/>
      <protection hidden="1"/>
    </xf>
    <xf numFmtId="0" fontId="9" fillId="5" borderId="18" xfId="0" applyFont="1" applyFill="1" applyBorder="1" applyAlignment="1" applyProtection="1">
      <alignment horizontal="left" vertical="center" wrapText="1"/>
      <protection hidden="1"/>
    </xf>
    <xf numFmtId="0" fontId="9" fillId="5" borderId="18" xfId="0" applyFont="1" applyFill="1" applyBorder="1" applyAlignment="1" applyProtection="1">
      <alignment horizontal="center" vertical="center" wrapText="1"/>
      <protection hidden="1"/>
    </xf>
    <xf numFmtId="0" fontId="9" fillId="4" borderId="5" xfId="0" applyFont="1" applyFill="1" applyBorder="1" applyAlignment="1" applyProtection="1">
      <alignment horizontal="left" vertical="center" wrapText="1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0" fontId="9" fillId="12" borderId="12" xfId="0" applyFont="1" applyFill="1" applyBorder="1" applyAlignment="1" applyProtection="1">
      <alignment horizontal="center" vertical="center" wrapText="1"/>
      <protection hidden="1"/>
    </xf>
    <xf numFmtId="0" fontId="9" fillId="13" borderId="12" xfId="0" applyFont="1" applyFill="1" applyBorder="1" applyAlignment="1" applyProtection="1">
      <alignment horizontal="center" vertical="center" wrapText="1"/>
      <protection hidden="1"/>
    </xf>
    <xf numFmtId="0" fontId="9" fillId="5" borderId="12" xfId="0" applyFont="1" applyFill="1" applyBorder="1" applyAlignment="1" applyProtection="1">
      <alignment horizontal="center" vertical="center" wrapText="1"/>
      <protection hidden="1"/>
    </xf>
    <xf numFmtId="0" fontId="9" fillId="4" borderId="5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5" fillId="11" borderId="21" xfId="0" applyFont="1" applyFill="1" applyBorder="1" applyAlignment="1" applyProtection="1">
      <alignment horizontal="center" vertical="center"/>
      <protection hidden="1"/>
    </xf>
    <xf numFmtId="0" fontId="9" fillId="5" borderId="21" xfId="0" applyFont="1" applyFill="1" applyBorder="1" applyAlignment="1" applyProtection="1">
      <alignment horizontal="center" vertical="center" wrapText="1"/>
      <protection hidden="1"/>
    </xf>
    <xf numFmtId="0" fontId="9" fillId="5" borderId="26" xfId="0" applyFont="1" applyFill="1" applyBorder="1" applyAlignment="1" applyProtection="1">
      <alignment horizontal="center" vertical="center" wrapText="1"/>
      <protection hidden="1"/>
    </xf>
    <xf numFmtId="0" fontId="9" fillId="3" borderId="21" xfId="0" applyFont="1" applyFill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/>
    </xf>
    <xf numFmtId="0" fontId="0" fillId="0" borderId="27" xfId="0" applyBorder="1" applyAlignment="1">
      <alignment horizontal="left" vertical="top" wrapText="1" indent="1"/>
    </xf>
    <xf numFmtId="0" fontId="0" fillId="8" borderId="21" xfId="0" applyFill="1" applyBorder="1" applyAlignment="1">
      <alignment horizontal="left" vertical="top" wrapText="1" indent="1"/>
    </xf>
    <xf numFmtId="0" fontId="0" fillId="9" borderId="21" xfId="0" applyFill="1" applyBorder="1" applyAlignment="1">
      <alignment horizontal="left" vertical="top" wrapText="1" indent="1"/>
    </xf>
    <xf numFmtId="0" fontId="0" fillId="6" borderId="23" xfId="0" applyFill="1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 indent="1"/>
    </xf>
    <xf numFmtId="0" fontId="0" fillId="0" borderId="28" xfId="0" applyBorder="1" applyAlignment="1">
      <alignment horizontal="left" vertical="top" wrapText="1" indent="1"/>
    </xf>
    <xf numFmtId="0" fontId="0" fillId="0" borderId="29" xfId="0" applyBorder="1" applyAlignment="1">
      <alignment horizontal="center" vertical="top" wrapText="1"/>
    </xf>
    <xf numFmtId="0" fontId="0" fillId="0" borderId="30" xfId="1" applyNumberFormat="1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top" wrapText="1" indent="1"/>
    </xf>
    <xf numFmtId="0" fontId="2" fillId="3" borderId="28" xfId="0" applyFont="1" applyFill="1" applyBorder="1" applyAlignment="1">
      <alignment horizontal="center"/>
    </xf>
    <xf numFmtId="0" fontId="0" fillId="0" borderId="21" xfId="0" applyBorder="1" applyAlignment="1">
      <alignment horizontal="center" vertical="top" wrapText="1" indent="1"/>
    </xf>
    <xf numFmtId="0" fontId="2" fillId="3" borderId="21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7" fillId="0" borderId="22" xfId="0" applyFont="1" applyBorder="1" applyAlignment="1" applyProtection="1">
      <alignment horizontal="center" vertical="center"/>
      <protection locked="0"/>
    </xf>
    <xf numFmtId="0" fontId="4" fillId="10" borderId="21" xfId="0" applyFont="1" applyFill="1" applyBorder="1" applyAlignment="1" applyProtection="1">
      <alignment horizontal="center"/>
      <protection locked="0"/>
    </xf>
    <xf numFmtId="0" fontId="0" fillId="0" borderId="22" xfId="0" applyBorder="1" applyAlignment="1">
      <alignment horizontal="left" vertical="top" wrapText="1" indent="1"/>
    </xf>
    <xf numFmtId="0" fontId="0" fillId="0" borderId="22" xfId="0" applyBorder="1" applyAlignment="1">
      <alignment horizontal="center" vertical="top" wrapText="1" indent="1"/>
    </xf>
    <xf numFmtId="0" fontId="4" fillId="0" borderId="21" xfId="0" applyFont="1" applyBorder="1" applyAlignment="1">
      <alignment horizontal="center" vertical="top" wrapText="1" indent="1"/>
    </xf>
    <xf numFmtId="0" fontId="7" fillId="0" borderId="21" xfId="0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9" fillId="5" borderId="24" xfId="0" applyFont="1" applyFill="1" applyBorder="1" applyAlignment="1" applyProtection="1">
      <alignment horizontal="center" vertical="center" wrapText="1"/>
      <protection hidden="1"/>
    </xf>
    <xf numFmtId="0" fontId="9" fillId="3" borderId="25" xfId="0" applyFont="1" applyFill="1" applyBorder="1" applyAlignment="1" applyProtection="1">
      <alignment horizontal="left" vertical="center" wrapText="1"/>
      <protection hidden="1"/>
    </xf>
    <xf numFmtId="0" fontId="8" fillId="3" borderId="21" xfId="0" applyFont="1" applyFill="1" applyBorder="1" applyAlignment="1">
      <alignment horizontal="left"/>
    </xf>
    <xf numFmtId="164" fontId="7" fillId="0" borderId="21" xfId="0" applyNumberFormat="1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vertical="center"/>
      <protection locked="0"/>
    </xf>
    <xf numFmtId="14" fontId="7" fillId="0" borderId="21" xfId="0" applyNumberFormat="1" applyFont="1" applyBorder="1" applyAlignment="1" applyProtection="1">
      <alignment vertical="center"/>
      <protection locked="0"/>
    </xf>
    <xf numFmtId="14" fontId="7" fillId="0" borderId="22" xfId="0" applyNumberFormat="1" applyFont="1" applyBorder="1" applyAlignment="1" applyProtection="1">
      <alignment horizontal="left" vertical="center"/>
      <protection locked="0"/>
    </xf>
    <xf numFmtId="0" fontId="8" fillId="14" borderId="21" xfId="0" applyFont="1" applyFill="1" applyBorder="1" applyAlignment="1">
      <alignment horizontal="left"/>
    </xf>
    <xf numFmtId="164" fontId="0" fillId="0" borderId="21" xfId="0" applyNumberFormat="1" applyBorder="1" applyAlignment="1">
      <alignment horizontal="left" vertical="top" wrapText="1"/>
    </xf>
    <xf numFmtId="9" fontId="0" fillId="0" borderId="30" xfId="1" applyFont="1" applyBorder="1" applyAlignment="1">
      <alignment horizontal="center" vertical="top" wrapText="1"/>
    </xf>
    <xf numFmtId="1" fontId="7" fillId="0" borderId="21" xfId="0" applyNumberFormat="1" applyFont="1" applyBorder="1" applyAlignment="1" applyProtection="1">
      <alignment vertical="center"/>
      <protection locked="0"/>
    </xf>
    <xf numFmtId="1" fontId="7" fillId="0" borderId="22" xfId="0" applyNumberFormat="1" applyFont="1" applyBorder="1" applyAlignment="1" applyProtection="1">
      <alignment horizontal="left" vertical="center"/>
      <protection locked="0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left" vertical="top" wrapText="1"/>
    </xf>
    <xf numFmtId="14" fontId="0" fillId="0" borderId="21" xfId="0" applyNumberFormat="1" applyBorder="1" applyAlignment="1">
      <alignment vertical="top" wrapText="1"/>
    </xf>
    <xf numFmtId="0" fontId="0" fillId="10" borderId="21" xfId="0" applyFill="1" applyBorder="1" applyAlignment="1" applyProtection="1">
      <alignment horizontal="left"/>
      <protection locked="0"/>
    </xf>
    <xf numFmtId="14" fontId="0" fillId="10" borderId="21" xfId="0" applyNumberFormat="1" applyFill="1" applyBorder="1" applyProtection="1">
      <protection locked="0"/>
    </xf>
    <xf numFmtId="49" fontId="5" fillId="7" borderId="21" xfId="0" applyNumberFormat="1" applyFont="1" applyFill="1" applyBorder="1" applyAlignment="1" applyProtection="1">
      <alignment horizontal="left" vertical="center"/>
      <protection hidden="1"/>
    </xf>
    <xf numFmtId="14" fontId="7" fillId="17" borderId="21" xfId="0" applyNumberFormat="1" applyFont="1" applyFill="1" applyBorder="1" applyAlignment="1" applyProtection="1">
      <alignment vertical="center"/>
      <protection locked="0"/>
    </xf>
    <xf numFmtId="0" fontId="8" fillId="3" borderId="24" xfId="0" applyFont="1" applyFill="1" applyBorder="1" applyAlignment="1">
      <alignment horizontal="left"/>
    </xf>
    <xf numFmtId="164" fontId="0" fillId="0" borderId="24" xfId="0" applyNumberFormat="1" applyBorder="1" applyAlignment="1">
      <alignment horizontal="left" vertical="top" wrapText="1"/>
    </xf>
    <xf numFmtId="0" fontId="7" fillId="0" borderId="24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vertical="center"/>
      <protection locked="0"/>
    </xf>
    <xf numFmtId="14" fontId="7" fillId="0" borderId="24" xfId="0" applyNumberFormat="1" applyFont="1" applyBorder="1" applyAlignment="1" applyProtection="1">
      <alignment vertical="center"/>
      <protection locked="0"/>
    </xf>
    <xf numFmtId="164" fontId="7" fillId="0" borderId="24" xfId="0" applyNumberFormat="1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0" fillId="15" borderId="22" xfId="0" applyFill="1" applyBorder="1" applyAlignment="1">
      <alignment horizontal="left" vertical="top" wrapText="1" indent="1"/>
    </xf>
    <xf numFmtId="0" fontId="0" fillId="14" borderId="21" xfId="0" applyFill="1" applyBorder="1" applyAlignment="1">
      <alignment horizontal="left" vertical="top" wrapText="1" indent="1"/>
    </xf>
    <xf numFmtId="0" fontId="9" fillId="3" borderId="25" xfId="0" applyFont="1" applyFill="1" applyBorder="1" applyAlignment="1" applyProtection="1">
      <alignment horizontal="center" vertical="center" wrapText="1"/>
      <protection hidden="1"/>
    </xf>
    <xf numFmtId="14" fontId="7" fillId="0" borderId="21" xfId="0" applyNumberFormat="1" applyFont="1" applyBorder="1" applyAlignment="1" applyProtection="1">
      <alignment horizontal="left" vertical="center"/>
      <protection locked="0"/>
    </xf>
    <xf numFmtId="14" fontId="0" fillId="0" borderId="21" xfId="0" applyNumberFormat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14" fontId="7" fillId="16" borderId="21" xfId="0" applyNumberFormat="1" applyFont="1" applyFill="1" applyBorder="1" applyAlignment="1" applyProtection="1">
      <alignment horizontal="left" vertical="center"/>
      <protection locked="0"/>
    </xf>
    <xf numFmtId="14" fontId="0" fillId="10" borderId="21" xfId="0" applyNumberFormat="1" applyFill="1" applyBorder="1" applyAlignment="1" applyProtection="1">
      <alignment horizontal="left"/>
      <protection locked="0"/>
    </xf>
    <xf numFmtId="0" fontId="0" fillId="10" borderId="22" xfId="0" applyFill="1" applyBorder="1" applyAlignment="1" applyProtection="1">
      <alignment horizontal="left"/>
      <protection locked="0"/>
    </xf>
    <xf numFmtId="14" fontId="5" fillId="7" borderId="21" xfId="0" applyNumberFormat="1" applyFont="1" applyFill="1" applyBorder="1" applyAlignment="1" applyProtection="1">
      <alignment horizontal="left" vertical="center"/>
      <protection hidden="1"/>
    </xf>
    <xf numFmtId="14" fontId="7" fillId="17" borderId="21" xfId="0" applyNumberFormat="1" applyFont="1" applyFill="1" applyBorder="1" applyAlignment="1" applyProtection="1">
      <alignment horizontal="left" vertical="center"/>
      <protection locked="0"/>
    </xf>
    <xf numFmtId="14" fontId="0" fillId="17" borderId="21" xfId="0" applyNumberFormat="1" applyFill="1" applyBorder="1" applyAlignment="1">
      <alignment horizontal="left" vertical="top" wrapText="1"/>
    </xf>
    <xf numFmtId="14" fontId="0" fillId="0" borderId="24" xfId="0" applyNumberFormat="1" applyBorder="1" applyAlignment="1">
      <alignment horizontal="left" vertical="top" wrapText="1"/>
    </xf>
    <xf numFmtId="14" fontId="7" fillId="0" borderId="24" xfId="0" applyNumberFormat="1" applyFont="1" applyBorder="1" applyAlignment="1" applyProtection="1">
      <alignment horizontal="left" vertical="center"/>
      <protection locked="0"/>
    </xf>
    <xf numFmtId="0" fontId="8" fillId="3" borderId="21" xfId="0" applyFont="1" applyFill="1" applyBorder="1" applyAlignment="1">
      <alignment horizontal="center"/>
    </xf>
    <xf numFmtId="0" fontId="0" fillId="0" borderId="21" xfId="0" applyBorder="1" applyAlignment="1">
      <alignment horizontal="center" vertical="top" wrapText="1"/>
    </xf>
    <xf numFmtId="14" fontId="7" fillId="0" borderId="21" xfId="0" applyNumberFormat="1" applyFont="1" applyBorder="1" applyAlignment="1" applyProtection="1">
      <alignment horizontal="center" vertical="center"/>
      <protection locked="0"/>
    </xf>
    <xf numFmtId="14" fontId="7" fillId="0" borderId="22" xfId="0" applyNumberFormat="1" applyFont="1" applyBorder="1" applyAlignment="1" applyProtection="1">
      <alignment horizontal="center" vertical="center"/>
      <protection locked="0"/>
    </xf>
    <xf numFmtId="14" fontId="0" fillId="0" borderId="21" xfId="0" applyNumberFormat="1" applyBorder="1" applyAlignment="1">
      <alignment horizontal="center" vertical="top" wrapText="1"/>
    </xf>
    <xf numFmtId="0" fontId="8" fillId="14" borderId="21" xfId="0" applyFont="1" applyFill="1" applyBorder="1" applyAlignment="1">
      <alignment horizontal="center"/>
    </xf>
    <xf numFmtId="0" fontId="0" fillId="10" borderId="21" xfId="0" applyFill="1" applyBorder="1" applyAlignment="1" applyProtection="1">
      <alignment horizontal="center"/>
      <protection locked="0"/>
    </xf>
    <xf numFmtId="14" fontId="0" fillId="0" borderId="22" xfId="0" applyNumberFormat="1" applyBorder="1" applyAlignment="1">
      <alignment horizontal="left" vertical="top" wrapText="1"/>
    </xf>
    <xf numFmtId="0" fontId="5" fillId="7" borderId="31" xfId="0" applyFont="1" applyFill="1" applyBorder="1" applyAlignment="1" applyProtection="1">
      <alignment horizontal="left" vertical="center"/>
      <protection hidden="1"/>
    </xf>
    <xf numFmtId="0" fontId="5" fillId="7" borderId="31" xfId="0" applyFont="1" applyFill="1" applyBorder="1" applyAlignment="1" applyProtection="1">
      <alignment horizontal="center" vertical="center"/>
      <protection hidden="1"/>
    </xf>
    <xf numFmtId="14" fontId="5" fillId="7" borderId="31" xfId="0" applyNumberFormat="1" applyFont="1" applyFill="1" applyBorder="1" applyAlignment="1" applyProtection="1">
      <alignment horizontal="left" vertical="center"/>
      <protection hidden="1"/>
    </xf>
    <xf numFmtId="14" fontId="5" fillId="7" borderId="31" xfId="0" applyNumberFormat="1" applyFont="1" applyFill="1" applyBorder="1" applyAlignment="1" applyProtection="1">
      <alignment horizontal="center" vertical="center"/>
      <protection hidden="1"/>
    </xf>
    <xf numFmtId="14" fontId="7" fillId="16" borderId="22" xfId="0" applyNumberFormat="1" applyFont="1" applyFill="1" applyBorder="1" applyAlignment="1" applyProtection="1">
      <alignment horizontal="center" vertical="center"/>
      <protection locked="0"/>
    </xf>
    <xf numFmtId="0" fontId="8" fillId="3" borderId="32" xfId="0" applyFont="1" applyFill="1" applyBorder="1" applyAlignment="1">
      <alignment horizontal="center"/>
    </xf>
    <xf numFmtId="14" fontId="0" fillId="0" borderId="32" xfId="0" applyNumberFormat="1" applyBorder="1" applyAlignment="1">
      <alignment horizontal="left" vertical="top" wrapText="1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14" fontId="7" fillId="0" borderId="32" xfId="0" applyNumberFormat="1" applyFont="1" applyBorder="1" applyAlignment="1" applyProtection="1">
      <alignment horizontal="center" vertical="center"/>
      <protection locked="0"/>
    </xf>
    <xf numFmtId="0" fontId="9" fillId="5" borderId="34" xfId="0" applyFont="1" applyFill="1" applyBorder="1" applyAlignment="1" applyProtection="1">
      <alignment horizontal="left" vertical="center" wrapText="1"/>
      <protection hidden="1"/>
    </xf>
    <xf numFmtId="0" fontId="9" fillId="3" borderId="21" xfId="0" applyFont="1" applyFill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/>
      <protection locked="0"/>
    </xf>
    <xf numFmtId="0" fontId="4" fillId="0" borderId="21" xfId="0" applyFont="1" applyBorder="1" applyAlignment="1">
      <alignment horizontal="left" vertical="top" wrapText="1"/>
    </xf>
    <xf numFmtId="0" fontId="7" fillId="0" borderId="34" xfId="0" applyFont="1" applyBorder="1" applyAlignment="1" applyProtection="1">
      <alignment horizontal="left" vertical="center"/>
      <protection locked="0"/>
    </xf>
    <xf numFmtId="0" fontId="4" fillId="10" borderId="21" xfId="0" applyFont="1" applyFill="1" applyBorder="1" applyAlignment="1" applyProtection="1">
      <alignment horizontal="left"/>
      <protection locked="0"/>
    </xf>
    <xf numFmtId="0" fontId="0" fillId="0" borderId="34" xfId="0" applyBorder="1" applyAlignment="1">
      <alignment horizontal="left" vertical="top" wrapText="1"/>
    </xf>
    <xf numFmtId="0" fontId="5" fillId="7" borderId="35" xfId="0" applyFont="1" applyFill="1" applyBorder="1" applyAlignment="1" applyProtection="1">
      <alignment horizontal="left" vertical="center"/>
      <protection hidden="1"/>
    </xf>
    <xf numFmtId="14" fontId="5" fillId="7" borderId="35" xfId="0" applyNumberFormat="1" applyFont="1" applyFill="1" applyBorder="1" applyAlignment="1" applyProtection="1">
      <alignment horizontal="left" vertical="center"/>
      <protection hidden="1"/>
    </xf>
    <xf numFmtId="0" fontId="8" fillId="3" borderId="32" xfId="0" applyFont="1" applyFill="1" applyBorder="1" applyAlignment="1">
      <alignment horizontal="left"/>
    </xf>
    <xf numFmtId="0" fontId="0" fillId="0" borderId="36" xfId="0" applyBorder="1" applyAlignment="1">
      <alignment horizontal="left" vertical="top" wrapText="1"/>
    </xf>
    <xf numFmtId="0" fontId="6" fillId="0" borderId="32" xfId="0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7" fillId="0" borderId="32" xfId="0" applyFont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5" fillId="11" borderId="21" xfId="0" applyFont="1" applyFill="1" applyBorder="1" applyAlignment="1" applyProtection="1">
      <alignment horizontal="left" vertical="center"/>
      <protection hidden="1"/>
    </xf>
    <xf numFmtId="0" fontId="9" fillId="5" borderId="34" xfId="0" applyFont="1" applyFill="1" applyBorder="1" applyAlignment="1" applyProtection="1">
      <alignment horizontal="center" vertical="center" wrapText="1"/>
      <protection hidden="1"/>
    </xf>
    <xf numFmtId="14" fontId="7" fillId="16" borderId="21" xfId="0" applyNumberFormat="1" applyFont="1" applyFill="1" applyBorder="1" applyAlignment="1" applyProtection="1">
      <alignment horizontal="center" vertical="center"/>
      <protection locked="0"/>
    </xf>
    <xf numFmtId="14" fontId="5" fillId="18" borderId="31" xfId="0" applyNumberFormat="1" applyFont="1" applyFill="1" applyBorder="1" applyAlignment="1" applyProtection="1">
      <alignment horizontal="center" vertical="center"/>
      <protection hidden="1"/>
    </xf>
    <xf numFmtId="14" fontId="5" fillId="7" borderId="37" xfId="0" applyNumberFormat="1" applyFont="1" applyFill="1" applyBorder="1" applyAlignment="1" applyProtection="1">
      <alignment horizontal="center" vertical="center"/>
      <protection hidden="1"/>
    </xf>
    <xf numFmtId="0" fontId="6" fillId="0" borderId="38" xfId="0" applyFont="1" applyBorder="1" applyAlignment="1" applyProtection="1">
      <alignment horizontal="left" vertical="center"/>
      <protection locked="0"/>
    </xf>
    <xf numFmtId="0" fontId="7" fillId="0" borderId="39" xfId="0" applyFont="1" applyBorder="1" applyAlignment="1" applyProtection="1">
      <alignment horizontal="left" vertical="center"/>
      <protection locked="0"/>
    </xf>
    <xf numFmtId="0" fontId="2" fillId="3" borderId="40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0" fillId="0" borderId="42" xfId="0" applyBorder="1" applyAlignment="1">
      <alignment horizontal="left" vertical="top" wrapText="1" indent="1"/>
    </xf>
    <xf numFmtId="0" fontId="6" fillId="0" borderId="42" xfId="0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6" fillId="3" borderId="38" xfId="0" applyFont="1" applyFill="1" applyBorder="1" applyAlignment="1" applyProtection="1">
      <alignment horizontal="center" vertic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hidden="1"/>
    </xf>
    <xf numFmtId="0" fontId="9" fillId="5" borderId="38" xfId="0" applyFont="1" applyFill="1" applyBorder="1" applyAlignment="1" applyProtection="1">
      <alignment horizontal="center" vertical="center" wrapText="1"/>
      <protection hidden="1"/>
    </xf>
    <xf numFmtId="0" fontId="9" fillId="5" borderId="44" xfId="0" applyFont="1" applyFill="1" applyBorder="1" applyAlignment="1" applyProtection="1">
      <alignment horizontal="center" vertical="center" wrapText="1"/>
      <protection hidden="1"/>
    </xf>
    <xf numFmtId="0" fontId="9" fillId="3" borderId="38" xfId="0" applyFont="1" applyFill="1" applyBorder="1" applyAlignment="1" applyProtection="1">
      <alignment horizontal="center" vertical="center" wrapText="1"/>
      <protection hidden="1"/>
    </xf>
    <xf numFmtId="0" fontId="7" fillId="0" borderId="38" xfId="0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/>
    </xf>
    <xf numFmtId="0" fontId="0" fillId="0" borderId="45" xfId="0" applyBorder="1" applyAlignment="1">
      <alignment horizontal="left" vertical="top" wrapText="1" indent="1"/>
    </xf>
    <xf numFmtId="0" fontId="0" fillId="8" borderId="38" xfId="0" applyFill="1" applyBorder="1" applyAlignment="1">
      <alignment horizontal="left" vertical="top" wrapText="1" indent="1"/>
    </xf>
    <xf numFmtId="0" fontId="0" fillId="9" borderId="38" xfId="0" applyFill="1" applyBorder="1" applyAlignment="1">
      <alignment horizontal="left" vertical="top" wrapText="1" indent="1"/>
    </xf>
    <xf numFmtId="0" fontId="0" fillId="6" borderId="40" xfId="0" applyFill="1" applyBorder="1" applyAlignment="1">
      <alignment horizontal="left" vertical="top" wrapText="1" indent="1"/>
    </xf>
    <xf numFmtId="0" fontId="0" fillId="0" borderId="38" xfId="0" applyBorder="1" applyAlignment="1">
      <alignment horizontal="left" vertical="top" wrapText="1" indent="1"/>
    </xf>
    <xf numFmtId="0" fontId="0" fillId="0" borderId="46" xfId="0" applyBorder="1" applyAlignment="1">
      <alignment horizontal="left" vertical="top" wrapText="1" indent="1"/>
    </xf>
    <xf numFmtId="0" fontId="0" fillId="0" borderId="47" xfId="0" applyBorder="1" applyAlignment="1">
      <alignment horizontal="center" vertical="top" wrapText="1"/>
    </xf>
    <xf numFmtId="0" fontId="0" fillId="0" borderId="48" xfId="1" applyNumberFormat="1" applyFont="1" applyBorder="1" applyAlignment="1">
      <alignment horizontal="center" vertical="top" wrapText="1"/>
    </xf>
    <xf numFmtId="0" fontId="4" fillId="0" borderId="38" xfId="0" applyFont="1" applyBorder="1" applyAlignment="1">
      <alignment horizontal="left" vertical="top" wrapText="1" indent="1"/>
    </xf>
    <xf numFmtId="0" fontId="2" fillId="3" borderId="46" xfId="0" applyFont="1" applyFill="1" applyBorder="1" applyAlignment="1">
      <alignment horizontal="center"/>
    </xf>
    <xf numFmtId="0" fontId="0" fillId="0" borderId="38" xfId="0" applyBorder="1" applyAlignment="1">
      <alignment horizontal="center" vertical="top" wrapText="1" indent="1"/>
    </xf>
    <xf numFmtId="0" fontId="2" fillId="3" borderId="38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7" fillId="0" borderId="39" xfId="0" applyFont="1" applyBorder="1" applyAlignment="1" applyProtection="1">
      <alignment horizontal="center" vertical="center"/>
      <protection locked="0"/>
    </xf>
    <xf numFmtId="0" fontId="4" fillId="10" borderId="38" xfId="0" applyFont="1" applyFill="1" applyBorder="1" applyAlignment="1" applyProtection="1">
      <alignment horizontal="center"/>
      <protection locked="0"/>
    </xf>
    <xf numFmtId="0" fontId="0" fillId="0" borderId="39" xfId="0" applyBorder="1" applyAlignment="1">
      <alignment horizontal="left" vertical="top" wrapText="1" indent="1"/>
    </xf>
    <xf numFmtId="0" fontId="0" fillId="0" borderId="39" xfId="0" applyBorder="1" applyAlignment="1">
      <alignment horizontal="center" vertical="top" wrapText="1" indent="1"/>
    </xf>
    <xf numFmtId="0" fontId="5" fillId="7" borderId="37" xfId="0" applyFont="1" applyFill="1" applyBorder="1" applyAlignment="1" applyProtection="1">
      <alignment horizontal="center" vertical="center"/>
      <protection hidden="1"/>
    </xf>
    <xf numFmtId="0" fontId="4" fillId="0" borderId="38" xfId="0" applyFont="1" applyBorder="1" applyAlignment="1">
      <alignment horizontal="center" vertical="top" wrapText="1" indent="1"/>
    </xf>
    <xf numFmtId="0" fontId="7" fillId="0" borderId="38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Per cent" xfId="1" builtinId="5"/>
  </cellStyles>
  <dxfs count="1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B7FA3-1E04-498A-991E-35DF565E7866}" name="TagsBC0" displayName="TagsBC0" ref="A1:P73" totalsRowShown="0" headerRowDxfId="112" tableBorderDxfId="111">
  <autoFilter ref="A1:P73" xr:uid="{BE1B7FA3-1E04-498A-991E-35DF565E7866}"/>
  <tableColumns count="16">
    <tableColumn id="1" xr3:uid="{BE47509A-2B01-4248-BDC4-A999B7AAB8B5}" name="Unit No." dataDxfId="110"/>
    <tableColumn id="2" xr3:uid="{F43329EA-25A9-4354-8DA3-DB4AC2CD3527}" name="DATE" dataDxfId="109"/>
    <tableColumn id="3" xr3:uid="{C25097E6-206D-433E-A071-B24E0B55126C}" name="Status" dataDxfId="108"/>
    <tableColumn id="4" xr3:uid="{80AEE240-7F23-4CAE-AEE8-2245E1E3B944}" name="Number of cars affected by graffiti/shadows on this unit" dataDxfId="107"/>
    <tableColumn id="5" xr3:uid="{2CCE82A3-2D96-4EAF-9031-D007E35E693E}" name="Total Number of Tags found" dataDxfId="106"/>
    <tableColumn id="6" xr3:uid="{526992AE-7DBA-4C11-A8A5-9850CC214822}" name="Total Tags Removed / Cleaned" dataDxfId="105"/>
    <tableColumn id="7" xr3:uid="{3904C31F-ECE0-44B6-AB59-7987721EE2C8}" name="Total Tags Not Cleaned on this Unit" dataDxfId="104"/>
    <tableColumn id="8" xr3:uid="{FDD0026E-A441-4C77-AC01-82D067FD4C36}" name="Car Number (s)  of Tags not cleaned (shadows)" dataDxfId="103"/>
    <tableColumn id="9" xr3:uid="{47DF4EC8-0B7D-4752-BBA5-BCFD3D869886}" name="Date of 2nd visit to clean remaining tags"/>
    <tableColumn id="10" xr3:uid="{BAA4C37D-25FE-438F-8DD9-E74C39EA4395}" name="Number of tags removed" dataDxfId="102"/>
    <tableColumn id="11" xr3:uid="{A5D0DB9F-395F-49EE-9A20-A8BE6AAAEE7D}" name="Date of 3rd visit to clean remaining tags" dataDxfId="101"/>
    <tableColumn id="12" xr3:uid="{C33FD983-59F7-467C-94D4-221999895BC6}" name="Number of tags removed2" dataDxfId="100"/>
    <tableColumn id="13" xr3:uid="{3549B90C-68A1-4A28-B376-5B27FF7B1108}" name="Train Inspected and Fit for service    (Y/N)" dataDxfId="99"/>
    <tableColumn id="14" xr3:uid="{2A9B6FCE-4672-4DAD-AD2B-E78FBA978D8B}" name="Inspected by Supervisor/Manager (Name)" dataDxfId="98"/>
    <tableColumn id="15" xr3:uid="{E386FBDC-1B8D-4562-922C-318008BEDB12}" name="Date of Completing all shadows (Tags) on this Unit excluding acid etched shadows" dataDxfId="97"/>
    <tableColumn id="16" xr3:uid="{06F5616E-E287-4E16-827B-3CECCE53B887}" name="Car Number (s)  of Tags not cleaned due to acid etched shadows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CB0D8-CCDA-4B0A-BA15-F4428C3C7240}" name="TagsBC1" displayName="TagsBC1" ref="A1:P73" totalsRowShown="0" headerRowDxfId="95" dataDxfId="94" tableBorderDxfId="93">
  <autoFilter ref="A1:P73" xr:uid="{2B9CB0D8-CCDA-4B0A-BA15-F4428C3C7240}"/>
  <tableColumns count="16">
    <tableColumn id="1" xr3:uid="{8D9B74B9-F316-40C7-86A1-B791CAFDE854}" name="Unit No." dataDxfId="92"/>
    <tableColumn id="2" xr3:uid="{84949E13-2E6E-48A4-A979-EE7CC90A3F4A}" name="DATE" dataDxfId="91"/>
    <tableColumn id="3" xr3:uid="{BDEEED89-0440-4416-B860-4B527550FF20}" name="Status" dataDxfId="90"/>
    <tableColumn id="4" xr3:uid="{B7CA154E-DC7E-4687-903A-1D78993CB2C2}" name="Number of cars affected by graffiti/shadows on this unit" dataDxfId="89"/>
    <tableColumn id="5" xr3:uid="{1C5C906E-AD52-4E50-9270-5EB4428780B7}" name="Total Number of Tags found" dataDxfId="88"/>
    <tableColumn id="6" xr3:uid="{289973A2-BB9D-42E2-94F7-F58BDA25995C}" name="Total Tags Removed / Cleaned" dataDxfId="87"/>
    <tableColumn id="7" xr3:uid="{C0D8DD1B-24C2-4E00-8085-11F72CD98556}" name="Total Tags Not Cleaned on this Unit" dataDxfId="86"/>
    <tableColumn id="8" xr3:uid="{2E593E06-9676-401C-A8ED-F9B47F309177}" name="Car Number (s)  of Tags not cleaned (shadows)" dataDxfId="85"/>
    <tableColumn id="9" xr3:uid="{49C2D54D-CF3B-4DC7-A3B4-0D844EBF4AD1}" name="Date of 2nd visit to clean remaining tags"/>
    <tableColumn id="10" xr3:uid="{C612896E-8B16-4106-9D5E-CBF58BF42661}" name="Number of tags removed" dataDxfId="84"/>
    <tableColumn id="11" xr3:uid="{F8ED761A-BDDB-4B16-A430-5F5B92CD659A}" name="Date of 3rd visit to clean remaining tags" dataDxfId="83"/>
    <tableColumn id="12" xr3:uid="{12131290-C158-4E39-B8B6-73AF9241E0E1}" name="Number of tags removed2" dataDxfId="82"/>
    <tableColumn id="13" xr3:uid="{33BC9F61-998A-479E-8EA2-AE46B40C43AE}" name="Train Inspected and Fit for service    (Y/N)" dataDxfId="81"/>
    <tableColumn id="14" xr3:uid="{3E3753FB-073A-42DE-A3B2-CB56B7282C50}" name="Inspected by Supervisor/Manager (Name)" dataDxfId="80"/>
    <tableColumn id="15" xr3:uid="{B5E91372-B6B6-40E3-B39A-71F6056FF3BB}" name="Date of Completing all shadows (Tags) on this Unit excluding acid etched shadows" dataDxfId="79"/>
    <tableColumn id="16" xr3:uid="{C27F7515-1323-4CD3-B7AF-C52EBD87A88E}" name="Car Number (s)  of Tags not cleaned due to acid etched shadows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D4806-042D-46DF-9CC8-521FE8E69086}" name="TagsBC2" displayName="TagsBC2" ref="A1:P73" totalsRowShown="0" headerRowDxfId="77" tableBorderDxfId="76">
  <autoFilter ref="A1:P73" xr:uid="{618D4806-042D-46DF-9CC8-521FE8E69086}"/>
  <tableColumns count="16">
    <tableColumn id="1" xr3:uid="{0066C349-E090-47EE-858E-CEEE70C8D213}" name="Unit No." dataDxfId="75"/>
    <tableColumn id="2" xr3:uid="{FA4DF6AC-EE31-4245-9588-2446E8260A58}" name="DATE"/>
    <tableColumn id="3" xr3:uid="{2FF9941C-8C0F-43D7-A197-4D10FE175FC5}" name="Status"/>
    <tableColumn id="4" xr3:uid="{5D8FB9B9-51EB-43A4-B5B0-6AEF71B3A1CE}" name="Number of cars affected by graffiti/shadows on this unit" dataDxfId="74"/>
    <tableColumn id="5" xr3:uid="{EF963C12-6DB3-4F70-8604-B437994FD41B}" name="Total Number of Tags found" dataDxfId="73"/>
    <tableColumn id="6" xr3:uid="{60596EE5-F0EA-4AC1-9AEE-1D7DC71070FA}" name="Total Tags Removed / Cleaned" dataDxfId="72"/>
    <tableColumn id="7" xr3:uid="{B72A594A-0345-491E-AB91-2A28659798F4}" name="Total Tags Not Cleaned on this Unit" dataDxfId="71"/>
    <tableColumn id="8" xr3:uid="{E1D95101-1F1A-4B9C-857F-80D1743031A1}" name="Car Number (s)  of Tags not cleaned (shadows)" dataDxfId="70"/>
    <tableColumn id="9" xr3:uid="{ECBBD10D-9860-46B0-A679-152EF6A372C2}" name="Date of 2nd visit to clean remaining tags"/>
    <tableColumn id="10" xr3:uid="{DBE14825-0062-44A0-AF81-801B396D7505}" name="Number of tags removed" dataDxfId="69"/>
    <tableColumn id="11" xr3:uid="{35697A53-AD81-4EB1-AB4D-356691157385}" name="Date of 3rd visit to clean remaining tags" dataDxfId="68"/>
    <tableColumn id="12" xr3:uid="{8E4DDA9D-74B1-452D-9BFB-B9887580CE9B}" name="Number of tags removed2" dataDxfId="67"/>
    <tableColumn id="13" xr3:uid="{1BD74606-BC0A-438A-B625-6C03DC26A3F2}" name="Train Inspected and Fit for service    (Y/N)" dataDxfId="66"/>
    <tableColumn id="14" xr3:uid="{D10DD9F5-C9FB-4B44-8F8E-852F7B9C4AFC}" name="Inspected by Supervisor/Manager (Name)" dataDxfId="65"/>
    <tableColumn id="15" xr3:uid="{59DAC84A-5B94-48C8-9732-EA748704A271}" name="Date of Completing all shadows (Tags) on this Unit excluding acid etched shadows" dataDxfId="64"/>
    <tableColumn id="16" xr3:uid="{D013112F-F416-430A-92E0-AEBF8488E8A7}" name="Car Number (s)  of Tags not cleaned due to acid etched shadows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82B152-A36A-464C-84A0-6FA717795844}" name="TagsBC3" displayName="TagsBC3" ref="A1:P73" totalsRowShown="0" headerRowDxfId="62" tableBorderDxfId="61">
  <autoFilter ref="A1:P73" xr:uid="{5982B152-A36A-464C-84A0-6FA717795844}"/>
  <tableColumns count="16">
    <tableColumn id="1" xr3:uid="{3047AEDD-B704-4D50-8321-72CEDF8194EE}" name="Unit No." dataDxfId="60"/>
    <tableColumn id="2" xr3:uid="{345EE9F6-FDD3-43BA-94E1-C69EB4F6D263}" name="DATE"/>
    <tableColumn id="3" xr3:uid="{E1ED6FCD-BD92-4AA0-9612-98A633D8790C}" name="Status"/>
    <tableColumn id="4" xr3:uid="{2C857C5A-0349-44F4-BEEB-B21A14D3BDEE}" name="Number of cars affected by graffiti/shadows on this unit" dataDxfId="59"/>
    <tableColumn id="5" xr3:uid="{BC23170A-EE4B-4E28-BC69-2CE0AF7FF21F}" name="Total Number of Tags found"/>
    <tableColumn id="6" xr3:uid="{3A0A39CD-4A5C-4463-9FC4-E7A9BDEEA027}" name="Total Tags Removed / Cleaned"/>
    <tableColumn id="7" xr3:uid="{C0F6053E-AFB8-446D-A7B0-193F06D16057}" name="Total Tags Not Cleaned on this Unit"/>
    <tableColumn id="8" xr3:uid="{4C918A51-27F5-4445-8F42-C6275E78117A}" name="Car Number (s)  of Tags not cleaned (shadows)"/>
    <tableColumn id="9" xr3:uid="{9DA5288A-8EDF-4498-95CD-7BD7807844D2}" name="Date of 2nd visit to clean remaining tags"/>
    <tableColumn id="10" xr3:uid="{1AB4A1D7-4BB8-458E-A2F4-D3A31CEFE3C4}" name="Number of tags removed" dataDxfId="58"/>
    <tableColumn id="11" xr3:uid="{E27E97CF-1E91-4410-9EC3-294AF572E286}" name="Date of 3rd visit to clean remaining tags" dataDxfId="57"/>
    <tableColumn id="12" xr3:uid="{67CABF22-922F-4E50-90A4-27BE90019893}" name="Number of tags removed2" dataDxfId="56"/>
    <tableColumn id="13" xr3:uid="{3F4519C0-FBC4-4E7E-ADCF-AB453D688274}" name="Train Inspected and Fit for service    (Y/N)"/>
    <tableColumn id="14" xr3:uid="{237B5247-1C8F-4C1D-B2B0-4079849421A0}" name="Inspected by Supervisor/Manager (Name)"/>
    <tableColumn id="15" xr3:uid="{A3789F09-7CD1-49C1-9E30-361CB277D51D}" name="Date of Completing all shadows (Tags) on this Unit excluding acid etched shadows" dataDxfId="55"/>
    <tableColumn id="16" xr3:uid="{F1C8680D-BC0B-4672-AF39-E0EAF2B0652C}" name="Car Number (s)  of Tags not cleaned due to acid etched shadow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82EEF-D297-4EE6-8E82-1546E6340F5F}" name="TagsBC4" displayName="TagsBC4" ref="A1:P73" totalsRowShown="0" headerRowDxfId="53" tableBorderDxfId="52">
  <autoFilter ref="A1:P73" xr:uid="{B4282EEF-D297-4EE6-8E82-1546E6340F5F}"/>
  <tableColumns count="16">
    <tableColumn id="1" xr3:uid="{129B3CAE-81BA-4030-ACD2-01D03A1E71B6}" name="Unit No." dataDxfId="51"/>
    <tableColumn id="2" xr3:uid="{BDC3F7F8-D87D-4520-8F5A-C0298CAEDB0B}" name="DATE" dataDxfId="50"/>
    <tableColumn id="3" xr3:uid="{63B8B9ED-51CF-4B7D-ABF5-B850240DAE03}" name="Status" dataDxfId="49"/>
    <tableColumn id="4" xr3:uid="{BAFEFAF0-1723-4AA8-A70F-59CDCE603CBF}" name="Number of cars affected by graffiti/shadows on this unit" dataDxfId="48"/>
    <tableColumn id="5" xr3:uid="{BB18AFDA-DEAE-4097-8CC7-AACD2A7730DC}" name="Total Number of Tags found" dataDxfId="47"/>
    <tableColumn id="6" xr3:uid="{5C694C7F-72CF-4317-AADE-83C84FDE0B9B}" name="Total Tags Removed / Cleaned" dataDxfId="46"/>
    <tableColumn id="7" xr3:uid="{105998FE-A825-4144-8CB2-8DD60CD3D60B}" name="Total Tags Not Cleaned on this Unit" dataDxfId="45"/>
    <tableColumn id="8" xr3:uid="{1167D63A-97A6-4DC4-9429-27F93DAA162F}" name="Car Number (s)  of Tags not cleaned (shadows)" dataDxfId="44"/>
    <tableColumn id="9" xr3:uid="{877657B9-049C-4D26-94E7-F72312BB76C6}" name="Date of 2nd visit to clean remaining tags" dataDxfId="43"/>
    <tableColumn id="10" xr3:uid="{B158172A-D55A-463B-854A-F40A7726FBEB}" name="Number of tags removed" dataDxfId="42"/>
    <tableColumn id="11" xr3:uid="{D1B44EDC-E986-4582-AE4F-46543863CA05}" name="Date of 3rd visit to clean remaining tags" dataDxfId="41"/>
    <tableColumn id="12" xr3:uid="{BCBC2C0E-DEDD-4A54-85CB-3A5DE141520B}" name="Number of tags removed2" dataDxfId="40"/>
    <tableColumn id="13" xr3:uid="{58A7EAED-3D26-4DC1-9A53-DDE97AA4C5F6}" name="Train Inspected and Fit for service    (Y/N)" dataDxfId="39"/>
    <tableColumn id="14" xr3:uid="{84B0B743-5315-4AD8-9FF6-E306DEFCB9BD}" name="Inspected by Supervisor/Manager (Name)" dataDxfId="38"/>
    <tableColumn id="15" xr3:uid="{D06A618E-2C6A-4F0D-9811-4B58FB92B1F4}" name="Date of Completing all shadows (Tags) on this Unit excluding acid etched shadows" dataDxfId="37"/>
    <tableColumn id="16" xr3:uid="{26DE4CBC-C255-4F48-A9D8-131BCFDBBB04}" name="Car Number (s)  of Tags not cleaned due to acid etched shadow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5FCF34-93A8-407F-A429-967D5C71C02E}" name="TagsBC5" displayName="TagsBC5" ref="A1:P73" totalsRowShown="0" headerRowDxfId="35" tableBorderDxfId="34">
  <autoFilter ref="A1:P73" xr:uid="{D05FCF34-93A8-407F-A429-967D5C71C02E}"/>
  <tableColumns count="16">
    <tableColumn id="1" xr3:uid="{2566BD72-7BB5-4F61-A921-BC9F7DEAF958}" name="Unit No." dataDxfId="33"/>
    <tableColumn id="2" xr3:uid="{4F51F618-FE99-4A53-A456-AD60A8E6DBBD}" name="DATE" dataDxfId="32"/>
    <tableColumn id="3" xr3:uid="{91F68739-665D-4C57-8B6A-64262A0F1EDE}" name="Status" dataDxfId="31"/>
    <tableColumn id="4" xr3:uid="{3EC43F8B-D4DE-4F37-AB1D-D69FE0884416}" name="Number of cars affected by graffiti/shadows on this unit" dataDxfId="30"/>
    <tableColumn id="5" xr3:uid="{093CB3FE-7511-42B1-87C4-77A4BADEAB96}" name="Total Number of Tags found" dataDxfId="29"/>
    <tableColumn id="6" xr3:uid="{E74ED414-8B64-443B-80AA-CF04D9AE0FC7}" name="Total Tags Removed / Cleaned" dataDxfId="28"/>
    <tableColumn id="7" xr3:uid="{3F573323-E8C7-4D3F-B298-C2DAABE04912}" name="Total Tags Not Cleaned on this Unit" dataDxfId="27"/>
    <tableColumn id="8" xr3:uid="{71486C3C-4CE6-40A0-BAC6-F357B7DECE1B}" name="Car Number (s)  of Tags not cleaned (shadows)" dataDxfId="26"/>
    <tableColumn id="9" xr3:uid="{50E6D123-085C-4C75-9DD5-28A37EDDCB38}" name="Date of 2nd visit to clean remaining tags" dataDxfId="25"/>
    <tableColumn id="10" xr3:uid="{FEB46837-8F10-4C75-8FA4-DA6E124EE874}" name="Number of tags removed" dataDxfId="24"/>
    <tableColumn id="11" xr3:uid="{3689A052-E0C4-456F-9A61-BBB1D6BECA69}" name="Date of 3rd visit to clean remaining tags" dataDxfId="23"/>
    <tableColumn id="12" xr3:uid="{34C09A58-084F-4ED4-991A-41BCE4C4F007}" name="Number of tags removed2" dataDxfId="22"/>
    <tableColumn id="13" xr3:uid="{34F62AC2-9082-4F6D-B3C8-4DA2A842F25D}" name="Train Inspected and Fit for service    (Y/N)" dataDxfId="21"/>
    <tableColumn id="14" xr3:uid="{3FAC0682-F6E3-411C-90D6-1D303565665E}" name="Inspected by Supervisor/Manager (Name)" dataDxfId="20"/>
    <tableColumn id="15" xr3:uid="{586CE74A-2C33-4C4C-A9D8-9D4AA394DF6E}" name="Date of Completing all shadows (Tags) on this Unit excluding acid etched shadows" dataDxfId="19"/>
    <tableColumn id="16" xr3:uid="{D8DB0BE7-B8E2-4619-838F-ABC6B9FAA87B}" name="Car Number (s)  of Tags not cleaned due to acid etched shadow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BAA3A6-076B-4F60-8B23-42E25CABE045}" name="TagsBC6" displayName="TagsBC6" ref="A1:P73" totalsRowShown="0" headerRowDxfId="17" tableBorderDxfId="16">
  <autoFilter ref="A1:P73" xr:uid="{59BAA3A6-076B-4F60-8B23-42E25CABE045}"/>
  <tableColumns count="16">
    <tableColumn id="1" xr3:uid="{BBAD98DE-E37F-44C5-8A35-44A143EA1BCE}" name="Unit No." dataDxfId="15"/>
    <tableColumn id="2" xr3:uid="{4249A8CB-E0C0-426A-94C1-04C5C0E6661C}" name="DATE" dataDxfId="14"/>
    <tableColumn id="3" xr3:uid="{63CF6897-DD3B-4139-AC08-84EED1F93034}" name="Status" dataDxfId="13"/>
    <tableColumn id="4" xr3:uid="{7581430F-0C67-4CB3-9FE1-72DD70739A9A}" name="Number of cars affected by graffiti/shadows on this unit" dataDxfId="12"/>
    <tableColumn id="5" xr3:uid="{372F6F72-F14A-4EBC-A628-AAC735CD505B}" name="Total Number of Tags found" dataDxfId="11"/>
    <tableColumn id="6" xr3:uid="{8E347E2A-38A0-4203-8683-0AF5251EB174}" name="Total Tags Removed / Cleaned" dataDxfId="10"/>
    <tableColumn id="7" xr3:uid="{CB9FDEC4-D026-4A64-AB3E-89853AE516A4}" name="Total Tags Not Cleaned on this Unit" dataDxfId="9"/>
    <tableColumn id="8" xr3:uid="{3D8E1083-3F65-49BF-8A02-A996C3D8AA7D}" name="Car Number (s)  of Tags not cleaned (shadows)" dataDxfId="8"/>
    <tableColumn id="9" xr3:uid="{40B8D0BF-88EC-4938-AC43-DDDD09FC073B}" name="Date of 2nd visit to clean remaining tags" dataDxfId="7"/>
    <tableColumn id="10" xr3:uid="{E3309948-F41B-490D-A184-4F9A74CE0F45}" name="Number of tags removed" dataDxfId="6"/>
    <tableColumn id="11" xr3:uid="{5B7B422D-3A5D-4DDE-9260-21B6653165B1}" name="Date of 3rd visit to clean remaining tags" dataDxfId="5"/>
    <tableColumn id="12" xr3:uid="{7EBCF6DA-B45F-4240-86C9-7DDFB10BB2FE}" name="Number of tags removed2" dataDxfId="4"/>
    <tableColumn id="13" xr3:uid="{65F7EE3A-138A-4705-88BD-87153CEE8808}" name="Train Inspected and Fit for service    (Y/N)" dataDxfId="3"/>
    <tableColumn id="14" xr3:uid="{8164D0B7-4DEF-4BD7-9965-F7F22C356921}" name="Inspected by Supervisor/Manager (Name)" dataDxfId="2"/>
    <tableColumn id="15" xr3:uid="{04E19A9E-276E-458E-8FEC-4A68B059AE8E}" name="Date of Completing all shadows (Tags) on this Unit excluding acid etched shadows" dataDxfId="1"/>
    <tableColumn id="16" xr3:uid="{898E90FC-BFA3-4898-B52C-2D7E0F32C79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tabSelected="1" workbookViewId="0">
      <selection activeCell="F13" sqref="F13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9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4" customWidth="1"/>
    <col min="16" max="16" width="17.85546875" style="14" customWidth="1"/>
    <col min="17" max="17" width="2.5703125" style="1" customWidth="1"/>
    <col min="18" max="18" width="11.5703125" style="1" customWidth="1"/>
    <col min="19" max="19" width="10.5703125" style="1" customWidth="1"/>
    <col min="20" max="20" width="19.8554687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0" t="s">
        <v>0</v>
      </c>
      <c r="B1" s="50" t="s">
        <v>1</v>
      </c>
      <c r="C1" s="50" t="s">
        <v>2</v>
      </c>
      <c r="D1" s="51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3" t="s">
        <v>8</v>
      </c>
      <c r="J1" s="53" t="s">
        <v>9</v>
      </c>
      <c r="K1" s="54" t="s">
        <v>10</v>
      </c>
      <c r="L1" s="54" t="s">
        <v>11</v>
      </c>
      <c r="M1" s="55" t="s">
        <v>12</v>
      </c>
      <c r="N1" s="97" t="s">
        <v>13</v>
      </c>
      <c r="O1" s="56" t="s">
        <v>14</v>
      </c>
      <c r="P1" s="98" t="s">
        <v>15</v>
      </c>
    </row>
    <row r="2" spans="1:21" ht="15" customHeight="1">
      <c r="A2" s="99">
        <v>3231</v>
      </c>
      <c r="B2" s="100">
        <v>45792</v>
      </c>
      <c r="C2" s="100"/>
      <c r="D2" s="93">
        <v>4</v>
      </c>
      <c r="E2" s="101">
        <v>152</v>
      </c>
      <c r="F2" s="101">
        <v>152</v>
      </c>
      <c r="G2" s="101">
        <v>0</v>
      </c>
      <c r="H2" s="101">
        <v>0</v>
      </c>
      <c r="I2" s="101"/>
      <c r="J2" s="101"/>
      <c r="K2" s="101"/>
      <c r="L2" s="101"/>
      <c r="M2" s="101" t="s">
        <v>16</v>
      </c>
      <c r="N2" s="101" t="s">
        <v>17</v>
      </c>
      <c r="O2" s="100">
        <v>45792</v>
      </c>
      <c r="P2" s="65">
        <v>3231</v>
      </c>
      <c r="R2" s="94" t="s">
        <v>18</v>
      </c>
      <c r="S2" s="95"/>
      <c r="T2" s="95"/>
      <c r="U2" s="96"/>
    </row>
    <row r="3" spans="1:21" ht="15" customHeight="1">
      <c r="A3" s="99">
        <v>3232</v>
      </c>
      <c r="B3" s="100">
        <v>45813</v>
      </c>
      <c r="C3" s="100"/>
      <c r="D3" s="93">
        <v>4</v>
      </c>
      <c r="E3" s="101">
        <v>224</v>
      </c>
      <c r="F3" s="101">
        <v>179</v>
      </c>
      <c r="G3" s="101">
        <v>65</v>
      </c>
      <c r="H3" s="101">
        <v>2</v>
      </c>
      <c r="I3" s="102">
        <v>45838</v>
      </c>
      <c r="J3" s="101">
        <v>30</v>
      </c>
      <c r="K3" s="102"/>
      <c r="L3" s="102"/>
      <c r="M3" s="101" t="s">
        <v>16</v>
      </c>
      <c r="N3" s="102" t="s">
        <v>17</v>
      </c>
      <c r="O3" s="100">
        <v>45813</v>
      </c>
      <c r="P3" s="103"/>
      <c r="R3" s="75" t="s">
        <v>19</v>
      </c>
      <c r="S3" s="76" t="s">
        <v>20</v>
      </c>
      <c r="T3" s="77" t="s">
        <v>21</v>
      </c>
      <c r="U3" s="78" t="s">
        <v>22</v>
      </c>
    </row>
    <row r="4" spans="1:21" ht="15" customHeight="1">
      <c r="A4" s="104">
        <v>3233</v>
      </c>
      <c r="B4" s="105">
        <v>45812</v>
      </c>
      <c r="C4" s="100" t="s">
        <v>23</v>
      </c>
      <c r="D4" s="93">
        <v>4</v>
      </c>
      <c r="E4" s="101">
        <v>139</v>
      </c>
      <c r="F4" s="101">
        <v>43</v>
      </c>
      <c r="G4" s="101">
        <v>96</v>
      </c>
      <c r="H4" s="101">
        <v>3</v>
      </c>
      <c r="I4" s="102">
        <v>45823</v>
      </c>
      <c r="J4" s="101">
        <v>47</v>
      </c>
      <c r="K4" s="101"/>
      <c r="L4" s="101"/>
      <c r="M4" s="101" t="s">
        <v>16</v>
      </c>
      <c r="N4" s="101" t="s">
        <v>17</v>
      </c>
      <c r="O4" s="105">
        <v>45823</v>
      </c>
      <c r="P4" s="65">
        <v>3233</v>
      </c>
      <c r="R4" s="80">
        <v>36</v>
      </c>
      <c r="S4" s="81">
        <f>R4*2</f>
        <v>72</v>
      </c>
      <c r="T4" s="81">
        <f>COUNTA(O:O)-1</f>
        <v>65</v>
      </c>
      <c r="U4" s="106">
        <f>T4/S4</f>
        <v>0.90277777777777779</v>
      </c>
    </row>
    <row r="5" spans="1:21" ht="15" customHeight="1">
      <c r="A5" s="99">
        <v>3234</v>
      </c>
      <c r="B5" s="100">
        <v>45818</v>
      </c>
      <c r="C5" s="100"/>
      <c r="D5" s="93">
        <v>4</v>
      </c>
      <c r="E5" s="107">
        <v>311</v>
      </c>
      <c r="F5" s="107">
        <v>254</v>
      </c>
      <c r="G5" s="107">
        <v>57</v>
      </c>
      <c r="H5" s="107">
        <v>1</v>
      </c>
      <c r="I5" s="102">
        <v>45839</v>
      </c>
      <c r="J5" s="107">
        <v>59</v>
      </c>
      <c r="K5" s="107"/>
      <c r="L5" s="107"/>
      <c r="M5" s="101" t="s">
        <v>16</v>
      </c>
      <c r="N5" s="107" t="s">
        <v>17</v>
      </c>
      <c r="O5" s="100">
        <v>45826</v>
      </c>
      <c r="P5" s="108">
        <v>3234</v>
      </c>
    </row>
    <row r="6" spans="1:21" ht="15" customHeight="1">
      <c r="A6" s="99">
        <v>3235</v>
      </c>
      <c r="B6" s="100">
        <v>45826</v>
      </c>
      <c r="C6" s="100"/>
      <c r="D6" s="93">
        <v>4</v>
      </c>
      <c r="E6" s="107">
        <v>340</v>
      </c>
      <c r="F6" s="107">
        <v>340</v>
      </c>
      <c r="G6" s="109">
        <v>0</v>
      </c>
      <c r="H6" s="109">
        <v>0</v>
      </c>
      <c r="I6" s="102"/>
      <c r="J6" s="102"/>
      <c r="K6" s="102"/>
      <c r="L6" s="102"/>
      <c r="M6" s="101" t="s">
        <v>16</v>
      </c>
      <c r="N6" s="102" t="s">
        <v>17</v>
      </c>
      <c r="O6" s="100">
        <v>45826</v>
      </c>
      <c r="P6" s="108">
        <v>3235</v>
      </c>
    </row>
    <row r="7" spans="1:21" ht="15" customHeight="1">
      <c r="A7" s="99">
        <v>3236</v>
      </c>
      <c r="B7" s="100">
        <v>45806</v>
      </c>
      <c r="C7" s="100"/>
      <c r="D7" s="93">
        <v>4</v>
      </c>
      <c r="E7" s="109">
        <v>175</v>
      </c>
      <c r="F7" s="109">
        <v>175</v>
      </c>
      <c r="G7" s="109">
        <v>0</v>
      </c>
      <c r="H7" s="109">
        <v>0</v>
      </c>
      <c r="I7" s="109"/>
      <c r="J7" s="109"/>
      <c r="K7" s="109"/>
      <c r="L7" s="109"/>
      <c r="M7" s="101" t="s">
        <v>16</v>
      </c>
      <c r="N7" s="109" t="s">
        <v>17</v>
      </c>
      <c r="O7" s="100">
        <v>45806</v>
      </c>
      <c r="P7" s="110">
        <v>3236</v>
      </c>
    </row>
    <row r="8" spans="1:21" ht="15" customHeight="1">
      <c r="A8" s="99">
        <v>3237</v>
      </c>
      <c r="B8" s="100">
        <v>45774</v>
      </c>
      <c r="C8" s="100"/>
      <c r="D8" s="93">
        <v>4</v>
      </c>
      <c r="E8" s="101">
        <v>155</v>
      </c>
      <c r="F8" s="101">
        <v>20</v>
      </c>
      <c r="G8" s="101">
        <v>135</v>
      </c>
      <c r="H8" s="101">
        <v>3</v>
      </c>
      <c r="I8" s="102">
        <v>45785</v>
      </c>
      <c r="J8" s="101">
        <v>70</v>
      </c>
      <c r="K8" s="102">
        <v>45803</v>
      </c>
      <c r="L8" s="101">
        <v>65</v>
      </c>
      <c r="M8" s="101" t="s">
        <v>16</v>
      </c>
      <c r="N8" s="102" t="s">
        <v>17</v>
      </c>
      <c r="O8" s="100">
        <v>45803</v>
      </c>
      <c r="P8" s="65">
        <v>3237</v>
      </c>
    </row>
    <row r="9" spans="1:21" ht="15" customHeight="1">
      <c r="A9" s="99">
        <v>3238</v>
      </c>
      <c r="B9" s="100">
        <v>45791</v>
      </c>
      <c r="C9" s="100"/>
      <c r="D9" s="93">
        <v>4</v>
      </c>
      <c r="E9" s="101">
        <v>89</v>
      </c>
      <c r="F9" s="101">
        <v>77</v>
      </c>
      <c r="G9" s="101">
        <v>12</v>
      </c>
      <c r="H9" s="101">
        <v>3</v>
      </c>
      <c r="I9" s="102">
        <v>45825</v>
      </c>
      <c r="J9" s="101">
        <v>165</v>
      </c>
      <c r="K9" s="101"/>
      <c r="L9" s="101"/>
      <c r="M9" s="101" t="s">
        <v>16</v>
      </c>
      <c r="N9" s="101" t="s">
        <v>17</v>
      </c>
      <c r="O9" s="100">
        <v>45825</v>
      </c>
      <c r="P9" s="65">
        <v>4338</v>
      </c>
    </row>
    <row r="10" spans="1:21" ht="15" customHeight="1">
      <c r="A10" s="99">
        <v>3239</v>
      </c>
      <c r="B10" s="100">
        <v>45830</v>
      </c>
      <c r="C10" s="100"/>
      <c r="D10" s="93">
        <v>4</v>
      </c>
      <c r="E10" s="101">
        <v>435</v>
      </c>
      <c r="F10" s="101">
        <v>435</v>
      </c>
      <c r="G10" s="101">
        <v>0</v>
      </c>
      <c r="H10" s="101">
        <v>0</v>
      </c>
      <c r="I10" s="101"/>
      <c r="J10" s="101"/>
      <c r="K10" s="101"/>
      <c r="L10" s="101"/>
      <c r="M10" s="101" t="s">
        <v>16</v>
      </c>
      <c r="N10" s="101" t="s">
        <v>17</v>
      </c>
      <c r="O10" s="100">
        <v>45830</v>
      </c>
      <c r="P10" s="65">
        <v>3239</v>
      </c>
    </row>
    <row r="11" spans="1:21" ht="15" customHeight="1">
      <c r="A11" s="99">
        <v>3240</v>
      </c>
      <c r="B11" s="100">
        <v>45821</v>
      </c>
      <c r="C11" s="100"/>
      <c r="D11" s="93">
        <v>4</v>
      </c>
      <c r="E11" s="101">
        <v>301</v>
      </c>
      <c r="F11" s="101">
        <v>301</v>
      </c>
      <c r="G11" s="101">
        <v>0</v>
      </c>
      <c r="H11" s="101">
        <v>0</v>
      </c>
      <c r="I11" s="102"/>
      <c r="J11" s="102"/>
      <c r="K11" s="102"/>
      <c r="L11" s="102"/>
      <c r="M11" s="101" t="s">
        <v>16</v>
      </c>
      <c r="N11" s="102" t="s">
        <v>17</v>
      </c>
      <c r="O11" s="100">
        <v>45821</v>
      </c>
      <c r="P11" s="65">
        <v>3240</v>
      </c>
    </row>
    <row r="12" spans="1:21" ht="15" customHeight="1">
      <c r="A12" s="99">
        <v>3241</v>
      </c>
      <c r="B12" s="105">
        <v>45771</v>
      </c>
      <c r="C12" s="105"/>
      <c r="D12" s="93">
        <v>4</v>
      </c>
      <c r="E12" s="101">
        <v>205</v>
      </c>
      <c r="F12" s="101">
        <v>90</v>
      </c>
      <c r="G12" s="101">
        <v>115</v>
      </c>
      <c r="H12" s="101">
        <v>3</v>
      </c>
      <c r="I12" s="102">
        <v>45805</v>
      </c>
      <c r="J12" s="101">
        <v>115</v>
      </c>
      <c r="K12" s="101"/>
      <c r="L12" s="101"/>
      <c r="M12" s="101" t="s">
        <v>16</v>
      </c>
      <c r="N12" s="102" t="s">
        <v>17</v>
      </c>
      <c r="O12" s="105">
        <v>45805</v>
      </c>
      <c r="P12" s="65">
        <v>3241</v>
      </c>
      <c r="R12" s="9"/>
    </row>
    <row r="13" spans="1:21" ht="15" customHeight="1">
      <c r="A13" s="99">
        <v>3242</v>
      </c>
      <c r="B13" s="105">
        <v>45764</v>
      </c>
      <c r="C13" s="105"/>
      <c r="D13" s="93">
        <v>4</v>
      </c>
      <c r="E13" s="101">
        <v>360</v>
      </c>
      <c r="F13" s="101">
        <v>360</v>
      </c>
      <c r="G13" s="101">
        <v>0</v>
      </c>
      <c r="H13" s="101">
        <v>0</v>
      </c>
      <c r="I13" s="101"/>
      <c r="J13" s="101"/>
      <c r="K13" s="101"/>
      <c r="L13" s="101"/>
      <c r="M13" s="101" t="s">
        <v>16</v>
      </c>
      <c r="N13" s="102" t="s">
        <v>17</v>
      </c>
      <c r="O13" s="105">
        <v>45764</v>
      </c>
      <c r="P13" s="65">
        <v>3242</v>
      </c>
    </row>
    <row r="14" spans="1:21" ht="15" customHeight="1">
      <c r="A14" s="99">
        <v>3243</v>
      </c>
      <c r="B14" s="100">
        <v>45797</v>
      </c>
      <c r="C14" s="100"/>
      <c r="D14" s="93">
        <v>4</v>
      </c>
      <c r="E14" s="101">
        <v>384</v>
      </c>
      <c r="F14" s="101">
        <v>384</v>
      </c>
      <c r="G14" s="101">
        <v>0</v>
      </c>
      <c r="H14" s="101">
        <v>0</v>
      </c>
      <c r="I14" s="101"/>
      <c r="J14" s="101"/>
      <c r="K14" s="101"/>
      <c r="L14" s="101"/>
      <c r="M14" s="101" t="s">
        <v>16</v>
      </c>
      <c r="N14" s="102" t="s">
        <v>17</v>
      </c>
      <c r="O14" s="100">
        <v>45797</v>
      </c>
      <c r="P14" s="65">
        <v>3243</v>
      </c>
      <c r="R14" s="9"/>
    </row>
    <row r="15" spans="1:21" ht="15" customHeight="1">
      <c r="A15" s="99">
        <v>3244</v>
      </c>
      <c r="B15" s="100">
        <v>45776</v>
      </c>
      <c r="C15" s="100"/>
      <c r="D15" s="93">
        <v>1</v>
      </c>
      <c r="E15" s="101">
        <v>213</v>
      </c>
      <c r="F15" s="101">
        <v>63</v>
      </c>
      <c r="G15" s="101">
        <v>150</v>
      </c>
      <c r="H15" s="101">
        <v>0</v>
      </c>
      <c r="I15" s="102">
        <v>45838</v>
      </c>
      <c r="J15" s="101">
        <v>105</v>
      </c>
      <c r="K15" s="101"/>
      <c r="L15" s="101"/>
      <c r="M15" s="101" t="s">
        <v>16</v>
      </c>
      <c r="N15" s="102" t="s">
        <v>17</v>
      </c>
      <c r="O15" s="100">
        <v>45809</v>
      </c>
      <c r="P15" s="65">
        <v>3244</v>
      </c>
    </row>
    <row r="16" spans="1:21" ht="15" customHeight="1">
      <c r="A16" s="104">
        <v>3245</v>
      </c>
      <c r="B16" s="100">
        <v>45776</v>
      </c>
      <c r="C16" s="100" t="s">
        <v>23</v>
      </c>
      <c r="D16" s="93">
        <v>4</v>
      </c>
      <c r="E16" s="101">
        <v>105</v>
      </c>
      <c r="F16" s="101">
        <v>105</v>
      </c>
      <c r="G16" s="101">
        <v>0</v>
      </c>
      <c r="H16" s="101">
        <v>0</v>
      </c>
      <c r="I16" s="101"/>
      <c r="J16" s="101"/>
      <c r="K16" s="101"/>
      <c r="L16" s="101"/>
      <c r="M16" s="101" t="s">
        <v>16</v>
      </c>
      <c r="N16" s="102" t="s">
        <v>17</v>
      </c>
      <c r="O16" s="100">
        <v>45776</v>
      </c>
      <c r="P16" s="65">
        <v>3245</v>
      </c>
    </row>
    <row r="17" spans="1:18" ht="15" customHeight="1">
      <c r="A17" s="99">
        <v>3246</v>
      </c>
      <c r="B17" s="105">
        <v>45781</v>
      </c>
      <c r="C17" s="105"/>
      <c r="D17" s="93">
        <v>4</v>
      </c>
      <c r="E17" s="109">
        <v>177</v>
      </c>
      <c r="F17" s="109">
        <v>14</v>
      </c>
      <c r="G17" s="109">
        <v>163</v>
      </c>
      <c r="H17" s="109">
        <v>3</v>
      </c>
      <c r="I17" s="111">
        <v>45833</v>
      </c>
      <c r="J17" s="109">
        <v>163</v>
      </c>
      <c r="K17" s="109"/>
      <c r="L17" s="109"/>
      <c r="M17" s="101" t="s">
        <v>16</v>
      </c>
      <c r="N17" s="109" t="s">
        <v>17</v>
      </c>
      <c r="O17" s="105">
        <v>45833</v>
      </c>
      <c r="P17" s="110">
        <v>3346</v>
      </c>
    </row>
    <row r="18" spans="1:18" ht="15" customHeight="1">
      <c r="A18" s="104">
        <v>3247</v>
      </c>
      <c r="B18" s="100"/>
      <c r="C18" s="100"/>
      <c r="D18" s="93">
        <v>4</v>
      </c>
      <c r="E18" s="109">
        <v>0</v>
      </c>
      <c r="F18" s="109">
        <v>0</v>
      </c>
      <c r="G18" s="109">
        <v>0</v>
      </c>
      <c r="H18" s="109">
        <v>0</v>
      </c>
      <c r="I18" s="109"/>
      <c r="J18" s="109"/>
      <c r="K18" s="109"/>
      <c r="L18" s="109"/>
      <c r="M18" s="109"/>
      <c r="N18" s="109"/>
      <c r="O18" s="100"/>
      <c r="P18" s="110"/>
    </row>
    <row r="19" spans="1:18" ht="15" customHeight="1">
      <c r="A19" s="99">
        <v>3248</v>
      </c>
      <c r="B19" s="100">
        <v>45834</v>
      </c>
      <c r="C19" s="100"/>
      <c r="D19" s="93">
        <v>4</v>
      </c>
      <c r="E19" s="101">
        <v>272</v>
      </c>
      <c r="F19" s="101">
        <v>272</v>
      </c>
      <c r="G19" s="101">
        <v>0</v>
      </c>
      <c r="H19" s="101">
        <v>0</v>
      </c>
      <c r="I19" s="101"/>
      <c r="J19" s="101"/>
      <c r="K19" s="101"/>
      <c r="L19" s="101"/>
      <c r="M19" s="101" t="s">
        <v>16</v>
      </c>
      <c r="N19" s="101" t="s">
        <v>17</v>
      </c>
      <c r="O19" s="100">
        <v>45842</v>
      </c>
      <c r="P19" s="65">
        <v>3248</v>
      </c>
    </row>
    <row r="20" spans="1:18" ht="15" customHeight="1">
      <c r="A20" s="99">
        <v>3250</v>
      </c>
      <c r="B20" s="100">
        <v>45783</v>
      </c>
      <c r="C20" s="100"/>
      <c r="D20" s="93">
        <v>4</v>
      </c>
      <c r="E20" s="101">
        <v>247</v>
      </c>
      <c r="F20" s="101">
        <v>205</v>
      </c>
      <c r="G20" s="109">
        <v>42</v>
      </c>
      <c r="H20" s="101">
        <v>2</v>
      </c>
      <c r="I20" s="102">
        <v>45828</v>
      </c>
      <c r="J20" s="101">
        <v>145</v>
      </c>
      <c r="K20" s="101"/>
      <c r="L20" s="101"/>
      <c r="M20" s="101" t="s">
        <v>16</v>
      </c>
      <c r="N20" s="102" t="s">
        <v>17</v>
      </c>
      <c r="O20" s="100">
        <v>45828</v>
      </c>
      <c r="P20" s="110">
        <v>3250</v>
      </c>
    </row>
    <row r="21" spans="1:18" ht="15" customHeight="1">
      <c r="A21" s="104">
        <v>3251</v>
      </c>
      <c r="B21" s="100">
        <v>45778</v>
      </c>
      <c r="C21" s="100" t="s">
        <v>23</v>
      </c>
      <c r="D21" s="93">
        <v>4</v>
      </c>
      <c r="E21" s="101">
        <v>163</v>
      </c>
      <c r="F21" s="101">
        <v>113</v>
      </c>
      <c r="G21" s="101">
        <v>50</v>
      </c>
      <c r="H21" s="101">
        <v>2</v>
      </c>
      <c r="I21" s="102">
        <v>45819</v>
      </c>
      <c r="J21" s="101">
        <v>115</v>
      </c>
      <c r="K21" s="101"/>
      <c r="L21" s="101"/>
      <c r="M21" s="101" t="s">
        <v>16</v>
      </c>
      <c r="N21" s="102" t="s">
        <v>17</v>
      </c>
      <c r="O21" s="100">
        <v>45819</v>
      </c>
      <c r="P21" s="65">
        <v>3251</v>
      </c>
    </row>
    <row r="22" spans="1:18" ht="15" customHeight="1">
      <c r="A22" s="104">
        <v>3252</v>
      </c>
      <c r="B22" s="100">
        <v>45816</v>
      </c>
      <c r="C22" s="100" t="s">
        <v>23</v>
      </c>
      <c r="D22" s="93">
        <v>4</v>
      </c>
      <c r="E22" s="101">
        <v>341</v>
      </c>
      <c r="F22" s="101">
        <v>284</v>
      </c>
      <c r="G22" s="101">
        <v>57</v>
      </c>
      <c r="H22" s="101">
        <v>1</v>
      </c>
      <c r="I22" s="102">
        <v>45819</v>
      </c>
      <c r="J22" s="101">
        <v>42</v>
      </c>
      <c r="K22" s="102">
        <v>45819</v>
      </c>
      <c r="L22" s="101">
        <v>104</v>
      </c>
      <c r="M22" s="101" t="s">
        <v>16</v>
      </c>
      <c r="N22" s="102" t="s">
        <v>17</v>
      </c>
      <c r="O22" s="100">
        <v>45819</v>
      </c>
      <c r="P22" s="65">
        <v>3352</v>
      </c>
    </row>
    <row r="23" spans="1:18" ht="15" customHeight="1">
      <c r="A23" s="104">
        <v>3253</v>
      </c>
      <c r="B23" s="100"/>
      <c r="C23" s="100"/>
      <c r="D23" s="93">
        <v>4</v>
      </c>
      <c r="E23" s="101">
        <v>0</v>
      </c>
      <c r="F23" s="101">
        <v>0</v>
      </c>
      <c r="G23" s="101">
        <v>0</v>
      </c>
      <c r="H23" s="101">
        <v>0</v>
      </c>
      <c r="I23" s="102"/>
      <c r="J23" s="102"/>
      <c r="K23" s="102"/>
      <c r="L23" s="102"/>
      <c r="M23" s="102"/>
      <c r="N23" s="102"/>
      <c r="O23" s="100"/>
      <c r="P23" s="65"/>
    </row>
    <row r="24" spans="1:18" ht="15" customHeight="1">
      <c r="A24" s="99">
        <v>3254</v>
      </c>
      <c r="B24" s="100">
        <v>45820</v>
      </c>
      <c r="C24" s="100"/>
      <c r="D24" s="93">
        <v>4</v>
      </c>
      <c r="E24" s="101">
        <v>488</v>
      </c>
      <c r="F24" s="101">
        <v>488</v>
      </c>
      <c r="G24" s="101">
        <v>0</v>
      </c>
      <c r="H24" s="101">
        <v>0</v>
      </c>
      <c r="I24" s="102"/>
      <c r="J24" s="102"/>
      <c r="K24" s="102"/>
      <c r="L24" s="102"/>
      <c r="M24" s="102" t="s">
        <v>16</v>
      </c>
      <c r="N24" s="102" t="s">
        <v>17</v>
      </c>
      <c r="O24" s="100">
        <v>45820</v>
      </c>
      <c r="P24" s="65">
        <v>3254</v>
      </c>
    </row>
    <row r="25" spans="1:18" ht="15" customHeight="1">
      <c r="A25" s="99">
        <v>3255</v>
      </c>
      <c r="B25" s="105">
        <v>45795</v>
      </c>
      <c r="C25" s="105"/>
      <c r="D25" s="93">
        <v>4</v>
      </c>
      <c r="E25" s="101">
        <v>372</v>
      </c>
      <c r="F25" s="101">
        <v>352</v>
      </c>
      <c r="G25" s="101">
        <v>0</v>
      </c>
      <c r="H25" s="101">
        <v>1</v>
      </c>
      <c r="I25" s="102">
        <v>45795</v>
      </c>
      <c r="J25" s="101">
        <v>105</v>
      </c>
      <c r="K25" s="102">
        <v>45824</v>
      </c>
      <c r="L25" s="101">
        <v>52</v>
      </c>
      <c r="M25" s="102" t="s">
        <v>16</v>
      </c>
      <c r="N25" s="102" t="s">
        <v>17</v>
      </c>
      <c r="O25" s="105">
        <v>45824</v>
      </c>
      <c r="P25" s="65">
        <v>3255</v>
      </c>
    </row>
    <row r="26" spans="1:18" ht="15" customHeight="1">
      <c r="A26" s="104">
        <v>3256</v>
      </c>
      <c r="B26" s="105">
        <v>45834</v>
      </c>
      <c r="C26" s="100" t="s">
        <v>23</v>
      </c>
      <c r="D26" s="93">
        <v>4</v>
      </c>
      <c r="E26" s="101">
        <v>324</v>
      </c>
      <c r="F26" s="101">
        <v>144</v>
      </c>
      <c r="G26" s="101">
        <v>180</v>
      </c>
      <c r="H26" s="101">
        <v>2</v>
      </c>
      <c r="I26" s="102">
        <v>45841</v>
      </c>
      <c r="J26" s="101">
        <v>87</v>
      </c>
      <c r="K26" s="102">
        <v>45842</v>
      </c>
      <c r="L26" s="101">
        <v>93</v>
      </c>
      <c r="M26" s="102" t="s">
        <v>16</v>
      </c>
      <c r="N26" s="101" t="s">
        <v>17</v>
      </c>
      <c r="O26" s="105">
        <v>45842</v>
      </c>
      <c r="P26" s="65">
        <v>3256</v>
      </c>
    </row>
    <row r="27" spans="1:18" ht="15" customHeight="1">
      <c r="A27" s="99">
        <v>3258</v>
      </c>
      <c r="B27" s="100">
        <v>45803</v>
      </c>
      <c r="C27" s="100"/>
      <c r="D27" s="93">
        <v>4</v>
      </c>
      <c r="E27" s="101">
        <v>190</v>
      </c>
      <c r="F27" s="101">
        <v>190</v>
      </c>
      <c r="G27" s="101">
        <v>0</v>
      </c>
      <c r="H27" s="101">
        <v>0</v>
      </c>
      <c r="I27" s="101"/>
      <c r="J27" s="101"/>
      <c r="K27" s="101"/>
      <c r="L27" s="101"/>
      <c r="M27" s="102" t="s">
        <v>16</v>
      </c>
      <c r="N27" s="102" t="s">
        <v>17</v>
      </c>
      <c r="O27" s="100">
        <v>45803</v>
      </c>
      <c r="P27" s="65">
        <v>3258</v>
      </c>
      <c r="R27" s="9"/>
    </row>
    <row r="28" spans="1:18" ht="15" customHeight="1">
      <c r="A28" s="99">
        <v>3259</v>
      </c>
      <c r="B28" s="100">
        <v>45827</v>
      </c>
      <c r="C28" s="100"/>
      <c r="D28" s="93">
        <v>4</v>
      </c>
      <c r="E28" s="109">
        <v>458</v>
      </c>
      <c r="F28" s="109">
        <v>458</v>
      </c>
      <c r="G28" s="109">
        <v>0</v>
      </c>
      <c r="H28" s="109">
        <v>0</v>
      </c>
      <c r="I28" s="109"/>
      <c r="J28" s="109"/>
      <c r="K28" s="109"/>
      <c r="L28" s="109"/>
      <c r="M28" s="102" t="s">
        <v>16</v>
      </c>
      <c r="N28" s="109" t="s">
        <v>17</v>
      </c>
      <c r="O28" s="100">
        <v>45827</v>
      </c>
      <c r="P28" s="110">
        <v>3259</v>
      </c>
    </row>
    <row r="29" spans="1:18" ht="15" customHeight="1">
      <c r="A29" s="104">
        <v>3260</v>
      </c>
      <c r="B29" s="100"/>
      <c r="C29" s="100"/>
      <c r="D29" s="93">
        <v>4</v>
      </c>
      <c r="E29" s="109">
        <v>0</v>
      </c>
      <c r="F29" s="109">
        <v>0</v>
      </c>
      <c r="G29" s="109">
        <v>0</v>
      </c>
      <c r="H29" s="109">
        <v>0</v>
      </c>
      <c r="I29" s="109"/>
      <c r="J29" s="109"/>
      <c r="K29" s="109"/>
      <c r="L29" s="109"/>
      <c r="M29" s="109"/>
      <c r="N29" s="109"/>
      <c r="O29" s="100"/>
      <c r="P29" s="110"/>
      <c r="R29" s="1" t="s">
        <v>24</v>
      </c>
    </row>
    <row r="30" spans="1:18" ht="15" customHeight="1">
      <c r="A30" s="99">
        <v>3261</v>
      </c>
      <c r="B30" s="105">
        <v>45796</v>
      </c>
      <c r="C30" s="105"/>
      <c r="D30" s="112">
        <v>4</v>
      </c>
      <c r="E30" s="101">
        <v>195</v>
      </c>
      <c r="F30" s="101">
        <v>195</v>
      </c>
      <c r="G30" s="101">
        <v>0</v>
      </c>
      <c r="H30" s="101">
        <v>0</v>
      </c>
      <c r="I30" s="101"/>
      <c r="J30" s="101"/>
      <c r="K30" s="101"/>
      <c r="L30" s="101"/>
      <c r="M30" s="113" t="s">
        <v>16</v>
      </c>
      <c r="N30" s="113" t="s">
        <v>17</v>
      </c>
      <c r="O30" s="105">
        <v>45796</v>
      </c>
      <c r="P30" s="65">
        <v>3261</v>
      </c>
    </row>
    <row r="31" spans="1:18" ht="15" customHeight="1">
      <c r="A31" s="99">
        <v>3262</v>
      </c>
      <c r="B31" s="100">
        <v>45761</v>
      </c>
      <c r="C31" s="100"/>
      <c r="D31" s="93">
        <v>4</v>
      </c>
      <c r="E31" s="101">
        <v>116</v>
      </c>
      <c r="F31" s="101">
        <v>116</v>
      </c>
      <c r="G31" s="101">
        <v>0</v>
      </c>
      <c r="H31" s="101">
        <v>0</v>
      </c>
      <c r="I31" s="101"/>
      <c r="J31" s="101"/>
      <c r="K31" s="101"/>
      <c r="L31" s="101"/>
      <c r="M31" s="113" t="s">
        <v>16</v>
      </c>
      <c r="N31" s="101" t="s">
        <v>17</v>
      </c>
      <c r="O31" s="100">
        <v>45761</v>
      </c>
      <c r="P31" s="65"/>
    </row>
    <row r="32" spans="1:18" ht="15" customHeight="1">
      <c r="A32" s="99">
        <v>3263</v>
      </c>
      <c r="B32" s="100">
        <v>45762</v>
      </c>
      <c r="C32" s="100"/>
      <c r="D32" s="93">
        <v>4</v>
      </c>
      <c r="E32" s="101">
        <v>59</v>
      </c>
      <c r="F32" s="101">
        <v>59</v>
      </c>
      <c r="G32" s="101">
        <v>0</v>
      </c>
      <c r="H32" s="101">
        <v>2</v>
      </c>
      <c r="I32" s="102">
        <v>45828</v>
      </c>
      <c r="J32" s="101">
        <v>42</v>
      </c>
      <c r="K32" s="102">
        <v>45833</v>
      </c>
      <c r="L32" s="101">
        <v>39</v>
      </c>
      <c r="M32" s="113" t="s">
        <v>16</v>
      </c>
      <c r="N32" s="102" t="s">
        <v>17</v>
      </c>
      <c r="O32" s="100">
        <v>45833</v>
      </c>
      <c r="P32" s="65">
        <v>3263</v>
      </c>
    </row>
    <row r="33" spans="1:19" ht="15" customHeight="1">
      <c r="A33" s="99">
        <v>3264</v>
      </c>
      <c r="B33" s="100">
        <v>45784</v>
      </c>
      <c r="C33" s="100"/>
      <c r="D33" s="93">
        <v>4</v>
      </c>
      <c r="E33" s="101">
        <v>201</v>
      </c>
      <c r="F33" s="101">
        <v>201</v>
      </c>
      <c r="G33" s="101">
        <v>0</v>
      </c>
      <c r="H33" s="101">
        <v>0</v>
      </c>
      <c r="I33" s="101"/>
      <c r="J33" s="101"/>
      <c r="K33" s="101"/>
      <c r="L33" s="101"/>
      <c r="M33" s="113" t="s">
        <v>16</v>
      </c>
      <c r="N33" s="102" t="s">
        <v>17</v>
      </c>
      <c r="O33" s="100">
        <v>45784</v>
      </c>
      <c r="P33" s="65">
        <v>3264</v>
      </c>
    </row>
    <row r="34" spans="1:19" ht="15" customHeight="1">
      <c r="A34" s="99">
        <v>3265</v>
      </c>
      <c r="B34" s="100">
        <v>45823</v>
      </c>
      <c r="C34" s="100"/>
      <c r="D34" s="93">
        <v>4</v>
      </c>
      <c r="E34" s="101">
        <v>430</v>
      </c>
      <c r="F34" s="101">
        <v>359</v>
      </c>
      <c r="G34" s="101">
        <v>71</v>
      </c>
      <c r="H34" s="101">
        <v>0</v>
      </c>
      <c r="I34" s="101"/>
      <c r="J34" s="101"/>
      <c r="K34" s="101"/>
      <c r="L34" s="101"/>
      <c r="M34" s="113" t="s">
        <v>16</v>
      </c>
      <c r="N34" s="101" t="s">
        <v>17</v>
      </c>
      <c r="O34" s="100">
        <v>45823</v>
      </c>
      <c r="P34" s="65">
        <v>3265</v>
      </c>
    </row>
    <row r="35" spans="1:19" ht="15" customHeight="1">
      <c r="A35" s="104">
        <v>3266</v>
      </c>
      <c r="B35" s="100">
        <v>45778</v>
      </c>
      <c r="C35" s="100" t="s">
        <v>23</v>
      </c>
      <c r="D35" s="93">
        <v>4</v>
      </c>
      <c r="E35" s="101">
        <v>167</v>
      </c>
      <c r="F35" s="101">
        <v>167</v>
      </c>
      <c r="G35" s="101">
        <v>0</v>
      </c>
      <c r="H35" s="101">
        <v>0</v>
      </c>
      <c r="I35" s="101"/>
      <c r="J35" s="101"/>
      <c r="K35" s="101"/>
      <c r="L35" s="101"/>
      <c r="M35" s="113" t="s">
        <v>16</v>
      </c>
      <c r="N35" s="102" t="s">
        <v>17</v>
      </c>
      <c r="O35" s="100">
        <v>45778</v>
      </c>
      <c r="P35" s="65">
        <v>3266</v>
      </c>
    </row>
    <row r="36" spans="1:19" ht="15" customHeight="1">
      <c r="A36" s="104">
        <v>3267</v>
      </c>
      <c r="B36" s="100">
        <v>45776</v>
      </c>
      <c r="C36" s="100" t="s">
        <v>23</v>
      </c>
      <c r="D36" s="93">
        <v>3</v>
      </c>
      <c r="E36" s="101">
        <v>177</v>
      </c>
      <c r="F36" s="101">
        <v>173</v>
      </c>
      <c r="G36" s="101">
        <v>4</v>
      </c>
      <c r="H36" s="101">
        <v>1</v>
      </c>
      <c r="I36" s="101"/>
      <c r="J36" s="101"/>
      <c r="K36" s="101"/>
      <c r="L36" s="101"/>
      <c r="M36" s="113" t="s">
        <v>16</v>
      </c>
      <c r="N36" s="102" t="s">
        <v>17</v>
      </c>
      <c r="O36" s="100"/>
      <c r="P36" s="65"/>
    </row>
    <row r="37" spans="1:19" ht="15" customHeight="1">
      <c r="A37" s="99">
        <v>3299</v>
      </c>
      <c r="B37" s="100">
        <v>45788</v>
      </c>
      <c r="C37" s="100"/>
      <c r="D37" s="93">
        <v>4</v>
      </c>
      <c r="E37" s="101">
        <v>123</v>
      </c>
      <c r="F37" s="101">
        <v>123</v>
      </c>
      <c r="G37" s="101">
        <v>0</v>
      </c>
      <c r="H37" s="101">
        <v>2</v>
      </c>
      <c r="I37" s="102">
        <v>45820</v>
      </c>
      <c r="J37" s="101">
        <v>35</v>
      </c>
      <c r="K37" s="101"/>
      <c r="L37" s="101"/>
      <c r="M37" s="113" t="s">
        <v>16</v>
      </c>
      <c r="N37" s="102" t="s">
        <v>17</v>
      </c>
      <c r="O37" s="100">
        <v>45820</v>
      </c>
      <c r="P37" s="65">
        <v>3299</v>
      </c>
    </row>
    <row r="38" spans="1:19" ht="15" customHeight="1">
      <c r="A38" s="99">
        <v>3531</v>
      </c>
      <c r="B38" s="105">
        <v>45790</v>
      </c>
      <c r="C38" s="105"/>
      <c r="D38" s="93">
        <v>3</v>
      </c>
      <c r="E38" s="101">
        <v>146</v>
      </c>
      <c r="F38" s="101">
        <v>105</v>
      </c>
      <c r="G38" s="101">
        <v>41</v>
      </c>
      <c r="H38" s="101">
        <v>2</v>
      </c>
      <c r="I38" s="102">
        <v>45832</v>
      </c>
      <c r="J38" s="101">
        <v>473</v>
      </c>
      <c r="K38" s="101"/>
      <c r="L38" s="101"/>
      <c r="M38" s="113" t="s">
        <v>16</v>
      </c>
      <c r="N38" s="109" t="s">
        <v>17</v>
      </c>
      <c r="O38" s="105">
        <v>45832</v>
      </c>
      <c r="P38" s="110">
        <v>3431</v>
      </c>
    </row>
    <row r="39" spans="1:19" ht="15" customHeight="1">
      <c r="A39" s="104">
        <v>3532</v>
      </c>
      <c r="B39" s="105"/>
      <c r="C39" s="105"/>
      <c r="D39" s="93">
        <v>3</v>
      </c>
      <c r="E39" s="101">
        <v>0</v>
      </c>
      <c r="F39" s="101">
        <v>0</v>
      </c>
      <c r="G39" s="101">
        <v>0</v>
      </c>
      <c r="H39" s="101">
        <v>0</v>
      </c>
      <c r="I39" s="101"/>
      <c r="J39" s="101"/>
      <c r="K39" s="101"/>
      <c r="L39" s="101"/>
      <c r="M39" s="102"/>
      <c r="N39" s="102"/>
      <c r="O39" s="105"/>
      <c r="P39" s="103"/>
    </row>
    <row r="40" spans="1:19" ht="15" customHeight="1">
      <c r="A40" s="104">
        <v>3533</v>
      </c>
      <c r="B40" s="100"/>
      <c r="C40" s="100"/>
      <c r="D40" s="93">
        <v>3</v>
      </c>
      <c r="E40" s="101">
        <v>0</v>
      </c>
      <c r="F40" s="101">
        <v>0</v>
      </c>
      <c r="G40" s="101">
        <v>0</v>
      </c>
      <c r="H40" s="101">
        <v>0</v>
      </c>
      <c r="I40" s="101"/>
      <c r="J40" s="101"/>
      <c r="K40" s="101"/>
      <c r="L40" s="101"/>
      <c r="M40" s="102"/>
      <c r="N40" s="102"/>
      <c r="O40" s="100"/>
      <c r="P40" s="103"/>
      <c r="S40" s="10"/>
    </row>
    <row r="41" spans="1:19" ht="15" customHeight="1">
      <c r="A41" s="104">
        <v>3534</v>
      </c>
      <c r="B41" s="100">
        <v>45840</v>
      </c>
      <c r="C41" s="100" t="s">
        <v>23</v>
      </c>
      <c r="D41" s="93">
        <v>3</v>
      </c>
      <c r="E41" s="101">
        <v>0</v>
      </c>
      <c r="F41" s="101">
        <v>0</v>
      </c>
      <c r="G41" s="101">
        <v>0</v>
      </c>
      <c r="H41" s="101">
        <v>0</v>
      </c>
      <c r="I41" s="101"/>
      <c r="J41" s="101"/>
      <c r="K41" s="101"/>
      <c r="L41" s="101"/>
      <c r="M41" s="102" t="s">
        <v>16</v>
      </c>
      <c r="N41" s="102" t="s">
        <v>17</v>
      </c>
      <c r="O41" s="100">
        <v>45840</v>
      </c>
      <c r="P41" s="103"/>
    </row>
    <row r="42" spans="1:19" ht="15" customHeight="1">
      <c r="A42" s="99">
        <v>3535</v>
      </c>
      <c r="B42" s="100">
        <v>45834</v>
      </c>
      <c r="C42" s="100"/>
      <c r="D42" s="93">
        <v>2</v>
      </c>
      <c r="E42" s="101">
        <v>158</v>
      </c>
      <c r="F42" s="101">
        <v>158</v>
      </c>
      <c r="G42" s="101">
        <v>0</v>
      </c>
      <c r="H42" s="101">
        <v>1</v>
      </c>
      <c r="I42" s="102">
        <v>45839</v>
      </c>
      <c r="J42" s="101">
        <v>40</v>
      </c>
      <c r="K42" s="101"/>
      <c r="L42" s="101"/>
      <c r="M42" s="102" t="s">
        <v>16</v>
      </c>
      <c r="N42" s="109" t="s">
        <v>17</v>
      </c>
      <c r="O42" s="100">
        <v>45834</v>
      </c>
      <c r="P42" s="110">
        <v>3535</v>
      </c>
    </row>
    <row r="43" spans="1:19" ht="15" customHeight="1">
      <c r="A43" s="104">
        <v>3536</v>
      </c>
      <c r="B43" s="100">
        <v>45804</v>
      </c>
      <c r="C43" s="100" t="s">
        <v>23</v>
      </c>
      <c r="D43" s="93">
        <v>3</v>
      </c>
      <c r="E43" s="101">
        <v>276</v>
      </c>
      <c r="F43" s="101">
        <v>276</v>
      </c>
      <c r="G43" s="101">
        <v>0</v>
      </c>
      <c r="H43" s="101">
        <v>0</v>
      </c>
      <c r="I43" s="101"/>
      <c r="J43" s="101"/>
      <c r="K43" s="101"/>
      <c r="L43" s="101"/>
      <c r="M43" s="102" t="s">
        <v>16</v>
      </c>
      <c r="N43" s="101" t="s">
        <v>17</v>
      </c>
      <c r="O43" s="100">
        <v>45804</v>
      </c>
      <c r="P43" s="65">
        <v>3536</v>
      </c>
    </row>
    <row r="44" spans="1:19" ht="15" customHeight="1">
      <c r="A44" s="99">
        <v>3537</v>
      </c>
      <c r="B44" s="100">
        <v>45810</v>
      </c>
      <c r="C44" s="100"/>
      <c r="D44" s="93">
        <v>3</v>
      </c>
      <c r="E44" s="101">
        <v>188</v>
      </c>
      <c r="F44" s="101">
        <v>95</v>
      </c>
      <c r="G44" s="101">
        <v>93</v>
      </c>
      <c r="H44" s="101">
        <v>2</v>
      </c>
      <c r="I44" s="102">
        <v>45824</v>
      </c>
      <c r="J44" s="101">
        <v>144</v>
      </c>
      <c r="K44" s="101"/>
      <c r="L44" s="101"/>
      <c r="M44" s="102" t="s">
        <v>16</v>
      </c>
      <c r="N44" s="102" t="s">
        <v>17</v>
      </c>
      <c r="O44" s="100">
        <v>45824</v>
      </c>
      <c r="P44" s="65">
        <v>3437</v>
      </c>
    </row>
    <row r="45" spans="1:19" ht="15" customHeight="1">
      <c r="A45" s="99">
        <v>3538</v>
      </c>
      <c r="B45" s="100">
        <v>45777</v>
      </c>
      <c r="C45" s="100"/>
      <c r="D45" s="93">
        <v>3</v>
      </c>
      <c r="E45" s="101">
        <v>265</v>
      </c>
      <c r="F45" s="101">
        <v>195</v>
      </c>
      <c r="G45" s="101">
        <v>70</v>
      </c>
      <c r="H45" s="101">
        <v>1</v>
      </c>
      <c r="I45" s="102">
        <v>45840</v>
      </c>
      <c r="J45" s="101">
        <v>55</v>
      </c>
      <c r="K45" s="101"/>
      <c r="L45" s="101"/>
      <c r="M45" s="102" t="s">
        <v>16</v>
      </c>
      <c r="N45" s="102" t="s">
        <v>17</v>
      </c>
      <c r="O45" s="100">
        <v>45777</v>
      </c>
      <c r="P45" s="110">
        <v>3538</v>
      </c>
    </row>
    <row r="46" spans="1:19" ht="15" customHeight="1">
      <c r="A46" s="104">
        <v>3540</v>
      </c>
      <c r="B46" s="105">
        <v>45769</v>
      </c>
      <c r="C46" s="100" t="s">
        <v>23</v>
      </c>
      <c r="D46" s="93">
        <v>3</v>
      </c>
      <c r="E46" s="101">
        <v>30</v>
      </c>
      <c r="F46" s="101">
        <v>30</v>
      </c>
      <c r="G46" s="101">
        <v>0</v>
      </c>
      <c r="H46" s="101">
        <v>2</v>
      </c>
      <c r="I46" s="102">
        <v>45844</v>
      </c>
      <c r="J46" s="101">
        <v>162</v>
      </c>
      <c r="K46" s="101"/>
      <c r="L46" s="101"/>
      <c r="M46" s="102" t="s">
        <v>16</v>
      </c>
      <c r="N46" s="109" t="s">
        <v>17</v>
      </c>
      <c r="O46" s="105">
        <v>45844</v>
      </c>
      <c r="P46" s="110">
        <v>3540</v>
      </c>
    </row>
    <row r="47" spans="1:19" ht="15" customHeight="1">
      <c r="A47" s="99">
        <v>3541</v>
      </c>
      <c r="B47" s="105">
        <v>45774</v>
      </c>
      <c r="C47" s="105"/>
      <c r="D47" s="93">
        <v>3</v>
      </c>
      <c r="E47" s="101">
        <v>356</v>
      </c>
      <c r="F47" s="101">
        <v>356</v>
      </c>
      <c r="G47" s="101">
        <v>0</v>
      </c>
      <c r="H47" s="101">
        <v>0</v>
      </c>
      <c r="I47" s="101"/>
      <c r="J47" s="101"/>
      <c r="K47" s="101"/>
      <c r="L47" s="101"/>
      <c r="M47" s="102" t="s">
        <v>16</v>
      </c>
      <c r="N47" s="109" t="s">
        <v>17</v>
      </c>
      <c r="O47" s="105" t="s">
        <v>25</v>
      </c>
      <c r="P47" s="110">
        <v>3541</v>
      </c>
    </row>
    <row r="48" spans="1:19" ht="15" customHeight="1">
      <c r="A48" s="99">
        <v>3542</v>
      </c>
      <c r="B48" s="100">
        <v>45764</v>
      </c>
      <c r="C48" s="100"/>
      <c r="D48" s="93">
        <v>3</v>
      </c>
      <c r="E48" s="101">
        <v>283</v>
      </c>
      <c r="F48" s="101">
        <v>283</v>
      </c>
      <c r="G48" s="101">
        <v>0</v>
      </c>
      <c r="H48" s="101">
        <v>0</v>
      </c>
      <c r="I48" s="101"/>
      <c r="J48" s="101"/>
      <c r="K48" s="101"/>
      <c r="L48" s="101"/>
      <c r="M48" s="102" t="s">
        <v>16</v>
      </c>
      <c r="N48" s="102" t="s">
        <v>17</v>
      </c>
      <c r="O48" s="100">
        <v>45764</v>
      </c>
      <c r="P48" s="65">
        <v>3542</v>
      </c>
    </row>
    <row r="49" spans="1:16" ht="15" customHeight="1">
      <c r="A49" s="99">
        <v>3543</v>
      </c>
      <c r="B49" s="114" t="s">
        <v>26</v>
      </c>
      <c r="C49" s="114"/>
      <c r="D49" s="93">
        <v>3</v>
      </c>
      <c r="E49" s="101">
        <v>61</v>
      </c>
      <c r="F49" s="101">
        <v>61</v>
      </c>
      <c r="G49" s="101">
        <v>13</v>
      </c>
      <c r="H49" s="101">
        <v>2</v>
      </c>
      <c r="I49" s="102">
        <v>45812</v>
      </c>
      <c r="J49" s="101">
        <v>13</v>
      </c>
      <c r="K49" s="101"/>
      <c r="L49" s="101"/>
      <c r="M49" s="102" t="s">
        <v>16</v>
      </c>
      <c r="N49" s="102" t="s">
        <v>17</v>
      </c>
      <c r="O49" s="114" t="s">
        <v>27</v>
      </c>
      <c r="P49" s="65">
        <v>3543</v>
      </c>
    </row>
    <row r="50" spans="1:16" ht="15" customHeight="1">
      <c r="A50" s="104">
        <v>3544</v>
      </c>
      <c r="B50" s="105">
        <v>45769</v>
      </c>
      <c r="C50" s="100" t="s">
        <v>23</v>
      </c>
      <c r="D50" s="93">
        <v>3</v>
      </c>
      <c r="E50" s="101">
        <v>265</v>
      </c>
      <c r="F50" s="101">
        <v>220</v>
      </c>
      <c r="G50" s="101">
        <v>45</v>
      </c>
      <c r="H50" s="101">
        <v>1</v>
      </c>
      <c r="I50" s="102">
        <v>45817</v>
      </c>
      <c r="J50" s="101">
        <v>97</v>
      </c>
      <c r="K50" s="102">
        <v>45819</v>
      </c>
      <c r="L50" s="101">
        <v>12</v>
      </c>
      <c r="M50" s="102" t="s">
        <v>16</v>
      </c>
      <c r="N50" s="101" t="s">
        <v>17</v>
      </c>
      <c r="O50" s="100">
        <v>45819</v>
      </c>
      <c r="P50" s="65">
        <v>3544</v>
      </c>
    </row>
    <row r="51" spans="1:16" ht="15" customHeight="1">
      <c r="A51" s="99">
        <v>3545</v>
      </c>
      <c r="B51" s="105">
        <v>45783</v>
      </c>
      <c r="C51" s="105"/>
      <c r="D51" s="93">
        <v>3</v>
      </c>
      <c r="E51" s="101">
        <v>141</v>
      </c>
      <c r="F51" s="101">
        <v>141</v>
      </c>
      <c r="G51" s="101">
        <v>0</v>
      </c>
      <c r="H51" s="101">
        <v>0</v>
      </c>
      <c r="I51" s="101"/>
      <c r="J51" s="101"/>
      <c r="K51" s="101"/>
      <c r="L51" s="101"/>
      <c r="M51" s="102" t="s">
        <v>16</v>
      </c>
      <c r="N51" s="101" t="s">
        <v>17</v>
      </c>
      <c r="O51" s="100">
        <v>45783</v>
      </c>
      <c r="P51" s="65">
        <v>3545</v>
      </c>
    </row>
    <row r="52" spans="1:16" ht="15" customHeight="1">
      <c r="A52" s="99">
        <v>3546</v>
      </c>
      <c r="B52" s="100">
        <v>45812</v>
      </c>
      <c r="C52" s="100"/>
      <c r="D52" s="93">
        <v>3</v>
      </c>
      <c r="E52" s="109">
        <v>235</v>
      </c>
      <c r="F52" s="109">
        <v>95</v>
      </c>
      <c r="G52" s="109">
        <v>140</v>
      </c>
      <c r="H52" s="109">
        <v>2</v>
      </c>
      <c r="I52" s="102">
        <v>45827</v>
      </c>
      <c r="J52" s="109">
        <v>240</v>
      </c>
      <c r="K52" s="109"/>
      <c r="L52" s="109"/>
      <c r="M52" s="102" t="s">
        <v>16</v>
      </c>
      <c r="N52" s="109" t="s">
        <v>17</v>
      </c>
      <c r="O52" s="105">
        <v>45812</v>
      </c>
      <c r="P52" s="110">
        <v>3546</v>
      </c>
    </row>
    <row r="53" spans="1:16" ht="15" customHeight="1">
      <c r="A53" s="99">
        <v>3547</v>
      </c>
      <c r="B53" s="100">
        <v>45782</v>
      </c>
      <c r="C53" s="100"/>
      <c r="D53" s="93">
        <v>3</v>
      </c>
      <c r="E53" s="101">
        <v>315</v>
      </c>
      <c r="F53" s="101">
        <v>315</v>
      </c>
      <c r="G53" s="101">
        <v>0</v>
      </c>
      <c r="H53" s="101">
        <v>0</v>
      </c>
      <c r="I53" s="101"/>
      <c r="J53" s="101"/>
      <c r="K53" s="101"/>
      <c r="L53" s="101"/>
      <c r="M53" s="102" t="s">
        <v>16</v>
      </c>
      <c r="N53" s="101" t="s">
        <v>17</v>
      </c>
      <c r="O53" s="100">
        <v>45782</v>
      </c>
      <c r="P53" s="65">
        <v>3547</v>
      </c>
    </row>
    <row r="54" spans="1:16" ht="15" customHeight="1">
      <c r="A54" s="99">
        <v>3548</v>
      </c>
      <c r="B54" s="100">
        <v>45768</v>
      </c>
      <c r="C54" s="100"/>
      <c r="D54" s="93">
        <v>3</v>
      </c>
      <c r="E54" s="101">
        <v>276</v>
      </c>
      <c r="F54" s="101">
        <v>319</v>
      </c>
      <c r="G54" s="101">
        <v>0</v>
      </c>
      <c r="H54" s="101">
        <v>0</v>
      </c>
      <c r="I54" s="101"/>
      <c r="J54" s="101"/>
      <c r="K54" s="101"/>
      <c r="L54" s="101"/>
      <c r="M54" s="102" t="s">
        <v>16</v>
      </c>
      <c r="N54" s="101" t="s">
        <v>17</v>
      </c>
      <c r="O54" s="100">
        <v>45768</v>
      </c>
      <c r="P54" s="65">
        <v>3548</v>
      </c>
    </row>
    <row r="55" spans="1:16" ht="15" customHeight="1">
      <c r="A55" s="99">
        <v>3549</v>
      </c>
      <c r="B55" s="100">
        <v>45771</v>
      </c>
      <c r="C55" s="100"/>
      <c r="D55" s="93">
        <v>3</v>
      </c>
      <c r="E55" s="101">
        <v>210</v>
      </c>
      <c r="F55" s="101">
        <v>135</v>
      </c>
      <c r="G55" s="101">
        <v>75</v>
      </c>
      <c r="H55" s="101">
        <v>2</v>
      </c>
      <c r="I55" s="102">
        <v>45794</v>
      </c>
      <c r="J55" s="101">
        <v>61</v>
      </c>
      <c r="K55" s="102">
        <v>45838</v>
      </c>
      <c r="L55" s="101">
        <v>115</v>
      </c>
      <c r="M55" s="102" t="s">
        <v>16</v>
      </c>
      <c r="N55" s="101" t="s">
        <v>17</v>
      </c>
      <c r="O55" s="100">
        <v>45794</v>
      </c>
      <c r="P55" s="65">
        <v>3549</v>
      </c>
    </row>
    <row r="56" spans="1:16" ht="15" customHeight="1">
      <c r="A56" s="99">
        <v>3550</v>
      </c>
      <c r="B56" s="100">
        <v>45819</v>
      </c>
      <c r="C56" s="100"/>
      <c r="D56" s="93">
        <v>3</v>
      </c>
      <c r="E56" s="101">
        <v>466</v>
      </c>
      <c r="F56" s="101">
        <v>398</v>
      </c>
      <c r="G56" s="101">
        <v>68</v>
      </c>
      <c r="H56" s="101">
        <v>2</v>
      </c>
      <c r="I56" s="102">
        <v>45842</v>
      </c>
      <c r="J56" s="101">
        <v>48</v>
      </c>
      <c r="K56" s="101"/>
      <c r="L56" s="101"/>
      <c r="M56" s="102" t="s">
        <v>16</v>
      </c>
      <c r="N56" s="101" t="s">
        <v>17</v>
      </c>
      <c r="O56" s="100">
        <v>45819</v>
      </c>
      <c r="P56" s="65">
        <v>3550</v>
      </c>
    </row>
    <row r="57" spans="1:16" ht="15" customHeight="1">
      <c r="A57" s="104">
        <v>3551</v>
      </c>
      <c r="B57" s="100">
        <v>45799</v>
      </c>
      <c r="C57" s="100" t="s">
        <v>23</v>
      </c>
      <c r="D57" s="93">
        <v>3</v>
      </c>
      <c r="E57" s="101">
        <v>192</v>
      </c>
      <c r="F57" s="101">
        <v>192</v>
      </c>
      <c r="G57" s="101">
        <v>0</v>
      </c>
      <c r="H57" s="101">
        <v>1</v>
      </c>
      <c r="I57" s="101"/>
      <c r="J57" s="101"/>
      <c r="K57" s="101"/>
      <c r="L57" s="101"/>
      <c r="M57" s="102" t="s">
        <v>16</v>
      </c>
      <c r="N57" s="101" t="s">
        <v>17</v>
      </c>
      <c r="O57" s="100"/>
      <c r="P57" s="65">
        <v>3551</v>
      </c>
    </row>
    <row r="58" spans="1:16" ht="15" customHeight="1">
      <c r="A58" s="99">
        <v>3552</v>
      </c>
      <c r="B58" s="105">
        <v>45824</v>
      </c>
      <c r="C58" s="105"/>
      <c r="D58" s="93">
        <v>3</v>
      </c>
      <c r="E58" s="101">
        <v>422</v>
      </c>
      <c r="F58" s="101">
        <v>386</v>
      </c>
      <c r="G58" s="101">
        <v>36</v>
      </c>
      <c r="H58" s="101">
        <v>2</v>
      </c>
      <c r="I58" s="115">
        <v>45856</v>
      </c>
      <c r="J58" s="101">
        <v>48</v>
      </c>
      <c r="K58" s="101"/>
      <c r="L58" s="101"/>
      <c r="M58" s="102" t="s">
        <v>16</v>
      </c>
      <c r="N58" s="101" t="s">
        <v>17</v>
      </c>
      <c r="O58" s="100">
        <v>45856</v>
      </c>
      <c r="P58" s="65">
        <v>3552</v>
      </c>
    </row>
    <row r="59" spans="1:16" ht="15" customHeight="1">
      <c r="A59" s="99">
        <v>3553</v>
      </c>
      <c r="B59" s="105">
        <v>45762</v>
      </c>
      <c r="C59" s="105"/>
      <c r="D59" s="93">
        <v>3</v>
      </c>
      <c r="E59" s="101">
        <v>281</v>
      </c>
      <c r="F59" s="101">
        <v>122</v>
      </c>
      <c r="G59" s="101">
        <v>159</v>
      </c>
      <c r="H59" s="101">
        <v>2</v>
      </c>
      <c r="I59" s="102">
        <v>45835</v>
      </c>
      <c r="J59" s="101">
        <v>351</v>
      </c>
      <c r="K59" s="101"/>
      <c r="L59" s="101"/>
      <c r="M59" s="102" t="s">
        <v>16</v>
      </c>
      <c r="N59" s="101" t="s">
        <v>17</v>
      </c>
      <c r="O59" s="100">
        <v>45835</v>
      </c>
      <c r="P59" s="65">
        <v>3553</v>
      </c>
    </row>
    <row r="60" spans="1:16" ht="15" customHeight="1">
      <c r="A60" s="104">
        <v>3554</v>
      </c>
      <c r="B60" s="100">
        <v>45781</v>
      </c>
      <c r="C60" s="100" t="s">
        <v>23</v>
      </c>
      <c r="D60" s="93">
        <v>3</v>
      </c>
      <c r="E60" s="109">
        <v>219</v>
      </c>
      <c r="F60" s="109">
        <v>219</v>
      </c>
      <c r="G60" s="109">
        <v>0</v>
      </c>
      <c r="H60" s="109">
        <v>0</v>
      </c>
      <c r="I60" s="109"/>
      <c r="J60" s="109"/>
      <c r="K60" s="109"/>
      <c r="L60" s="109"/>
      <c r="M60" s="102" t="s">
        <v>16</v>
      </c>
      <c r="N60" s="109" t="s">
        <v>17</v>
      </c>
      <c r="O60" s="105">
        <v>45781</v>
      </c>
      <c r="P60" s="110">
        <v>3554</v>
      </c>
    </row>
    <row r="61" spans="1:16" ht="15" customHeight="1">
      <c r="A61" s="99">
        <v>3555</v>
      </c>
      <c r="B61" s="105">
        <v>45825</v>
      </c>
      <c r="C61" s="105"/>
      <c r="D61" s="93">
        <v>3</v>
      </c>
      <c r="E61" s="109">
        <v>352</v>
      </c>
      <c r="F61" s="109">
        <v>352</v>
      </c>
      <c r="G61" s="109">
        <v>0</v>
      </c>
      <c r="H61" s="109">
        <v>0</v>
      </c>
      <c r="I61" s="109"/>
      <c r="J61" s="109"/>
      <c r="K61" s="109"/>
      <c r="L61" s="109"/>
      <c r="M61" s="102" t="s">
        <v>16</v>
      </c>
      <c r="N61" s="109" t="s">
        <v>17</v>
      </c>
      <c r="O61" s="105">
        <v>45781</v>
      </c>
      <c r="P61" s="110">
        <v>3555</v>
      </c>
    </row>
    <row r="62" spans="1:16" ht="15" customHeight="1">
      <c r="A62" s="99">
        <v>3556</v>
      </c>
      <c r="B62" s="100">
        <v>45823</v>
      </c>
      <c r="C62" s="100"/>
      <c r="D62" s="93">
        <v>1</v>
      </c>
      <c r="E62" s="101">
        <v>13</v>
      </c>
      <c r="F62" s="101">
        <v>0</v>
      </c>
      <c r="G62" s="101">
        <v>0</v>
      </c>
      <c r="H62" s="101">
        <v>1</v>
      </c>
      <c r="I62" s="102">
        <v>45848</v>
      </c>
      <c r="J62" s="101">
        <v>8</v>
      </c>
      <c r="K62" s="101"/>
      <c r="L62" s="101"/>
      <c r="M62" s="102" t="s">
        <v>16</v>
      </c>
      <c r="N62" s="101" t="s">
        <v>17</v>
      </c>
      <c r="O62" s="100">
        <v>45823</v>
      </c>
      <c r="P62" s="65">
        <v>3556</v>
      </c>
    </row>
    <row r="63" spans="1:16" ht="15" customHeight="1">
      <c r="A63" s="99">
        <v>3557</v>
      </c>
      <c r="B63" s="114" t="s">
        <v>26</v>
      </c>
      <c r="C63" s="114"/>
      <c r="D63" s="93">
        <v>3</v>
      </c>
      <c r="E63" s="109">
        <v>97</v>
      </c>
      <c r="F63" s="109">
        <v>97</v>
      </c>
      <c r="G63" s="109">
        <v>0</v>
      </c>
      <c r="H63" s="109">
        <v>0</v>
      </c>
      <c r="I63" s="109"/>
      <c r="J63" s="109"/>
      <c r="K63" s="109"/>
      <c r="L63" s="109"/>
      <c r="M63" s="102" t="s">
        <v>16</v>
      </c>
      <c r="N63" s="109" t="s">
        <v>17</v>
      </c>
      <c r="O63" s="114" t="s">
        <v>26</v>
      </c>
      <c r="P63" s="110">
        <v>3557</v>
      </c>
    </row>
    <row r="64" spans="1:16" ht="15" customHeight="1">
      <c r="A64" s="99">
        <v>3558</v>
      </c>
      <c r="B64" s="105">
        <v>45763</v>
      </c>
      <c r="C64" s="105"/>
      <c r="D64" s="93">
        <v>3</v>
      </c>
      <c r="E64" s="101">
        <v>302</v>
      </c>
      <c r="F64" s="101">
        <v>145</v>
      </c>
      <c r="G64" s="101">
        <v>157</v>
      </c>
      <c r="H64" s="101">
        <v>2</v>
      </c>
      <c r="I64" s="102">
        <v>45830</v>
      </c>
      <c r="J64" s="101">
        <v>116</v>
      </c>
      <c r="K64" s="102">
        <v>45831</v>
      </c>
      <c r="L64" s="101">
        <v>226</v>
      </c>
      <c r="M64" s="102" t="s">
        <v>16</v>
      </c>
      <c r="N64" s="102" t="s">
        <v>17</v>
      </c>
      <c r="O64" s="100">
        <v>45831</v>
      </c>
      <c r="P64" s="65">
        <v>3558</v>
      </c>
    </row>
    <row r="65" spans="1:16" ht="15" customHeight="1">
      <c r="A65" s="99">
        <v>3559</v>
      </c>
      <c r="B65" s="100">
        <v>45761</v>
      </c>
      <c r="C65" s="100"/>
      <c r="D65" s="93">
        <v>3</v>
      </c>
      <c r="E65" s="101">
        <v>202</v>
      </c>
      <c r="F65" s="101">
        <v>108</v>
      </c>
      <c r="G65" s="101">
        <v>94</v>
      </c>
      <c r="H65" s="101">
        <v>1</v>
      </c>
      <c r="I65" s="102">
        <v>45823</v>
      </c>
      <c r="J65" s="101">
        <v>97</v>
      </c>
      <c r="K65" s="101"/>
      <c r="L65" s="101"/>
      <c r="M65" s="102" t="s">
        <v>16</v>
      </c>
      <c r="N65" s="101" t="s">
        <v>17</v>
      </c>
      <c r="O65" s="100" t="s">
        <v>28</v>
      </c>
      <c r="P65" s="65">
        <v>3559</v>
      </c>
    </row>
    <row r="66" spans="1:16" ht="15" customHeight="1">
      <c r="A66" s="99">
        <v>3560</v>
      </c>
      <c r="B66" s="100">
        <v>45798</v>
      </c>
      <c r="C66" s="100"/>
      <c r="D66" s="93">
        <v>3</v>
      </c>
      <c r="E66" s="101">
        <v>237</v>
      </c>
      <c r="F66" s="101">
        <v>237</v>
      </c>
      <c r="G66" s="101">
        <v>0</v>
      </c>
      <c r="H66" s="101">
        <v>0</v>
      </c>
      <c r="I66" s="101"/>
      <c r="J66" s="101"/>
      <c r="K66" s="101"/>
      <c r="L66" s="101"/>
      <c r="M66" s="102" t="s">
        <v>16</v>
      </c>
      <c r="N66" s="102" t="s">
        <v>17</v>
      </c>
      <c r="O66" s="105">
        <v>45798</v>
      </c>
      <c r="P66" s="65">
        <v>3560</v>
      </c>
    </row>
    <row r="67" spans="1:16" ht="15" customHeight="1">
      <c r="A67" s="99">
        <v>3561</v>
      </c>
      <c r="B67" s="100">
        <v>45792</v>
      </c>
      <c r="C67" s="100"/>
      <c r="D67" s="93">
        <v>3</v>
      </c>
      <c r="E67" s="101">
        <v>267</v>
      </c>
      <c r="F67" s="101">
        <v>95</v>
      </c>
      <c r="G67" s="101">
        <v>172</v>
      </c>
      <c r="H67" s="101">
        <v>2</v>
      </c>
      <c r="I67" s="102">
        <v>45809</v>
      </c>
      <c r="J67" s="101">
        <v>172</v>
      </c>
      <c r="K67" s="101"/>
      <c r="L67" s="101"/>
      <c r="M67" s="102" t="s">
        <v>16</v>
      </c>
      <c r="N67" s="102" t="s">
        <v>17</v>
      </c>
      <c r="O67" s="100">
        <v>45809</v>
      </c>
      <c r="P67" s="65">
        <v>3561</v>
      </c>
    </row>
    <row r="68" spans="1:16" ht="18.75">
      <c r="A68" s="104">
        <v>3562</v>
      </c>
      <c r="B68" s="100">
        <v>45775</v>
      </c>
      <c r="C68" s="100" t="s">
        <v>23</v>
      </c>
      <c r="D68" s="93">
        <v>3</v>
      </c>
      <c r="E68" s="101">
        <v>190</v>
      </c>
      <c r="F68" s="101">
        <v>140</v>
      </c>
      <c r="G68" s="101">
        <v>50</v>
      </c>
      <c r="H68" s="101">
        <v>1</v>
      </c>
      <c r="I68" s="102">
        <v>45826</v>
      </c>
      <c r="J68" s="101">
        <v>59</v>
      </c>
      <c r="K68" s="101"/>
      <c r="L68" s="101"/>
      <c r="M68" s="102" t="s">
        <v>16</v>
      </c>
      <c r="N68" s="102" t="s">
        <v>17</v>
      </c>
      <c r="O68" s="100">
        <v>45826</v>
      </c>
      <c r="P68" s="65">
        <v>3562</v>
      </c>
    </row>
    <row r="69" spans="1:16" ht="18">
      <c r="A69" s="99">
        <v>3563</v>
      </c>
      <c r="B69" s="100">
        <v>45806</v>
      </c>
      <c r="C69" s="100"/>
      <c r="D69" s="93">
        <v>3</v>
      </c>
      <c r="E69" s="109">
        <v>14</v>
      </c>
      <c r="F69" s="109">
        <v>14</v>
      </c>
      <c r="G69" s="109">
        <v>0</v>
      </c>
      <c r="H69" s="109">
        <v>0</v>
      </c>
      <c r="I69" s="109"/>
      <c r="J69" s="109"/>
      <c r="K69" s="109"/>
      <c r="L69" s="109"/>
      <c r="M69" s="102" t="s">
        <v>16</v>
      </c>
      <c r="N69" s="109" t="s">
        <v>17</v>
      </c>
      <c r="O69" s="100">
        <v>45806</v>
      </c>
      <c r="P69" s="110">
        <v>3563</v>
      </c>
    </row>
    <row r="70" spans="1:16" ht="18">
      <c r="A70" s="99">
        <v>3564</v>
      </c>
      <c r="B70" s="100">
        <v>45802</v>
      </c>
      <c r="C70" s="100"/>
      <c r="D70" s="93">
        <v>3</v>
      </c>
      <c r="E70" s="109">
        <v>212</v>
      </c>
      <c r="F70" s="109">
        <v>212</v>
      </c>
      <c r="G70" s="109">
        <v>0</v>
      </c>
      <c r="H70" s="109">
        <v>0</v>
      </c>
      <c r="I70" s="109"/>
      <c r="J70" s="109"/>
      <c r="K70" s="109"/>
      <c r="L70" s="109"/>
      <c r="M70" s="102" t="s">
        <v>16</v>
      </c>
      <c r="N70" s="109" t="s">
        <v>17</v>
      </c>
      <c r="O70" s="100">
        <v>45802</v>
      </c>
      <c r="P70" s="110">
        <v>3564</v>
      </c>
    </row>
    <row r="71" spans="1:16" ht="18">
      <c r="A71" s="99">
        <v>3565</v>
      </c>
      <c r="B71" s="105">
        <v>45790</v>
      </c>
      <c r="C71" s="105"/>
      <c r="D71" s="93">
        <v>3</v>
      </c>
      <c r="E71" s="101">
        <v>234</v>
      </c>
      <c r="F71" s="101">
        <v>234</v>
      </c>
      <c r="G71" s="101">
        <v>0</v>
      </c>
      <c r="H71" s="101">
        <v>0</v>
      </c>
      <c r="I71" s="101"/>
      <c r="J71" s="101"/>
      <c r="K71" s="101"/>
      <c r="L71" s="101"/>
      <c r="M71" s="102" t="s">
        <v>16</v>
      </c>
      <c r="N71" s="101" t="s">
        <v>17</v>
      </c>
      <c r="O71" s="100">
        <v>45790</v>
      </c>
      <c r="P71" s="65">
        <v>3565</v>
      </c>
    </row>
    <row r="72" spans="1:16" ht="18.75">
      <c r="A72" s="99">
        <v>3566</v>
      </c>
      <c r="B72" s="100">
        <v>45821</v>
      </c>
      <c r="C72" s="100"/>
      <c r="D72" s="93">
        <v>3</v>
      </c>
      <c r="E72" s="101">
        <v>339</v>
      </c>
      <c r="F72" s="101">
        <v>339</v>
      </c>
      <c r="G72" s="101">
        <v>0</v>
      </c>
      <c r="H72" s="101">
        <v>0</v>
      </c>
      <c r="I72" s="101"/>
      <c r="J72" s="101"/>
      <c r="K72" s="101"/>
      <c r="L72" s="101"/>
      <c r="M72" s="102" t="s">
        <v>16</v>
      </c>
      <c r="N72" s="101" t="s">
        <v>17</v>
      </c>
      <c r="O72" s="100">
        <v>45821</v>
      </c>
      <c r="P72" s="65">
        <v>3566</v>
      </c>
    </row>
    <row r="73" spans="1:16" ht="18">
      <c r="A73" s="116">
        <v>3567</v>
      </c>
      <c r="B73" s="117">
        <v>45788</v>
      </c>
      <c r="C73" s="117"/>
      <c r="D73" s="118">
        <v>3</v>
      </c>
      <c r="E73" s="119">
        <v>136</v>
      </c>
      <c r="F73" s="119">
        <v>98</v>
      </c>
      <c r="G73" s="119">
        <v>38</v>
      </c>
      <c r="H73" s="119">
        <v>2</v>
      </c>
      <c r="I73" s="120">
        <v>45818</v>
      </c>
      <c r="J73" s="119">
        <v>214</v>
      </c>
      <c r="K73" s="119"/>
      <c r="L73" s="119"/>
      <c r="M73" s="120" t="s">
        <v>16</v>
      </c>
      <c r="N73" s="119" t="s">
        <v>17</v>
      </c>
      <c r="O73" s="121">
        <v>45818</v>
      </c>
      <c r="P73" s="122">
        <v>3567</v>
      </c>
    </row>
    <row r="75" spans="1:16">
      <c r="A75" s="123" t="s">
        <v>29</v>
      </c>
      <c r="B75" s="21"/>
    </row>
    <row r="76" spans="1:16">
      <c r="A76" s="124"/>
      <c r="B76" s="79" t="s">
        <v>30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B58" sqref="B58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8" width="12.7109375" style="1" customWidth="1"/>
    <col min="9" max="9" width="15.42578125" style="1" customWidth="1"/>
    <col min="10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50" t="s">
        <v>1</v>
      </c>
      <c r="C1" s="50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3" t="s">
        <v>8</v>
      </c>
      <c r="J1" s="53" t="s">
        <v>9</v>
      </c>
      <c r="K1" s="54" t="s">
        <v>10</v>
      </c>
      <c r="L1" s="54" t="s">
        <v>11</v>
      </c>
      <c r="M1" s="55" t="s">
        <v>12</v>
      </c>
      <c r="N1" s="97" t="s">
        <v>13</v>
      </c>
      <c r="O1" s="57" t="s">
        <v>14</v>
      </c>
      <c r="P1" s="125" t="s">
        <v>15</v>
      </c>
    </row>
    <row r="2" spans="1:21" ht="15" customHeight="1">
      <c r="A2" s="99">
        <v>3231</v>
      </c>
      <c r="B2" s="126">
        <v>45825</v>
      </c>
      <c r="C2" s="126"/>
      <c r="D2" s="93">
        <v>4</v>
      </c>
      <c r="E2" s="93">
        <v>113</v>
      </c>
      <c r="F2" s="93">
        <v>113</v>
      </c>
      <c r="G2" s="93">
        <v>0</v>
      </c>
      <c r="H2" s="93">
        <v>0</v>
      </c>
      <c r="I2" s="93"/>
      <c r="J2" s="93"/>
      <c r="K2" s="93"/>
      <c r="L2" s="93"/>
      <c r="M2" s="93" t="s">
        <v>16</v>
      </c>
      <c r="N2" s="93" t="s">
        <v>17</v>
      </c>
      <c r="O2" s="126">
        <v>45825</v>
      </c>
      <c r="P2" s="65">
        <v>3231</v>
      </c>
      <c r="R2" s="94" t="s">
        <v>18</v>
      </c>
      <c r="S2" s="95"/>
      <c r="T2" s="95"/>
      <c r="U2" s="96"/>
    </row>
    <row r="3" spans="1:21" ht="15" customHeight="1">
      <c r="A3" s="99">
        <v>3232</v>
      </c>
      <c r="B3" s="126">
        <v>45850</v>
      </c>
      <c r="C3" s="126"/>
      <c r="D3" s="93">
        <v>1</v>
      </c>
      <c r="E3" s="93">
        <v>20</v>
      </c>
      <c r="F3" s="93">
        <v>20</v>
      </c>
      <c r="G3" s="93">
        <v>0</v>
      </c>
      <c r="H3" s="93">
        <v>0</v>
      </c>
      <c r="I3" s="93"/>
      <c r="J3" s="93"/>
      <c r="K3" s="93"/>
      <c r="L3" s="93"/>
      <c r="M3" s="93" t="s">
        <v>16</v>
      </c>
      <c r="N3" s="93" t="s">
        <v>17</v>
      </c>
      <c r="O3" s="126">
        <v>45850</v>
      </c>
      <c r="P3" s="65"/>
      <c r="R3" s="75" t="s">
        <v>19</v>
      </c>
      <c r="S3" s="76" t="s">
        <v>20</v>
      </c>
      <c r="T3" s="77" t="s">
        <v>31</v>
      </c>
      <c r="U3" s="78" t="s">
        <v>22</v>
      </c>
    </row>
    <row r="4" spans="1:21" ht="15" customHeight="1">
      <c r="A4" s="99">
        <v>3233</v>
      </c>
      <c r="B4" s="127">
        <v>45834</v>
      </c>
      <c r="C4" s="127"/>
      <c r="D4" s="93">
        <v>2</v>
      </c>
      <c r="E4" s="93">
        <v>33</v>
      </c>
      <c r="F4" s="93">
        <v>33</v>
      </c>
      <c r="G4" s="93">
        <v>0</v>
      </c>
      <c r="H4" s="93">
        <v>0</v>
      </c>
      <c r="I4" s="93"/>
      <c r="J4" s="93"/>
      <c r="K4" s="93"/>
      <c r="L4" s="93"/>
      <c r="M4" s="93" t="s">
        <v>16</v>
      </c>
      <c r="N4" s="93" t="s">
        <v>17</v>
      </c>
      <c r="O4" s="127">
        <v>45834</v>
      </c>
      <c r="P4" s="65">
        <v>3233</v>
      </c>
      <c r="R4" s="80">
        <v>36</v>
      </c>
      <c r="S4" s="81">
        <f>COUNTA(A:A)-1</f>
        <v>72</v>
      </c>
      <c r="T4" s="81">
        <f>COUNTA(O:O)-1</f>
        <v>57</v>
      </c>
      <c r="U4" s="106">
        <f>T4/S4</f>
        <v>0.79166666666666663</v>
      </c>
    </row>
    <row r="5" spans="1:21" ht="15" customHeight="1">
      <c r="A5" s="99">
        <v>3234</v>
      </c>
      <c r="B5" s="126">
        <v>45839</v>
      </c>
      <c r="C5" s="126"/>
      <c r="D5" s="93">
        <v>3</v>
      </c>
      <c r="E5" s="93">
        <v>91</v>
      </c>
      <c r="F5" s="93">
        <v>91</v>
      </c>
      <c r="G5" s="93">
        <v>0</v>
      </c>
      <c r="H5" s="93">
        <v>0</v>
      </c>
      <c r="I5" s="93"/>
      <c r="J5" s="93"/>
      <c r="K5" s="93"/>
      <c r="L5" s="93"/>
      <c r="M5" s="93" t="s">
        <v>16</v>
      </c>
      <c r="N5" s="93" t="s">
        <v>17</v>
      </c>
      <c r="O5" s="126">
        <v>45839</v>
      </c>
      <c r="P5" s="65"/>
    </row>
    <row r="6" spans="1:21" ht="15" customHeight="1">
      <c r="A6" s="99">
        <v>3235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126"/>
      <c r="P6" s="65"/>
    </row>
    <row r="7" spans="1:21" ht="15" customHeight="1">
      <c r="A7" s="99">
        <v>3236</v>
      </c>
      <c r="B7" s="126">
        <v>45837</v>
      </c>
      <c r="C7" s="126"/>
      <c r="D7" s="93">
        <v>3</v>
      </c>
      <c r="E7" s="128">
        <v>80</v>
      </c>
      <c r="F7" s="128">
        <v>80</v>
      </c>
      <c r="G7" s="128">
        <v>0</v>
      </c>
      <c r="H7" s="128">
        <v>0</v>
      </c>
      <c r="I7" s="128"/>
      <c r="J7" s="128"/>
      <c r="K7" s="128"/>
      <c r="L7" s="128"/>
      <c r="M7" s="128" t="s">
        <v>16</v>
      </c>
      <c r="N7" s="128" t="s">
        <v>17</v>
      </c>
      <c r="O7" s="126">
        <v>45837</v>
      </c>
      <c r="P7" s="110">
        <v>3236</v>
      </c>
    </row>
    <row r="8" spans="1:21" ht="15" customHeight="1">
      <c r="A8" s="99">
        <v>3237</v>
      </c>
      <c r="B8" s="126">
        <v>45803</v>
      </c>
      <c r="C8" s="126"/>
      <c r="D8" s="93">
        <v>3</v>
      </c>
      <c r="E8" s="93">
        <v>52</v>
      </c>
      <c r="F8" s="93">
        <v>52</v>
      </c>
      <c r="G8" s="93">
        <v>0</v>
      </c>
      <c r="H8" s="93">
        <v>0</v>
      </c>
      <c r="I8" s="93"/>
      <c r="J8" s="93"/>
      <c r="K8" s="93"/>
      <c r="L8" s="93"/>
      <c r="M8" s="93" t="s">
        <v>16</v>
      </c>
      <c r="N8" s="93" t="s">
        <v>17</v>
      </c>
      <c r="O8" s="126">
        <v>45803</v>
      </c>
      <c r="P8" s="65">
        <v>3237</v>
      </c>
    </row>
    <row r="9" spans="1:21" ht="15" customHeight="1">
      <c r="A9" s="99">
        <v>3238</v>
      </c>
      <c r="B9" s="126">
        <v>45825</v>
      </c>
      <c r="C9" s="126"/>
      <c r="D9" s="93">
        <v>1</v>
      </c>
      <c r="E9" s="93">
        <v>15</v>
      </c>
      <c r="F9" s="93">
        <v>15</v>
      </c>
      <c r="G9" s="93">
        <v>0</v>
      </c>
      <c r="H9" s="93">
        <v>3</v>
      </c>
      <c r="I9" s="126">
        <v>45833</v>
      </c>
      <c r="J9" s="93">
        <v>51</v>
      </c>
      <c r="K9" s="93"/>
      <c r="L9" s="93"/>
      <c r="M9" s="93" t="s">
        <v>16</v>
      </c>
      <c r="N9" s="93" t="s">
        <v>32</v>
      </c>
      <c r="O9" s="126">
        <v>45833</v>
      </c>
      <c r="P9" s="65">
        <v>3238</v>
      </c>
    </row>
    <row r="10" spans="1:21" ht="15" customHeight="1">
      <c r="A10" s="99">
        <v>3239</v>
      </c>
      <c r="B10" s="126"/>
      <c r="C10" s="126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126"/>
      <c r="P10" s="65"/>
    </row>
    <row r="11" spans="1:21" ht="15" customHeight="1">
      <c r="A11" s="99">
        <v>3240</v>
      </c>
      <c r="B11" s="126">
        <v>45832</v>
      </c>
      <c r="C11" s="126"/>
      <c r="D11" s="93">
        <v>1</v>
      </c>
      <c r="E11" s="93">
        <v>28</v>
      </c>
      <c r="F11" s="93">
        <v>28</v>
      </c>
      <c r="G11" s="93">
        <v>0</v>
      </c>
      <c r="H11" s="93">
        <v>3</v>
      </c>
      <c r="I11" s="126">
        <v>45851</v>
      </c>
      <c r="J11" s="93">
        <v>95</v>
      </c>
      <c r="K11" s="93"/>
      <c r="L11" s="93"/>
      <c r="M11" s="93" t="s">
        <v>16</v>
      </c>
      <c r="N11" s="93" t="s">
        <v>17</v>
      </c>
      <c r="O11" s="126">
        <v>45832</v>
      </c>
      <c r="P11" s="65">
        <v>3240</v>
      </c>
    </row>
    <row r="12" spans="1:21" ht="15" customHeight="1">
      <c r="A12" s="99">
        <v>3241</v>
      </c>
      <c r="B12" s="127">
        <v>45805</v>
      </c>
      <c r="C12" s="127"/>
      <c r="D12" s="93">
        <v>1</v>
      </c>
      <c r="E12" s="93">
        <v>30</v>
      </c>
      <c r="F12" s="93">
        <v>30</v>
      </c>
      <c r="G12" s="93">
        <v>0</v>
      </c>
      <c r="H12" s="93">
        <v>0</v>
      </c>
      <c r="I12" s="126">
        <v>45831</v>
      </c>
      <c r="J12" s="93">
        <v>12</v>
      </c>
      <c r="K12" s="126">
        <v>45834</v>
      </c>
      <c r="L12" s="93">
        <v>5</v>
      </c>
      <c r="M12" s="93" t="s">
        <v>16</v>
      </c>
      <c r="N12" s="93" t="s">
        <v>17</v>
      </c>
      <c r="O12" s="126">
        <v>45834</v>
      </c>
      <c r="P12" s="65">
        <v>3341</v>
      </c>
    </row>
    <row r="13" spans="1:21" ht="15" customHeight="1">
      <c r="A13" s="99">
        <v>3242</v>
      </c>
      <c r="B13" s="127">
        <v>45811</v>
      </c>
      <c r="C13" s="127"/>
      <c r="D13" s="93">
        <v>4</v>
      </c>
      <c r="E13" s="93">
        <v>190</v>
      </c>
      <c r="F13" s="93">
        <v>190</v>
      </c>
      <c r="G13" s="93">
        <v>0</v>
      </c>
      <c r="H13" s="93">
        <v>0</v>
      </c>
      <c r="I13" s="93"/>
      <c r="J13" s="93"/>
      <c r="K13" s="93"/>
      <c r="L13" s="93"/>
      <c r="M13" s="93" t="s">
        <v>16</v>
      </c>
      <c r="N13" s="93" t="s">
        <v>17</v>
      </c>
      <c r="O13" s="127">
        <v>45811</v>
      </c>
      <c r="P13" s="65">
        <v>3224</v>
      </c>
    </row>
    <row r="14" spans="1:21" ht="15" customHeight="1">
      <c r="A14" s="99">
        <v>3243</v>
      </c>
      <c r="B14" s="126">
        <v>45824</v>
      </c>
      <c r="C14" s="126"/>
      <c r="D14" s="93">
        <v>3</v>
      </c>
      <c r="E14" s="93">
        <v>117</v>
      </c>
      <c r="F14" s="93">
        <v>117</v>
      </c>
      <c r="G14" s="93">
        <v>0</v>
      </c>
      <c r="H14" s="93">
        <v>1</v>
      </c>
      <c r="I14" s="126">
        <v>45846</v>
      </c>
      <c r="J14" s="93">
        <v>2</v>
      </c>
      <c r="K14" s="93"/>
      <c r="L14" s="93"/>
      <c r="M14" s="93" t="s">
        <v>16</v>
      </c>
      <c r="N14" s="93" t="s">
        <v>17</v>
      </c>
      <c r="O14" s="126">
        <v>45824</v>
      </c>
      <c r="P14" s="65"/>
    </row>
    <row r="15" spans="1:21" ht="15" customHeight="1">
      <c r="A15" s="99">
        <v>3244</v>
      </c>
      <c r="B15" s="126">
        <v>45809</v>
      </c>
      <c r="C15" s="126"/>
      <c r="D15" s="93">
        <v>3</v>
      </c>
      <c r="E15" s="93">
        <v>46</v>
      </c>
      <c r="F15" s="93">
        <v>46</v>
      </c>
      <c r="G15" s="93">
        <v>0</v>
      </c>
      <c r="H15" s="93">
        <v>0</v>
      </c>
      <c r="I15" s="126">
        <v>45838</v>
      </c>
      <c r="J15" s="93">
        <v>57</v>
      </c>
      <c r="K15" s="93"/>
      <c r="L15" s="93"/>
      <c r="M15" s="93" t="s">
        <v>16</v>
      </c>
      <c r="N15" s="93" t="s">
        <v>17</v>
      </c>
      <c r="O15" s="126">
        <v>45809</v>
      </c>
      <c r="P15" s="65">
        <v>3244</v>
      </c>
    </row>
    <row r="16" spans="1:21" ht="15" customHeight="1">
      <c r="A16" s="104">
        <v>3245</v>
      </c>
      <c r="B16" s="126"/>
      <c r="C16" s="126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126"/>
      <c r="P16" s="65"/>
    </row>
    <row r="17" spans="1:16" ht="15" customHeight="1">
      <c r="A17" s="99">
        <v>3246</v>
      </c>
      <c r="B17" s="127">
        <v>45833</v>
      </c>
      <c r="C17" s="127"/>
      <c r="D17" s="93">
        <v>3</v>
      </c>
      <c r="E17" s="128">
        <v>100</v>
      </c>
      <c r="F17" s="128">
        <v>100</v>
      </c>
      <c r="G17" s="128">
        <v>0</v>
      </c>
      <c r="H17" s="128">
        <v>1</v>
      </c>
      <c r="I17" s="127">
        <v>45840</v>
      </c>
      <c r="J17" s="128">
        <v>24</v>
      </c>
      <c r="K17" s="128"/>
      <c r="L17" s="128"/>
      <c r="M17" s="128" t="s">
        <v>16</v>
      </c>
      <c r="N17" s="128" t="s">
        <v>17</v>
      </c>
      <c r="O17" s="127">
        <v>45833</v>
      </c>
      <c r="P17" s="110">
        <v>3246</v>
      </c>
    </row>
    <row r="18" spans="1:16" ht="15" customHeight="1">
      <c r="A18" s="104">
        <v>3247</v>
      </c>
      <c r="B18" s="93"/>
      <c r="C18" s="93"/>
      <c r="D18" s="93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6"/>
      <c r="P18" s="110"/>
    </row>
    <row r="19" spans="1:16" ht="15" customHeight="1">
      <c r="A19" s="99">
        <v>3248</v>
      </c>
      <c r="B19" s="129">
        <v>45855</v>
      </c>
      <c r="C19" s="129"/>
      <c r="D19" s="93">
        <v>1</v>
      </c>
      <c r="E19" s="93">
        <v>6</v>
      </c>
      <c r="F19" s="93">
        <v>6</v>
      </c>
      <c r="G19" s="93">
        <v>0</v>
      </c>
      <c r="H19" s="93">
        <v>0</v>
      </c>
      <c r="I19" s="93"/>
      <c r="J19" s="93"/>
      <c r="K19" s="93"/>
      <c r="L19" s="93"/>
      <c r="M19" s="93" t="s">
        <v>16</v>
      </c>
      <c r="N19" s="93" t="s">
        <v>17</v>
      </c>
      <c r="O19" s="126">
        <v>45855</v>
      </c>
      <c r="P19" s="65">
        <v>3248</v>
      </c>
    </row>
    <row r="20" spans="1:16" ht="15" customHeight="1">
      <c r="A20" s="99">
        <v>3250</v>
      </c>
      <c r="B20" s="126">
        <v>45828</v>
      </c>
      <c r="C20" s="126"/>
      <c r="D20" s="93">
        <v>2</v>
      </c>
      <c r="E20" s="93">
        <v>259</v>
      </c>
      <c r="F20" s="93">
        <v>259</v>
      </c>
      <c r="G20" s="93">
        <v>0</v>
      </c>
      <c r="H20" s="93">
        <v>0</v>
      </c>
      <c r="I20" s="93"/>
      <c r="J20" s="93"/>
      <c r="K20" s="93"/>
      <c r="L20" s="93"/>
      <c r="M20" s="93" t="s">
        <v>16</v>
      </c>
      <c r="N20" s="93" t="s">
        <v>17</v>
      </c>
      <c r="O20" s="126">
        <v>45828</v>
      </c>
      <c r="P20" s="65"/>
    </row>
    <row r="21" spans="1:16" ht="15" customHeight="1">
      <c r="A21" s="99">
        <v>3251</v>
      </c>
      <c r="B21" s="126">
        <v>45819</v>
      </c>
      <c r="C21" s="126"/>
      <c r="D21" s="93">
        <v>1</v>
      </c>
      <c r="E21" s="93">
        <v>18</v>
      </c>
      <c r="F21" s="93">
        <v>18</v>
      </c>
      <c r="G21" s="93">
        <v>0</v>
      </c>
      <c r="H21" s="93">
        <v>0</v>
      </c>
      <c r="I21" s="126">
        <v>45831</v>
      </c>
      <c r="J21" s="93">
        <v>92</v>
      </c>
      <c r="K21" s="93"/>
      <c r="L21" s="93"/>
      <c r="M21" s="93" t="s">
        <v>16</v>
      </c>
      <c r="N21" s="93" t="s">
        <v>17</v>
      </c>
      <c r="O21" s="126">
        <v>45831</v>
      </c>
      <c r="P21" s="65">
        <v>3251</v>
      </c>
    </row>
    <row r="22" spans="1:16" ht="15" customHeight="1">
      <c r="A22" s="104">
        <v>3252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126"/>
      <c r="P22" s="65"/>
    </row>
    <row r="23" spans="1:16" ht="15" customHeight="1">
      <c r="A23" s="104">
        <v>3253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126"/>
      <c r="P23" s="65"/>
    </row>
    <row r="24" spans="1:16" ht="15" customHeight="1">
      <c r="A24" s="99">
        <v>3254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126"/>
      <c r="P24" s="65"/>
    </row>
    <row r="25" spans="1:16" ht="15" customHeight="1">
      <c r="A25" s="99">
        <v>3255</v>
      </c>
      <c r="B25" s="127">
        <v>45824</v>
      </c>
      <c r="C25" s="127"/>
      <c r="D25" s="93">
        <v>3</v>
      </c>
      <c r="E25" s="93">
        <v>86</v>
      </c>
      <c r="F25" s="93">
        <v>86</v>
      </c>
      <c r="G25" s="93">
        <v>0</v>
      </c>
      <c r="H25" s="93">
        <v>1</v>
      </c>
      <c r="I25" s="93"/>
      <c r="J25" s="93"/>
      <c r="K25" s="93"/>
      <c r="L25" s="93"/>
      <c r="M25" s="93" t="s">
        <v>16</v>
      </c>
      <c r="N25" s="93" t="s">
        <v>17</v>
      </c>
      <c r="O25" s="127">
        <v>45824</v>
      </c>
      <c r="P25" s="65">
        <v>3255</v>
      </c>
    </row>
    <row r="26" spans="1:16" ht="15" customHeight="1">
      <c r="A26" s="99">
        <v>3256</v>
      </c>
      <c r="B26" s="128"/>
      <c r="C26" s="128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127"/>
      <c r="P26" s="65"/>
    </row>
    <row r="27" spans="1:16" ht="15" customHeight="1">
      <c r="A27" s="99">
        <v>3258</v>
      </c>
      <c r="B27" s="126">
        <v>45823</v>
      </c>
      <c r="C27" s="126"/>
      <c r="D27" s="93">
        <v>4</v>
      </c>
      <c r="E27" s="93">
        <v>37</v>
      </c>
      <c r="F27" s="93">
        <v>37</v>
      </c>
      <c r="G27" s="93">
        <v>0</v>
      </c>
      <c r="H27" s="93">
        <v>0</v>
      </c>
      <c r="I27" s="93"/>
      <c r="J27" s="93"/>
      <c r="K27" s="93"/>
      <c r="L27" s="93"/>
      <c r="M27" s="93" t="s">
        <v>16</v>
      </c>
      <c r="N27" s="93" t="s">
        <v>17</v>
      </c>
      <c r="O27" s="126">
        <v>45823</v>
      </c>
      <c r="P27" s="65"/>
    </row>
    <row r="28" spans="1:16" ht="15" customHeight="1">
      <c r="A28" s="99">
        <v>3259</v>
      </c>
      <c r="B28" s="126">
        <v>45831</v>
      </c>
      <c r="C28" s="126"/>
      <c r="D28" s="93">
        <v>2</v>
      </c>
      <c r="E28" s="128">
        <v>30</v>
      </c>
      <c r="F28" s="128">
        <v>30</v>
      </c>
      <c r="G28" s="128">
        <v>0</v>
      </c>
      <c r="H28" s="128">
        <v>0</v>
      </c>
      <c r="I28" s="128"/>
      <c r="J28" s="128"/>
      <c r="K28" s="128"/>
      <c r="L28" s="128"/>
      <c r="M28" s="128" t="s">
        <v>16</v>
      </c>
      <c r="N28" s="128" t="s">
        <v>17</v>
      </c>
      <c r="O28" s="126">
        <v>45831</v>
      </c>
      <c r="P28" s="110"/>
    </row>
    <row r="29" spans="1:16" ht="15" customHeight="1">
      <c r="A29" s="99">
        <v>3260</v>
      </c>
      <c r="B29" s="93"/>
      <c r="C29" s="93"/>
      <c r="D29" s="93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6"/>
      <c r="P29" s="110"/>
    </row>
    <row r="30" spans="1:16" ht="15" customHeight="1">
      <c r="A30" s="99">
        <v>3261</v>
      </c>
      <c r="B30" s="127">
        <v>45834</v>
      </c>
      <c r="C30" s="127"/>
      <c r="D30" s="112">
        <v>1</v>
      </c>
      <c r="E30" s="112">
        <v>34</v>
      </c>
      <c r="F30" s="112">
        <v>34</v>
      </c>
      <c r="G30" s="112">
        <v>0</v>
      </c>
      <c r="H30" s="93">
        <v>3</v>
      </c>
      <c r="I30" s="130">
        <v>45840</v>
      </c>
      <c r="J30" s="112">
        <v>174</v>
      </c>
      <c r="K30" s="112"/>
      <c r="L30" s="112"/>
      <c r="M30" s="112" t="s">
        <v>16</v>
      </c>
      <c r="N30" s="112" t="s">
        <v>17</v>
      </c>
      <c r="O30" s="127">
        <v>45840</v>
      </c>
      <c r="P30" s="131">
        <v>3261</v>
      </c>
    </row>
    <row r="31" spans="1:16" ht="15" customHeight="1">
      <c r="A31" s="99">
        <v>3262</v>
      </c>
      <c r="B31" s="126">
        <v>45819</v>
      </c>
      <c r="C31" s="126"/>
      <c r="D31" s="93">
        <v>4</v>
      </c>
      <c r="E31" s="93">
        <v>86</v>
      </c>
      <c r="F31" s="93">
        <v>33</v>
      </c>
      <c r="G31" s="93">
        <v>53</v>
      </c>
      <c r="H31" s="93">
        <v>0</v>
      </c>
      <c r="I31" s="93"/>
      <c r="J31" s="93"/>
      <c r="K31" s="93"/>
      <c r="L31" s="93"/>
      <c r="M31" s="93" t="s">
        <v>16</v>
      </c>
      <c r="N31" s="93" t="s">
        <v>17</v>
      </c>
      <c r="O31" s="126">
        <v>45819</v>
      </c>
      <c r="P31" s="65">
        <v>3262</v>
      </c>
    </row>
    <row r="32" spans="1:16" ht="15" customHeight="1">
      <c r="A32" s="99">
        <v>3263</v>
      </c>
      <c r="B32" s="126">
        <v>45833</v>
      </c>
      <c r="C32" s="126"/>
      <c r="D32" s="93">
        <v>3</v>
      </c>
      <c r="E32" s="93">
        <v>196</v>
      </c>
      <c r="F32" s="93">
        <v>196</v>
      </c>
      <c r="G32" s="93">
        <v>0</v>
      </c>
      <c r="H32" s="93">
        <v>0</v>
      </c>
      <c r="I32" s="93"/>
      <c r="J32" s="93"/>
      <c r="K32" s="93"/>
      <c r="L32" s="93"/>
      <c r="M32" s="93" t="s">
        <v>16</v>
      </c>
      <c r="N32" s="93" t="s">
        <v>17</v>
      </c>
      <c r="O32" s="126">
        <v>45833</v>
      </c>
      <c r="P32" s="65">
        <v>3263</v>
      </c>
    </row>
    <row r="33" spans="1:16" ht="15" customHeight="1">
      <c r="A33" s="99">
        <v>3264</v>
      </c>
      <c r="B33" s="126">
        <v>45826</v>
      </c>
      <c r="C33" s="126"/>
      <c r="D33" s="93">
        <v>4</v>
      </c>
      <c r="E33" s="93">
        <v>121</v>
      </c>
      <c r="F33" s="93">
        <v>121</v>
      </c>
      <c r="G33" s="93">
        <v>0</v>
      </c>
      <c r="H33" s="93">
        <v>0</v>
      </c>
      <c r="I33" s="93"/>
      <c r="J33" s="93"/>
      <c r="K33" s="93"/>
      <c r="L33" s="93"/>
      <c r="M33" s="93" t="s">
        <v>16</v>
      </c>
      <c r="N33" s="93" t="s">
        <v>17</v>
      </c>
      <c r="O33" s="126">
        <v>45826</v>
      </c>
      <c r="P33" s="65"/>
    </row>
    <row r="34" spans="1:16" ht="15" customHeight="1">
      <c r="A34" s="99">
        <v>3265</v>
      </c>
      <c r="B34" s="126">
        <v>45834</v>
      </c>
      <c r="C34" s="126"/>
      <c r="D34" s="93">
        <v>4</v>
      </c>
      <c r="E34" s="93">
        <v>100</v>
      </c>
      <c r="F34" s="93">
        <v>100</v>
      </c>
      <c r="G34" s="93">
        <v>0</v>
      </c>
      <c r="H34" s="93">
        <v>0</v>
      </c>
      <c r="I34" s="93"/>
      <c r="J34" s="93"/>
      <c r="K34" s="93"/>
      <c r="L34" s="93"/>
      <c r="M34" s="93" t="s">
        <v>16</v>
      </c>
      <c r="N34" s="93" t="s">
        <v>17</v>
      </c>
      <c r="O34" s="126">
        <v>45773</v>
      </c>
      <c r="P34" s="65"/>
    </row>
    <row r="35" spans="1:16" ht="15" customHeight="1">
      <c r="A35" s="99">
        <v>3266</v>
      </c>
      <c r="B35" s="126">
        <v>45813</v>
      </c>
      <c r="C35" s="126"/>
      <c r="D35" s="93">
        <v>4</v>
      </c>
      <c r="E35" s="93">
        <v>92</v>
      </c>
      <c r="F35" s="93">
        <v>92</v>
      </c>
      <c r="G35" s="93">
        <v>0</v>
      </c>
      <c r="H35" s="93">
        <v>0</v>
      </c>
      <c r="I35" s="93"/>
      <c r="J35" s="93"/>
      <c r="K35" s="93"/>
      <c r="L35" s="93"/>
      <c r="M35" s="93" t="s">
        <v>16</v>
      </c>
      <c r="N35" s="93" t="s">
        <v>17</v>
      </c>
      <c r="O35" s="126">
        <v>45813</v>
      </c>
      <c r="P35" s="65"/>
    </row>
    <row r="36" spans="1:16" ht="15" customHeight="1">
      <c r="A36" s="104">
        <v>3267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126"/>
      <c r="P36" s="65"/>
    </row>
    <row r="37" spans="1:16" ht="15" customHeight="1">
      <c r="A37" s="99">
        <v>3299</v>
      </c>
      <c r="B37" s="126">
        <v>45820</v>
      </c>
      <c r="C37" s="126"/>
      <c r="D37" s="93">
        <v>2</v>
      </c>
      <c r="E37" s="93">
        <v>50</v>
      </c>
      <c r="F37" s="93">
        <v>50</v>
      </c>
      <c r="G37" s="93">
        <v>0</v>
      </c>
      <c r="H37" s="93">
        <v>0</v>
      </c>
      <c r="I37" s="93"/>
      <c r="J37" s="93"/>
      <c r="K37" s="93"/>
      <c r="L37" s="93"/>
      <c r="M37" s="93" t="s">
        <v>16</v>
      </c>
      <c r="N37" s="93" t="s">
        <v>17</v>
      </c>
      <c r="O37" s="126">
        <v>45820</v>
      </c>
      <c r="P37" s="65"/>
    </row>
    <row r="38" spans="1:16" ht="15" customHeight="1">
      <c r="A38" s="99">
        <v>3531</v>
      </c>
      <c r="B38" s="127">
        <v>45832</v>
      </c>
      <c r="C38" s="127"/>
      <c r="D38" s="93">
        <v>1</v>
      </c>
      <c r="E38" s="128">
        <v>86</v>
      </c>
      <c r="F38" s="128">
        <v>86</v>
      </c>
      <c r="G38" s="128">
        <v>0</v>
      </c>
      <c r="H38" s="128">
        <v>0</v>
      </c>
      <c r="I38" s="128"/>
      <c r="J38" s="128"/>
      <c r="K38" s="128"/>
      <c r="L38" s="128"/>
      <c r="M38" s="128" t="s">
        <v>16</v>
      </c>
      <c r="N38" s="128" t="s">
        <v>17</v>
      </c>
      <c r="O38" s="127">
        <v>45832</v>
      </c>
      <c r="P38" s="110">
        <v>3531</v>
      </c>
    </row>
    <row r="39" spans="1:16" ht="15" customHeight="1">
      <c r="A39" s="104">
        <v>3532</v>
      </c>
      <c r="B39" s="128"/>
      <c r="C39" s="128"/>
      <c r="D39" s="93">
        <v>3</v>
      </c>
      <c r="E39" s="93">
        <v>0</v>
      </c>
      <c r="F39" s="93">
        <v>0</v>
      </c>
      <c r="G39" s="93">
        <v>0</v>
      </c>
      <c r="H39" s="93"/>
      <c r="I39" s="93"/>
      <c r="J39" s="93"/>
      <c r="K39" s="93"/>
      <c r="L39" s="93"/>
      <c r="M39" s="93"/>
      <c r="N39" s="93"/>
      <c r="O39" s="127"/>
      <c r="P39" s="65"/>
    </row>
    <row r="40" spans="1:16" ht="15" customHeight="1">
      <c r="A40" s="104">
        <v>3533</v>
      </c>
      <c r="B40" s="93"/>
      <c r="C40" s="93"/>
      <c r="D40" s="93">
        <v>3</v>
      </c>
      <c r="E40" s="93">
        <v>0</v>
      </c>
      <c r="F40" s="93">
        <v>0</v>
      </c>
      <c r="G40" s="93">
        <v>0</v>
      </c>
      <c r="H40" s="93"/>
      <c r="I40" s="93"/>
      <c r="J40" s="93"/>
      <c r="K40" s="93"/>
      <c r="L40" s="93"/>
      <c r="M40" s="93"/>
      <c r="N40" s="93"/>
      <c r="O40" s="126"/>
      <c r="P40" s="65"/>
    </row>
    <row r="41" spans="1:16" ht="15" customHeight="1">
      <c r="A41" s="104">
        <v>3534</v>
      </c>
      <c r="B41" s="93"/>
      <c r="C41" s="93"/>
      <c r="D41" s="93">
        <v>3</v>
      </c>
      <c r="E41" s="93">
        <v>0</v>
      </c>
      <c r="F41" s="93">
        <v>0</v>
      </c>
      <c r="G41" s="93">
        <v>0</v>
      </c>
      <c r="H41" s="93"/>
      <c r="I41" s="93"/>
      <c r="J41" s="93"/>
      <c r="K41" s="93"/>
      <c r="L41" s="93"/>
      <c r="M41" s="93"/>
      <c r="N41" s="93"/>
      <c r="O41" s="126"/>
      <c r="P41" s="65"/>
    </row>
    <row r="42" spans="1:16" ht="15" customHeight="1">
      <c r="A42" s="99">
        <v>3535</v>
      </c>
      <c r="B42" s="126">
        <v>45839</v>
      </c>
      <c r="C42" s="126"/>
      <c r="D42" s="93">
        <v>1</v>
      </c>
      <c r="E42" s="128">
        <v>45</v>
      </c>
      <c r="F42" s="128">
        <v>45</v>
      </c>
      <c r="G42" s="128">
        <v>0</v>
      </c>
      <c r="H42" s="128">
        <v>0</v>
      </c>
      <c r="I42" s="128"/>
      <c r="J42" s="128"/>
      <c r="K42" s="128"/>
      <c r="L42" s="128"/>
      <c r="M42" s="128" t="s">
        <v>16</v>
      </c>
      <c r="N42" s="93" t="s">
        <v>17</v>
      </c>
      <c r="O42" s="126">
        <v>45839</v>
      </c>
      <c r="P42" s="110">
        <v>3535</v>
      </c>
    </row>
    <row r="43" spans="1:16" ht="15" customHeight="1">
      <c r="A43" s="99">
        <v>3536</v>
      </c>
      <c r="B43" s="126">
        <v>45831</v>
      </c>
      <c r="C43" s="126"/>
      <c r="D43" s="93">
        <v>1</v>
      </c>
      <c r="E43" s="93">
        <v>3</v>
      </c>
      <c r="F43" s="93">
        <v>3</v>
      </c>
      <c r="G43" s="93">
        <v>0</v>
      </c>
      <c r="H43" s="93">
        <v>0</v>
      </c>
      <c r="I43" s="93"/>
      <c r="J43" s="93"/>
      <c r="K43" s="93"/>
      <c r="L43" s="93"/>
      <c r="M43" s="128" t="s">
        <v>16</v>
      </c>
      <c r="N43" s="93" t="s">
        <v>17</v>
      </c>
      <c r="O43" s="126">
        <v>45831</v>
      </c>
      <c r="P43" s="65">
        <v>3536</v>
      </c>
    </row>
    <row r="44" spans="1:16" ht="15" customHeight="1">
      <c r="A44" s="99">
        <v>3537</v>
      </c>
      <c r="B44" s="126">
        <v>45844</v>
      </c>
      <c r="C44" s="93"/>
      <c r="D44" s="93">
        <v>3</v>
      </c>
      <c r="E44" s="93">
        <v>59</v>
      </c>
      <c r="F44" s="93">
        <v>59</v>
      </c>
      <c r="G44" s="93">
        <v>0</v>
      </c>
      <c r="H44" s="93">
        <v>0</v>
      </c>
      <c r="I44" s="93"/>
      <c r="J44" s="93"/>
      <c r="K44" s="93"/>
      <c r="L44" s="93"/>
      <c r="M44" s="128" t="s">
        <v>16</v>
      </c>
      <c r="N44" s="93" t="s">
        <v>17</v>
      </c>
      <c r="O44" s="126">
        <v>45844</v>
      </c>
      <c r="P44" s="65">
        <v>3537</v>
      </c>
    </row>
    <row r="45" spans="1:16" ht="15" customHeight="1">
      <c r="A45" s="99">
        <v>3538</v>
      </c>
      <c r="B45" s="126">
        <v>45840</v>
      </c>
      <c r="C45" s="126"/>
      <c r="D45" s="93">
        <v>2</v>
      </c>
      <c r="E45" s="93">
        <v>195</v>
      </c>
      <c r="F45" s="93">
        <v>147</v>
      </c>
      <c r="G45" s="93">
        <v>48</v>
      </c>
      <c r="H45" s="93">
        <v>1</v>
      </c>
      <c r="I45" s="126">
        <v>45847</v>
      </c>
      <c r="J45" s="93">
        <v>48</v>
      </c>
      <c r="K45" s="93"/>
      <c r="L45" s="93"/>
      <c r="M45" s="128" t="s">
        <v>16</v>
      </c>
      <c r="N45" s="93" t="s">
        <v>17</v>
      </c>
      <c r="O45" s="126">
        <v>45840</v>
      </c>
      <c r="P45" s="65"/>
    </row>
    <row r="46" spans="1:16" ht="15" customHeight="1">
      <c r="A46" s="104">
        <v>3540</v>
      </c>
      <c r="B46" s="128"/>
      <c r="C46" s="128"/>
      <c r="D46" s="93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7"/>
      <c r="P46" s="110"/>
    </row>
    <row r="47" spans="1:16" ht="15" customHeight="1">
      <c r="A47" s="99">
        <v>3541</v>
      </c>
      <c r="B47" s="127">
        <v>45829</v>
      </c>
      <c r="C47" s="127"/>
      <c r="D47" s="93">
        <v>3</v>
      </c>
      <c r="E47" s="128">
        <v>271</v>
      </c>
      <c r="F47" s="128">
        <v>271</v>
      </c>
      <c r="G47" s="128">
        <v>0</v>
      </c>
      <c r="H47" s="128">
        <v>0</v>
      </c>
      <c r="I47" s="128"/>
      <c r="J47" s="128"/>
      <c r="K47" s="128"/>
      <c r="L47" s="128"/>
      <c r="M47" s="128" t="s">
        <v>16</v>
      </c>
      <c r="N47" s="93" t="s">
        <v>17</v>
      </c>
      <c r="O47" s="127">
        <v>45829</v>
      </c>
      <c r="P47" s="110">
        <v>3541</v>
      </c>
    </row>
    <row r="48" spans="1:16" ht="15" customHeight="1">
      <c r="A48" s="99">
        <v>3542</v>
      </c>
      <c r="B48" s="126">
        <v>45785</v>
      </c>
      <c r="C48" s="126"/>
      <c r="D48" s="93">
        <v>3</v>
      </c>
      <c r="E48" s="93">
        <v>120</v>
      </c>
      <c r="F48" s="93">
        <v>120</v>
      </c>
      <c r="G48" s="93">
        <v>0</v>
      </c>
      <c r="H48" s="93">
        <v>0</v>
      </c>
      <c r="I48" s="93"/>
      <c r="J48" s="93"/>
      <c r="K48" s="93"/>
      <c r="L48" s="93"/>
      <c r="M48" s="128" t="s">
        <v>16</v>
      </c>
      <c r="N48" s="93" t="s">
        <v>17</v>
      </c>
      <c r="O48" s="126">
        <v>45785</v>
      </c>
      <c r="P48" s="65">
        <v>3542</v>
      </c>
    </row>
    <row r="49" spans="1:16" ht="15" customHeight="1">
      <c r="A49" s="99">
        <v>3543</v>
      </c>
      <c r="B49" s="132">
        <v>45824</v>
      </c>
      <c r="C49" s="132"/>
      <c r="D49" s="93">
        <v>3</v>
      </c>
      <c r="E49" s="93">
        <v>117</v>
      </c>
      <c r="F49" s="93">
        <v>177</v>
      </c>
      <c r="G49" s="93">
        <v>0</v>
      </c>
      <c r="H49" s="93">
        <v>0</v>
      </c>
      <c r="I49" s="93"/>
      <c r="J49" s="93"/>
      <c r="K49" s="93"/>
      <c r="L49" s="93"/>
      <c r="M49" s="128" t="s">
        <v>16</v>
      </c>
      <c r="N49" s="93" t="s">
        <v>17</v>
      </c>
      <c r="O49" s="132">
        <v>45824</v>
      </c>
      <c r="P49" s="65"/>
    </row>
    <row r="50" spans="1:16" ht="15" customHeight="1">
      <c r="A50" s="104">
        <v>3544</v>
      </c>
      <c r="B50" s="127">
        <v>45817</v>
      </c>
      <c r="C50" s="100" t="s">
        <v>23</v>
      </c>
      <c r="D50" s="93">
        <v>2</v>
      </c>
      <c r="E50" s="93">
        <v>142</v>
      </c>
      <c r="F50" s="93">
        <v>130</v>
      </c>
      <c r="G50" s="93">
        <v>12</v>
      </c>
      <c r="H50" s="93">
        <v>0</v>
      </c>
      <c r="I50" s="93"/>
      <c r="J50" s="93"/>
      <c r="K50" s="93"/>
      <c r="L50" s="93"/>
      <c r="M50" s="128" t="s">
        <v>16</v>
      </c>
      <c r="N50" s="93" t="s">
        <v>17</v>
      </c>
      <c r="O50" s="126">
        <v>45817</v>
      </c>
      <c r="P50" s="65">
        <v>3544</v>
      </c>
    </row>
    <row r="51" spans="1:16" ht="15" customHeight="1">
      <c r="A51" s="99">
        <v>3545</v>
      </c>
      <c r="B51" s="127">
        <v>45823</v>
      </c>
      <c r="C51" s="127"/>
      <c r="D51" s="93">
        <v>3</v>
      </c>
      <c r="E51" s="93">
        <v>108</v>
      </c>
      <c r="F51" s="93">
        <v>108</v>
      </c>
      <c r="G51" s="93">
        <v>0</v>
      </c>
      <c r="H51" s="93">
        <v>0</v>
      </c>
      <c r="I51" s="93"/>
      <c r="J51" s="93"/>
      <c r="K51" s="93"/>
      <c r="L51" s="93"/>
      <c r="M51" s="128" t="s">
        <v>16</v>
      </c>
      <c r="N51" s="93" t="s">
        <v>17</v>
      </c>
      <c r="O51" s="126">
        <v>45823</v>
      </c>
      <c r="P51" s="65">
        <v>3545</v>
      </c>
    </row>
    <row r="52" spans="1:16" ht="15" customHeight="1">
      <c r="A52" s="99">
        <v>3546</v>
      </c>
      <c r="B52" s="126"/>
      <c r="C52" s="126"/>
      <c r="D52" s="93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7"/>
      <c r="P52" s="110"/>
    </row>
    <row r="53" spans="1:16" ht="15" customHeight="1">
      <c r="A53" s="99">
        <v>3547</v>
      </c>
      <c r="B53" s="126">
        <v>45830</v>
      </c>
      <c r="C53" s="126"/>
      <c r="D53" s="93">
        <v>3</v>
      </c>
      <c r="E53" s="93">
        <v>99</v>
      </c>
      <c r="F53" s="93">
        <v>99</v>
      </c>
      <c r="G53" s="93">
        <v>20</v>
      </c>
      <c r="H53" s="93">
        <v>1</v>
      </c>
      <c r="I53" s="126">
        <v>45838</v>
      </c>
      <c r="J53" s="93">
        <v>44</v>
      </c>
      <c r="K53" s="93"/>
      <c r="L53" s="93"/>
      <c r="M53" s="93" t="s">
        <v>16</v>
      </c>
      <c r="N53" s="93" t="s">
        <v>17</v>
      </c>
      <c r="O53" s="126">
        <v>45830</v>
      </c>
      <c r="P53" s="65">
        <v>3547</v>
      </c>
    </row>
    <row r="54" spans="1:16" ht="15" customHeight="1">
      <c r="A54" s="99">
        <v>3548</v>
      </c>
      <c r="B54" s="126">
        <v>45833</v>
      </c>
      <c r="C54" s="126"/>
      <c r="D54" s="93">
        <v>3</v>
      </c>
      <c r="E54" s="93">
        <v>126</v>
      </c>
      <c r="F54" s="93">
        <v>126</v>
      </c>
      <c r="G54" s="93">
        <v>0</v>
      </c>
      <c r="H54" s="93">
        <v>0</v>
      </c>
      <c r="I54" s="93"/>
      <c r="J54" s="93"/>
      <c r="K54" s="93"/>
      <c r="L54" s="93"/>
      <c r="M54" s="93" t="s">
        <v>16</v>
      </c>
      <c r="N54" s="93" t="s">
        <v>17</v>
      </c>
      <c r="O54" s="126">
        <v>45833</v>
      </c>
      <c r="P54" s="65">
        <v>3548</v>
      </c>
    </row>
    <row r="55" spans="1:16" ht="15" customHeight="1">
      <c r="A55" s="99">
        <v>3549</v>
      </c>
      <c r="B55" s="126">
        <v>45818</v>
      </c>
      <c r="C55" s="126"/>
      <c r="D55" s="93">
        <v>2</v>
      </c>
      <c r="E55" s="93">
        <v>285</v>
      </c>
      <c r="F55" s="93">
        <v>277</v>
      </c>
      <c r="G55" s="93">
        <v>8</v>
      </c>
      <c r="H55" s="93">
        <v>1</v>
      </c>
      <c r="I55" s="133">
        <v>45858</v>
      </c>
      <c r="J55" s="93">
        <v>12</v>
      </c>
      <c r="K55" s="93"/>
      <c r="L55" s="93"/>
      <c r="M55" s="93" t="s">
        <v>16</v>
      </c>
      <c r="N55" s="93" t="s">
        <v>17</v>
      </c>
      <c r="O55" s="126">
        <v>45858</v>
      </c>
      <c r="P55" s="65">
        <v>3549</v>
      </c>
    </row>
    <row r="56" spans="1:16" ht="15" customHeight="1">
      <c r="A56" s="99">
        <v>3550</v>
      </c>
      <c r="B56" s="126">
        <v>45842</v>
      </c>
      <c r="C56" s="126"/>
      <c r="D56" s="93">
        <v>1</v>
      </c>
      <c r="E56" s="93">
        <v>8</v>
      </c>
      <c r="F56" s="93">
        <v>8</v>
      </c>
      <c r="G56" s="93">
        <v>0</v>
      </c>
      <c r="H56" s="93">
        <v>0</v>
      </c>
      <c r="I56" s="93"/>
      <c r="J56" s="93"/>
      <c r="K56" s="93"/>
      <c r="L56" s="93"/>
      <c r="M56" s="93" t="s">
        <v>16</v>
      </c>
      <c r="N56" s="93" t="s">
        <v>17</v>
      </c>
      <c r="O56" s="126">
        <v>45842</v>
      </c>
      <c r="P56" s="65"/>
    </row>
    <row r="57" spans="1:16" ht="15" customHeight="1">
      <c r="A57" s="104">
        <v>3551</v>
      </c>
      <c r="B57" s="126">
        <v>45831</v>
      </c>
      <c r="C57" s="100" t="s">
        <v>23</v>
      </c>
      <c r="D57" s="93">
        <v>3</v>
      </c>
      <c r="E57" s="93">
        <v>92</v>
      </c>
      <c r="F57" s="93">
        <v>47</v>
      </c>
      <c r="G57" s="93">
        <v>25</v>
      </c>
      <c r="H57" s="93">
        <v>0</v>
      </c>
      <c r="I57" s="93"/>
      <c r="J57" s="93"/>
      <c r="K57" s="93"/>
      <c r="L57" s="93"/>
      <c r="M57" s="93" t="s">
        <v>16</v>
      </c>
      <c r="N57" s="93" t="s">
        <v>17</v>
      </c>
      <c r="O57" s="126">
        <v>45830</v>
      </c>
      <c r="P57" s="65">
        <v>3551</v>
      </c>
    </row>
    <row r="58" spans="1:16" ht="15" customHeight="1">
      <c r="A58" s="99">
        <v>3552</v>
      </c>
      <c r="B58" s="134">
        <v>45856</v>
      </c>
      <c r="C58" s="134"/>
      <c r="D58" s="93">
        <v>1</v>
      </c>
      <c r="E58" s="93">
        <v>49</v>
      </c>
      <c r="F58" s="93">
        <v>49</v>
      </c>
      <c r="G58" s="93">
        <v>0</v>
      </c>
      <c r="H58" s="93">
        <v>0</v>
      </c>
      <c r="I58" s="93"/>
      <c r="J58" s="93"/>
      <c r="K58" s="93"/>
      <c r="L58" s="93"/>
      <c r="M58" s="93" t="s">
        <v>16</v>
      </c>
      <c r="N58" s="93" t="s">
        <v>17</v>
      </c>
      <c r="O58" s="126">
        <v>45856</v>
      </c>
      <c r="P58" s="65">
        <v>3552</v>
      </c>
    </row>
    <row r="59" spans="1:16" ht="15" customHeight="1">
      <c r="A59" s="99">
        <v>3553</v>
      </c>
      <c r="B59" s="127">
        <v>45835</v>
      </c>
      <c r="C59" s="127"/>
      <c r="D59" s="93">
        <v>1</v>
      </c>
      <c r="E59" s="93">
        <v>104</v>
      </c>
      <c r="F59" s="93">
        <v>104</v>
      </c>
      <c r="G59" s="93">
        <v>0</v>
      </c>
      <c r="H59" s="93">
        <v>0</v>
      </c>
      <c r="I59" s="93"/>
      <c r="J59" s="93"/>
      <c r="K59" s="93"/>
      <c r="L59" s="93"/>
      <c r="M59" s="93" t="s">
        <v>16</v>
      </c>
      <c r="N59" s="93" t="s">
        <v>17</v>
      </c>
      <c r="O59" s="126">
        <v>45835</v>
      </c>
      <c r="P59" s="65">
        <v>3553</v>
      </c>
    </row>
    <row r="60" spans="1:16" ht="15" customHeight="1">
      <c r="A60" s="104">
        <v>3554</v>
      </c>
      <c r="B60" s="126">
        <v>45810</v>
      </c>
      <c r="C60" s="100" t="s">
        <v>23</v>
      </c>
      <c r="D60" s="93">
        <v>3</v>
      </c>
      <c r="E60" s="128">
        <v>108</v>
      </c>
      <c r="F60" s="128">
        <v>108</v>
      </c>
      <c r="G60" s="128">
        <v>0</v>
      </c>
      <c r="H60" s="128">
        <v>0</v>
      </c>
      <c r="I60" s="128"/>
      <c r="J60" s="128"/>
      <c r="K60" s="128"/>
      <c r="L60" s="128"/>
      <c r="M60" s="93" t="s">
        <v>16</v>
      </c>
      <c r="N60" s="128" t="s">
        <v>17</v>
      </c>
      <c r="O60" s="127">
        <v>45810</v>
      </c>
      <c r="P60" s="110">
        <v>3554</v>
      </c>
    </row>
    <row r="61" spans="1:16" ht="15" customHeight="1">
      <c r="A61" s="99">
        <v>3555</v>
      </c>
      <c r="B61" s="127">
        <v>45832</v>
      </c>
      <c r="C61" s="127"/>
      <c r="D61" s="93">
        <v>2</v>
      </c>
      <c r="E61" s="128">
        <v>16</v>
      </c>
      <c r="F61" s="128">
        <v>16</v>
      </c>
      <c r="G61" s="128">
        <v>0</v>
      </c>
      <c r="H61" s="128">
        <v>0</v>
      </c>
      <c r="I61" s="128"/>
      <c r="J61" s="128"/>
      <c r="K61" s="128"/>
      <c r="L61" s="128"/>
      <c r="M61" s="93" t="s">
        <v>16</v>
      </c>
      <c r="N61" s="128" t="s">
        <v>17</v>
      </c>
      <c r="O61" s="127">
        <v>45832</v>
      </c>
      <c r="P61" s="110">
        <v>3555</v>
      </c>
    </row>
    <row r="62" spans="1:16" ht="15" customHeight="1">
      <c r="A62" s="99">
        <v>3556</v>
      </c>
      <c r="B62" s="126">
        <v>45848</v>
      </c>
      <c r="C62" s="126"/>
      <c r="D62" s="93">
        <v>1</v>
      </c>
      <c r="E62" s="93">
        <v>81</v>
      </c>
      <c r="F62" s="93">
        <v>81</v>
      </c>
      <c r="G62" s="93">
        <v>0</v>
      </c>
      <c r="H62" s="93">
        <v>0</v>
      </c>
      <c r="I62" s="93"/>
      <c r="J62" s="93"/>
      <c r="K62" s="93"/>
      <c r="L62" s="93"/>
      <c r="M62" s="93" t="s">
        <v>16</v>
      </c>
      <c r="N62" s="93" t="s">
        <v>17</v>
      </c>
      <c r="O62" s="126">
        <v>45848</v>
      </c>
      <c r="P62" s="65"/>
    </row>
    <row r="63" spans="1:16" ht="15" customHeight="1">
      <c r="A63" s="99">
        <v>3557</v>
      </c>
      <c r="B63" s="132">
        <v>45819</v>
      </c>
      <c r="C63" s="132"/>
      <c r="D63" s="93">
        <v>3</v>
      </c>
      <c r="E63" s="128">
        <v>362</v>
      </c>
      <c r="F63" s="128">
        <v>362</v>
      </c>
      <c r="G63" s="128">
        <v>0</v>
      </c>
      <c r="H63" s="128">
        <v>0</v>
      </c>
      <c r="I63" s="128"/>
      <c r="J63" s="128"/>
      <c r="K63" s="128"/>
      <c r="L63" s="128"/>
      <c r="M63" s="93" t="s">
        <v>16</v>
      </c>
      <c r="N63" s="128" t="s">
        <v>17</v>
      </c>
      <c r="O63" s="132">
        <v>45819</v>
      </c>
      <c r="P63" s="110">
        <v>3557</v>
      </c>
    </row>
    <row r="64" spans="1:16" ht="15" customHeight="1">
      <c r="A64" s="99">
        <v>3558</v>
      </c>
      <c r="B64" s="127">
        <v>45831</v>
      </c>
      <c r="C64" s="127"/>
      <c r="D64" s="93">
        <v>1</v>
      </c>
      <c r="E64" s="93">
        <v>114</v>
      </c>
      <c r="F64" s="93">
        <v>114</v>
      </c>
      <c r="G64" s="93">
        <v>0</v>
      </c>
      <c r="H64" s="93">
        <v>2</v>
      </c>
      <c r="I64" s="126">
        <v>45840</v>
      </c>
      <c r="J64" s="93">
        <v>68</v>
      </c>
      <c r="K64" s="93"/>
      <c r="L64" s="93"/>
      <c r="M64" s="93" t="s">
        <v>16</v>
      </c>
      <c r="N64" s="93" t="s">
        <v>17</v>
      </c>
      <c r="O64" s="126">
        <v>45831</v>
      </c>
      <c r="P64" s="65">
        <v>3558</v>
      </c>
    </row>
    <row r="65" spans="1:16" ht="15" customHeight="1">
      <c r="A65" s="99">
        <v>3559</v>
      </c>
      <c r="B65" s="126">
        <v>45823</v>
      </c>
      <c r="C65" s="126"/>
      <c r="D65" s="93">
        <v>2</v>
      </c>
      <c r="E65" s="93">
        <v>67</v>
      </c>
      <c r="F65" s="93">
        <v>67</v>
      </c>
      <c r="G65" s="93">
        <v>0</v>
      </c>
      <c r="H65" s="93">
        <v>0</v>
      </c>
      <c r="I65" s="93"/>
      <c r="J65" s="93"/>
      <c r="K65" s="93"/>
      <c r="L65" s="93"/>
      <c r="M65" s="93" t="s">
        <v>16</v>
      </c>
      <c r="N65" s="93" t="s">
        <v>17</v>
      </c>
      <c r="O65" s="126">
        <v>45823</v>
      </c>
      <c r="P65" s="65">
        <v>3559</v>
      </c>
    </row>
    <row r="66" spans="1:16" ht="15" customHeight="1">
      <c r="A66" s="99">
        <v>3560</v>
      </c>
      <c r="B66" s="126">
        <v>45838</v>
      </c>
      <c r="C66" s="126"/>
      <c r="D66" s="93">
        <v>3</v>
      </c>
      <c r="E66" s="93">
        <v>277</v>
      </c>
      <c r="F66" s="93">
        <v>277</v>
      </c>
      <c r="G66" s="93">
        <v>0</v>
      </c>
      <c r="H66" s="93">
        <v>0</v>
      </c>
      <c r="I66" s="93"/>
      <c r="J66" s="93"/>
      <c r="K66" s="93"/>
      <c r="L66" s="93"/>
      <c r="M66" s="93" t="s">
        <v>16</v>
      </c>
      <c r="N66" s="93" t="s">
        <v>17</v>
      </c>
      <c r="O66" s="127">
        <v>45838</v>
      </c>
      <c r="P66" s="65">
        <v>3560</v>
      </c>
    </row>
    <row r="67" spans="1:16" ht="15" customHeight="1">
      <c r="A67" s="99">
        <v>3561</v>
      </c>
      <c r="B67" s="126">
        <v>45809</v>
      </c>
      <c r="C67" s="126"/>
      <c r="D67" s="93">
        <v>3</v>
      </c>
      <c r="E67" s="93">
        <v>57</v>
      </c>
      <c r="F67" s="93">
        <v>10</v>
      </c>
      <c r="G67" s="93">
        <v>47</v>
      </c>
      <c r="H67" s="93">
        <v>2</v>
      </c>
      <c r="I67" s="126">
        <v>45833</v>
      </c>
      <c r="J67" s="93">
        <v>47</v>
      </c>
      <c r="K67" s="93"/>
      <c r="L67" s="93"/>
      <c r="M67" s="93" t="s">
        <v>16</v>
      </c>
      <c r="N67" s="93" t="s">
        <v>17</v>
      </c>
      <c r="O67" s="126">
        <v>45833</v>
      </c>
      <c r="P67" s="65">
        <v>3561</v>
      </c>
    </row>
    <row r="68" spans="1:16" ht="18.75">
      <c r="A68" s="104">
        <v>3562</v>
      </c>
      <c r="B68" s="126">
        <v>45826</v>
      </c>
      <c r="C68" s="100" t="s">
        <v>23</v>
      </c>
      <c r="D68" s="93">
        <v>2</v>
      </c>
      <c r="E68" s="93">
        <v>253</v>
      </c>
      <c r="F68" s="93">
        <v>253</v>
      </c>
      <c r="G68" s="93">
        <v>0</v>
      </c>
      <c r="H68" s="93">
        <v>0</v>
      </c>
      <c r="I68" s="126">
        <v>45851</v>
      </c>
      <c r="J68" s="93">
        <v>32</v>
      </c>
      <c r="K68" s="93"/>
      <c r="L68" s="93"/>
      <c r="M68" s="93" t="s">
        <v>16</v>
      </c>
      <c r="N68" s="93" t="s">
        <v>17</v>
      </c>
      <c r="O68" s="126">
        <v>45826</v>
      </c>
      <c r="P68" s="65">
        <v>3562</v>
      </c>
    </row>
    <row r="69" spans="1:16" ht="18">
      <c r="A69" s="99">
        <v>3563</v>
      </c>
      <c r="B69" s="126">
        <v>45837</v>
      </c>
      <c r="C69" s="126"/>
      <c r="D69" s="93">
        <v>2</v>
      </c>
      <c r="E69" s="128">
        <v>75</v>
      </c>
      <c r="F69" s="128">
        <v>75</v>
      </c>
      <c r="G69" s="128">
        <v>0</v>
      </c>
      <c r="H69" s="128">
        <v>1</v>
      </c>
      <c r="I69" s="127">
        <v>45847</v>
      </c>
      <c r="J69" s="128">
        <v>5</v>
      </c>
      <c r="K69" s="128"/>
      <c r="L69" s="128"/>
      <c r="M69" s="93" t="s">
        <v>16</v>
      </c>
      <c r="N69" s="128" t="s">
        <v>17</v>
      </c>
      <c r="O69" s="126">
        <v>45837</v>
      </c>
      <c r="P69" s="110">
        <v>3563</v>
      </c>
    </row>
    <row r="70" spans="1:16" ht="18">
      <c r="A70" s="99">
        <v>3564</v>
      </c>
      <c r="B70" s="126">
        <v>45827</v>
      </c>
      <c r="C70" s="126"/>
      <c r="D70" s="93">
        <v>2</v>
      </c>
      <c r="E70" s="128">
        <v>127</v>
      </c>
      <c r="F70" s="128">
        <v>127</v>
      </c>
      <c r="G70" s="128">
        <v>0</v>
      </c>
      <c r="H70" s="128">
        <v>1</v>
      </c>
      <c r="I70" s="127">
        <v>45844</v>
      </c>
      <c r="J70" s="128">
        <v>3</v>
      </c>
      <c r="K70" s="128"/>
      <c r="L70" s="128"/>
      <c r="M70" s="93" t="s">
        <v>16</v>
      </c>
      <c r="N70" s="128" t="s">
        <v>17</v>
      </c>
      <c r="O70" s="126">
        <v>45827</v>
      </c>
      <c r="P70" s="110">
        <v>3564</v>
      </c>
    </row>
    <row r="71" spans="1:16" ht="18">
      <c r="A71" s="99">
        <v>3565</v>
      </c>
      <c r="B71" s="127">
        <v>45833</v>
      </c>
      <c r="C71" s="127"/>
      <c r="D71" s="93">
        <v>3</v>
      </c>
      <c r="E71" s="93">
        <v>63</v>
      </c>
      <c r="F71" s="93">
        <v>23</v>
      </c>
      <c r="G71" s="93">
        <v>40</v>
      </c>
      <c r="H71" s="93">
        <v>1</v>
      </c>
      <c r="I71" s="126">
        <v>45837</v>
      </c>
      <c r="J71" s="93">
        <v>59</v>
      </c>
      <c r="K71" s="93"/>
      <c r="L71" s="93"/>
      <c r="M71" s="93" t="s">
        <v>16</v>
      </c>
      <c r="N71" s="93" t="s">
        <v>17</v>
      </c>
      <c r="O71" s="126">
        <v>45837</v>
      </c>
      <c r="P71" s="65">
        <v>3565</v>
      </c>
    </row>
    <row r="72" spans="1:16" ht="18.75">
      <c r="A72" s="99">
        <v>3566</v>
      </c>
      <c r="B72" s="126">
        <v>45824</v>
      </c>
      <c r="C72" s="126"/>
      <c r="D72" s="93">
        <v>3</v>
      </c>
      <c r="E72" s="93">
        <v>94</v>
      </c>
      <c r="F72" s="93">
        <v>94</v>
      </c>
      <c r="G72" s="93">
        <v>0</v>
      </c>
      <c r="H72" s="93">
        <v>0</v>
      </c>
      <c r="I72" s="93"/>
      <c r="J72" s="93"/>
      <c r="K72" s="93"/>
      <c r="L72" s="93"/>
      <c r="M72" s="93" t="s">
        <v>16</v>
      </c>
      <c r="N72" s="93" t="s">
        <v>17</v>
      </c>
      <c r="O72" s="126">
        <v>45824</v>
      </c>
      <c r="P72" s="65">
        <v>3565</v>
      </c>
    </row>
    <row r="73" spans="1:16" ht="18">
      <c r="A73" s="116">
        <v>3567</v>
      </c>
      <c r="B73" s="135">
        <v>45818</v>
      </c>
      <c r="C73" s="135"/>
      <c r="D73" s="118">
        <v>1</v>
      </c>
      <c r="E73" s="118">
        <v>32</v>
      </c>
      <c r="F73" s="118">
        <v>32</v>
      </c>
      <c r="G73" s="118">
        <v>0</v>
      </c>
      <c r="H73" s="118">
        <v>0</v>
      </c>
      <c r="I73" s="118"/>
      <c r="J73" s="118"/>
      <c r="K73" s="118"/>
      <c r="L73" s="118"/>
      <c r="M73" s="118" t="s">
        <v>16</v>
      </c>
      <c r="N73" s="118" t="s">
        <v>17</v>
      </c>
      <c r="O73" s="136">
        <v>45818</v>
      </c>
      <c r="P73" s="122">
        <v>3567</v>
      </c>
    </row>
    <row r="85" spans="16:16">
      <c r="P85" s="66"/>
    </row>
    <row r="86" spans="16:16">
      <c r="P86" s="66"/>
    </row>
    <row r="87" spans="16:16">
      <c r="P87" s="66"/>
    </row>
    <row r="88" spans="16:16">
      <c r="P88" s="66"/>
    </row>
    <row r="89" spans="16:16">
      <c r="P89" s="66"/>
    </row>
    <row r="90" spans="16:16">
      <c r="P90" s="66"/>
    </row>
    <row r="91" spans="16:16">
      <c r="P91" s="66"/>
    </row>
    <row r="92" spans="16:16">
      <c r="P92" s="66"/>
    </row>
    <row r="93" spans="16:16">
      <c r="P93" s="66"/>
    </row>
    <row r="94" spans="16:16">
      <c r="P94" s="66"/>
    </row>
    <row r="95" spans="16:16">
      <c r="P95" s="66"/>
    </row>
    <row r="96" spans="16:16">
      <c r="P96" s="67"/>
    </row>
    <row r="97" spans="16:16">
      <c r="P97" s="66"/>
    </row>
    <row r="98" spans="16:16">
      <c r="P98" s="66"/>
    </row>
    <row r="99" spans="16:16">
      <c r="P99" s="66"/>
    </row>
    <row r="100" spans="16:16">
      <c r="P100" s="66"/>
    </row>
    <row r="101" spans="16:16">
      <c r="P101" s="66"/>
    </row>
    <row r="102" spans="16:16">
      <c r="P102" s="66"/>
    </row>
    <row r="103" spans="16:16">
      <c r="P103" s="66"/>
    </row>
    <row r="104" spans="16:16">
      <c r="P104" s="66"/>
    </row>
    <row r="105" spans="16:16">
      <c r="P105" s="66"/>
    </row>
    <row r="106" spans="16:16">
      <c r="P106" s="66"/>
    </row>
    <row r="107" spans="16:16">
      <c r="P107" s="66"/>
    </row>
    <row r="108" spans="16:16">
      <c r="P108" s="66"/>
    </row>
    <row r="109" spans="16:16">
      <c r="P109" s="66"/>
    </row>
    <row r="110" spans="16:16">
      <c r="P110" s="66"/>
    </row>
    <row r="111" spans="16:16">
      <c r="P111" s="66"/>
    </row>
    <row r="112" spans="16:16">
      <c r="P112" s="66"/>
    </row>
    <row r="113" spans="16:16">
      <c r="P113" s="66"/>
    </row>
    <row r="114" spans="16:16">
      <c r="P114" s="66"/>
    </row>
    <row r="115" spans="16:16">
      <c r="P115" s="66"/>
    </row>
    <row r="116" spans="16:16">
      <c r="P116" s="66"/>
    </row>
    <row r="117" spans="16:16">
      <c r="P117" s="66"/>
    </row>
    <row r="118" spans="16:16">
      <c r="P118" s="66"/>
    </row>
    <row r="119" spans="16:16">
      <c r="P119" s="66"/>
    </row>
    <row r="120" spans="16:16">
      <c r="P120" s="66"/>
    </row>
    <row r="121" spans="16:16">
      <c r="P121" s="66"/>
    </row>
    <row r="122" spans="16:16">
      <c r="P122" s="66"/>
    </row>
    <row r="123" spans="16:16">
      <c r="P123" s="66"/>
    </row>
    <row r="124" spans="16:16">
      <c r="P124" s="66"/>
    </row>
    <row r="125" spans="16:16">
      <c r="P125" s="66"/>
    </row>
    <row r="126" spans="16:16">
      <c r="P126" s="66"/>
    </row>
    <row r="127" spans="16:16">
      <c r="P127" s="66"/>
    </row>
    <row r="128" spans="16:16">
      <c r="P128" s="66"/>
    </row>
    <row r="129" spans="16:16">
      <c r="P129" s="66"/>
    </row>
    <row r="130" spans="16:16">
      <c r="P130" s="66"/>
    </row>
    <row r="131" spans="16:16">
      <c r="P131" s="66"/>
    </row>
    <row r="132" spans="16:16">
      <c r="P132" s="66"/>
    </row>
    <row r="133" spans="16:16">
      <c r="P133" s="66"/>
    </row>
    <row r="134" spans="16:16">
      <c r="P134" s="66"/>
    </row>
    <row r="135" spans="16:16">
      <c r="P135" s="66"/>
    </row>
    <row r="136" spans="16:16">
      <c r="P136" s="66"/>
    </row>
    <row r="137" spans="16:16">
      <c r="P137" s="66"/>
    </row>
    <row r="138" spans="16:16">
      <c r="P138" s="66"/>
    </row>
    <row r="139" spans="16:16">
      <c r="P139" s="66"/>
    </row>
    <row r="140" spans="16:16">
      <c r="P140" s="66"/>
    </row>
    <row r="141" spans="16:16">
      <c r="P141" s="66"/>
    </row>
    <row r="142" spans="16:16">
      <c r="P142" s="66"/>
    </row>
    <row r="143" spans="16:16">
      <c r="P143" s="66"/>
    </row>
    <row r="144" spans="16:16">
      <c r="P144" s="66"/>
    </row>
    <row r="145" spans="16:16">
      <c r="P145" s="66"/>
    </row>
    <row r="146" spans="16:16">
      <c r="P146" s="66"/>
    </row>
    <row r="147" spans="16:16">
      <c r="P147" s="66"/>
    </row>
    <row r="148" spans="16:16">
      <c r="P148" s="66"/>
    </row>
    <row r="149" spans="16:16">
      <c r="P149" s="66"/>
    </row>
    <row r="150" spans="16:16">
      <c r="P150" s="66"/>
    </row>
    <row r="151" spans="16:16">
      <c r="P151" s="66"/>
    </row>
    <row r="152" spans="16:16">
      <c r="P152" s="66"/>
    </row>
    <row r="153" spans="16:16">
      <c r="P153" s="66"/>
    </row>
    <row r="154" spans="16:16">
      <c r="P154" s="66"/>
    </row>
    <row r="155" spans="16:16">
      <c r="P155" s="66"/>
    </row>
    <row r="156" spans="16:16">
      <c r="P156" s="66"/>
    </row>
    <row r="157" spans="16:16">
      <c r="P157" s="66"/>
    </row>
    <row r="158" spans="16:16">
      <c r="P158" s="66"/>
    </row>
    <row r="159" spans="16:16">
      <c r="P159" s="66"/>
    </row>
    <row r="160" spans="16:16">
      <c r="P160" s="66"/>
    </row>
    <row r="161" spans="16:16">
      <c r="P161" s="66"/>
    </row>
    <row r="162" spans="16:16">
      <c r="P162" s="66"/>
    </row>
    <row r="163" spans="16:16">
      <c r="P163" s="66"/>
    </row>
    <row r="164" spans="16:16">
      <c r="P164" s="66"/>
    </row>
    <row r="165" spans="16:16">
      <c r="P165" s="66"/>
    </row>
    <row r="166" spans="16:16">
      <c r="P166" s="66"/>
    </row>
    <row r="167" spans="16:16">
      <c r="P167" s="66"/>
    </row>
    <row r="168" spans="16:16">
      <c r="P168" s="66"/>
    </row>
    <row r="169" spans="16:16">
      <c r="P169" s="66"/>
    </row>
    <row r="170" spans="16:16">
      <c r="P170" s="66"/>
    </row>
    <row r="171" spans="16:16">
      <c r="P171" s="66"/>
    </row>
    <row r="172" spans="16:16">
      <c r="P172" s="66"/>
    </row>
    <row r="173" spans="16:16">
      <c r="P173" s="66"/>
    </row>
    <row r="174" spans="16:16">
      <c r="P174" s="66"/>
    </row>
    <row r="175" spans="16:16">
      <c r="P175" s="66"/>
    </row>
    <row r="176" spans="16:16">
      <c r="P176" s="66"/>
    </row>
    <row r="177" spans="16:16">
      <c r="P177" s="66"/>
    </row>
    <row r="178" spans="16:16">
      <c r="P178" s="66"/>
    </row>
    <row r="179" spans="16:16">
      <c r="P179" s="67"/>
    </row>
    <row r="180" spans="16:16">
      <c r="P180" s="66"/>
    </row>
    <row r="181" spans="16:16">
      <c r="P181" s="66"/>
    </row>
    <row r="182" spans="16:16">
      <c r="P182" s="66"/>
    </row>
    <row r="183" spans="16:16">
      <c r="P183" s="66"/>
    </row>
    <row r="184" spans="16:16">
      <c r="P184" s="66"/>
    </row>
    <row r="185" spans="16:16">
      <c r="P185" s="66"/>
    </row>
    <row r="186" spans="16:16">
      <c r="P186" s="66"/>
    </row>
    <row r="187" spans="16:16">
      <c r="P187" s="66"/>
    </row>
    <row r="188" spans="16:16">
      <c r="P188" s="66"/>
    </row>
    <row r="189" spans="16:16">
      <c r="P189" s="66"/>
    </row>
    <row r="190" spans="16:16">
      <c r="P190" s="66"/>
    </row>
    <row r="191" spans="16:16">
      <c r="P191" s="66"/>
    </row>
    <row r="192" spans="16:16">
      <c r="P192" s="66"/>
    </row>
    <row r="193" spans="16:16">
      <c r="P193" s="66"/>
    </row>
    <row r="194" spans="16:16">
      <c r="P194" s="66"/>
    </row>
    <row r="195" spans="16:16">
      <c r="P195" s="66"/>
    </row>
    <row r="196" spans="16:16">
      <c r="P196" s="66"/>
    </row>
    <row r="197" spans="16:16">
      <c r="P197" s="66"/>
    </row>
    <row r="198" spans="16:16">
      <c r="P198" s="66"/>
    </row>
    <row r="199" spans="16:16">
      <c r="P199" s="66"/>
    </row>
    <row r="200" spans="16:16">
      <c r="P200" s="66"/>
    </row>
    <row r="201" spans="16:16">
      <c r="P201" s="66"/>
    </row>
    <row r="202" spans="16:16">
      <c r="P202" s="66"/>
    </row>
    <row r="203" spans="16:16">
      <c r="P203" s="66"/>
    </row>
    <row r="204" spans="16:16">
      <c r="P204" s="66"/>
    </row>
    <row r="205" spans="16:16">
      <c r="P205" s="66"/>
    </row>
    <row r="206" spans="16:16">
      <c r="P206" s="66"/>
    </row>
    <row r="207" spans="16:16">
      <c r="P207" s="66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G11" sqref="G11"/>
    </sheetView>
  </sheetViews>
  <sheetFormatPr defaultColWidth="9.42578125" defaultRowHeight="15" customHeight="1"/>
  <cols>
    <col min="1" max="1" width="10.5703125" style="1" customWidth="1"/>
    <col min="2" max="3" width="11.1406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58" t="s">
        <v>1</v>
      </c>
      <c r="C1" s="58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60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68" t="s">
        <v>13</v>
      </c>
      <c r="O1" s="69" t="s">
        <v>14</v>
      </c>
      <c r="P1" s="70" t="s">
        <v>15</v>
      </c>
    </row>
    <row r="2" spans="1:21" ht="15" customHeight="1">
      <c r="A2" s="137">
        <v>3231</v>
      </c>
      <c r="B2" s="129">
        <v>45854</v>
      </c>
      <c r="C2" s="129"/>
      <c r="D2" s="71">
        <v>4</v>
      </c>
      <c r="E2" s="71">
        <v>99</v>
      </c>
      <c r="F2" s="71">
        <v>55</v>
      </c>
      <c r="G2" s="71">
        <v>44</v>
      </c>
      <c r="H2" s="71">
        <v>3</v>
      </c>
      <c r="I2" s="88"/>
      <c r="J2" s="88"/>
      <c r="K2" s="88"/>
      <c r="L2" s="88"/>
      <c r="M2" s="88" t="s">
        <v>16</v>
      </c>
      <c r="N2" s="71" t="s">
        <v>17</v>
      </c>
      <c r="O2" s="71"/>
      <c r="P2" s="71"/>
      <c r="R2" s="94" t="s">
        <v>18</v>
      </c>
      <c r="S2" s="95"/>
      <c r="T2" s="95"/>
      <c r="U2" s="96"/>
    </row>
    <row r="3" spans="1:21" ht="15" customHeight="1">
      <c r="A3" s="137">
        <v>3232</v>
      </c>
      <c r="B3" s="133">
        <v>45858</v>
      </c>
      <c r="C3" s="133"/>
      <c r="D3" s="71">
        <v>4</v>
      </c>
      <c r="E3" s="71">
        <v>52</v>
      </c>
      <c r="F3" s="71">
        <v>48</v>
      </c>
      <c r="G3" s="71">
        <v>4</v>
      </c>
      <c r="H3" s="71">
        <v>1</v>
      </c>
      <c r="I3" s="88"/>
      <c r="J3" s="88"/>
      <c r="K3" s="88"/>
      <c r="L3" s="88"/>
      <c r="M3" s="88" t="s">
        <v>16</v>
      </c>
      <c r="N3" s="71" t="s">
        <v>17</v>
      </c>
      <c r="O3" s="71"/>
      <c r="P3" s="71"/>
      <c r="R3" s="75" t="s">
        <v>19</v>
      </c>
      <c r="S3" s="76" t="s">
        <v>20</v>
      </c>
      <c r="T3" s="77" t="s">
        <v>31</v>
      </c>
      <c r="U3" s="78" t="s">
        <v>22</v>
      </c>
    </row>
    <row r="4" spans="1:21" ht="15" customHeight="1">
      <c r="A4" s="137">
        <v>3233</v>
      </c>
      <c r="B4" s="128"/>
      <c r="C4" s="128"/>
      <c r="D4" s="71"/>
      <c r="E4" s="71"/>
      <c r="F4" s="71"/>
      <c r="G4" s="71"/>
      <c r="H4" s="71"/>
      <c r="I4" s="88"/>
      <c r="J4" s="88"/>
      <c r="K4" s="88"/>
      <c r="L4" s="88"/>
      <c r="M4" s="88"/>
      <c r="N4" s="71"/>
      <c r="O4" s="138"/>
      <c r="P4" s="71"/>
      <c r="R4" s="80">
        <v>36</v>
      </c>
      <c r="S4" s="81">
        <f>COUNTA(A:A)-1</f>
        <v>72</v>
      </c>
      <c r="T4" s="81">
        <f>COUNTA(O:O)-1</f>
        <v>33</v>
      </c>
      <c r="U4" s="106">
        <f>T4/S4</f>
        <v>0.45833333333333331</v>
      </c>
    </row>
    <row r="5" spans="1:21" ht="15" customHeight="1">
      <c r="A5" s="137">
        <v>3234</v>
      </c>
      <c r="B5" s="133">
        <v>45858</v>
      </c>
      <c r="C5" s="133"/>
      <c r="D5" s="71">
        <v>1</v>
      </c>
      <c r="E5" s="71">
        <v>4</v>
      </c>
      <c r="F5" s="71">
        <v>4</v>
      </c>
      <c r="G5" s="71">
        <v>0</v>
      </c>
      <c r="H5" s="71">
        <v>0</v>
      </c>
      <c r="I5" s="88"/>
      <c r="J5" s="88"/>
      <c r="K5" s="88"/>
      <c r="L5" s="88"/>
      <c r="M5" s="88" t="s">
        <v>16</v>
      </c>
      <c r="N5" s="71" t="s">
        <v>17</v>
      </c>
      <c r="O5" s="71" t="s">
        <v>33</v>
      </c>
      <c r="P5" s="71">
        <v>3234</v>
      </c>
    </row>
    <row r="6" spans="1:21" ht="15" customHeight="1">
      <c r="A6" s="137">
        <v>3235</v>
      </c>
      <c r="B6" s="93"/>
      <c r="C6" s="93"/>
      <c r="D6" s="71"/>
      <c r="E6" s="71"/>
      <c r="F6" s="71"/>
      <c r="G6" s="71"/>
      <c r="H6" s="71"/>
      <c r="I6" s="88"/>
      <c r="J6" s="88"/>
      <c r="K6" s="88"/>
      <c r="L6" s="88"/>
      <c r="M6" s="88"/>
      <c r="N6" s="71"/>
      <c r="O6" s="71"/>
      <c r="P6" s="71"/>
    </row>
    <row r="7" spans="1:21" ht="15" customHeight="1">
      <c r="A7" s="137">
        <v>3236</v>
      </c>
      <c r="B7" s="93"/>
      <c r="C7" s="93"/>
      <c r="D7" s="71"/>
      <c r="E7" s="24"/>
      <c r="F7" s="24"/>
      <c r="G7" s="24"/>
      <c r="H7" s="24"/>
      <c r="I7" s="25"/>
      <c r="J7" s="25"/>
      <c r="K7" s="25"/>
      <c r="L7" s="25"/>
      <c r="M7" s="25"/>
      <c r="N7" s="138"/>
      <c r="O7" s="71"/>
      <c r="P7" s="24"/>
    </row>
    <row r="8" spans="1:21" ht="15" customHeight="1">
      <c r="A8" s="137">
        <v>3237</v>
      </c>
      <c r="B8" s="126">
        <v>45844</v>
      </c>
      <c r="C8" s="126"/>
      <c r="D8" s="71">
        <v>4</v>
      </c>
      <c r="E8" s="71">
        <v>98</v>
      </c>
      <c r="F8" s="71">
        <v>98</v>
      </c>
      <c r="G8" s="71">
        <v>0</v>
      </c>
      <c r="H8" s="71">
        <v>0</v>
      </c>
      <c r="I8" s="88"/>
      <c r="J8" s="88"/>
      <c r="K8" s="88"/>
      <c r="L8" s="88"/>
      <c r="M8" s="88" t="s">
        <v>16</v>
      </c>
      <c r="N8" s="71" t="s">
        <v>17</v>
      </c>
      <c r="O8" s="139">
        <v>45844</v>
      </c>
      <c r="P8" s="71">
        <v>3237</v>
      </c>
    </row>
    <row r="9" spans="1:21" ht="15" customHeight="1">
      <c r="A9" s="137">
        <v>3238</v>
      </c>
      <c r="B9" s="126">
        <v>45834</v>
      </c>
      <c r="C9" s="126"/>
      <c r="D9" s="71">
        <v>2</v>
      </c>
      <c r="E9" s="71">
        <v>14</v>
      </c>
      <c r="F9" s="71">
        <v>14</v>
      </c>
      <c r="G9" s="71">
        <v>0</v>
      </c>
      <c r="H9" s="71">
        <v>1</v>
      </c>
      <c r="I9" s="140">
        <v>45843</v>
      </c>
      <c r="J9" s="88">
        <v>14</v>
      </c>
      <c r="K9" s="88"/>
      <c r="L9" s="88"/>
      <c r="M9" s="88" t="s">
        <v>16</v>
      </c>
      <c r="N9" s="71" t="s">
        <v>17</v>
      </c>
      <c r="O9" s="139">
        <v>45843</v>
      </c>
      <c r="P9" s="71">
        <v>3238</v>
      </c>
    </row>
    <row r="10" spans="1:21" ht="15" customHeight="1">
      <c r="A10" s="137">
        <v>3239</v>
      </c>
      <c r="B10" s="93"/>
      <c r="C10" s="93"/>
      <c r="D10" s="71"/>
      <c r="E10" s="71"/>
      <c r="F10" s="71"/>
      <c r="G10" s="71"/>
      <c r="H10" s="71"/>
      <c r="I10" s="88"/>
      <c r="J10" s="88"/>
      <c r="K10" s="88"/>
      <c r="L10" s="88"/>
      <c r="M10" s="88"/>
      <c r="N10" s="71"/>
      <c r="O10" s="71"/>
      <c r="P10" s="71"/>
    </row>
    <row r="11" spans="1:21" ht="15" customHeight="1">
      <c r="A11" s="137">
        <v>3240</v>
      </c>
      <c r="B11" s="126">
        <v>45851</v>
      </c>
      <c r="C11" s="126"/>
      <c r="D11" s="71">
        <v>1</v>
      </c>
      <c r="E11" s="71">
        <v>27</v>
      </c>
      <c r="F11" s="71">
        <v>27</v>
      </c>
      <c r="G11" s="71">
        <v>0</v>
      </c>
      <c r="H11" s="71">
        <v>0</v>
      </c>
      <c r="I11" s="88"/>
      <c r="J11" s="88"/>
      <c r="K11" s="88"/>
      <c r="L11" s="88"/>
      <c r="M11" s="88" t="s">
        <v>16</v>
      </c>
      <c r="N11" s="71" t="s">
        <v>17</v>
      </c>
      <c r="O11" s="139">
        <v>45851</v>
      </c>
      <c r="P11" s="71"/>
    </row>
    <row r="12" spans="1:21" ht="15" customHeight="1">
      <c r="A12" s="137">
        <v>3241</v>
      </c>
      <c r="B12" s="127">
        <v>45831</v>
      </c>
      <c r="C12" s="127"/>
      <c r="D12" s="71">
        <v>3</v>
      </c>
      <c r="E12" s="71">
        <v>12</v>
      </c>
      <c r="F12" s="71">
        <v>12</v>
      </c>
      <c r="G12" s="71">
        <v>0</v>
      </c>
      <c r="H12" s="71">
        <v>0</v>
      </c>
      <c r="I12" s="88"/>
      <c r="J12" s="88"/>
      <c r="K12" s="88"/>
      <c r="L12" s="88"/>
      <c r="M12" s="88" t="s">
        <v>16</v>
      </c>
      <c r="N12" s="71" t="s">
        <v>17</v>
      </c>
      <c r="O12" s="141">
        <v>45831</v>
      </c>
      <c r="P12" s="71">
        <v>3241</v>
      </c>
    </row>
    <row r="13" spans="1:21" ht="15" customHeight="1">
      <c r="A13" s="137">
        <v>3242</v>
      </c>
      <c r="B13" s="127">
        <v>45833</v>
      </c>
      <c r="C13" s="127"/>
      <c r="D13" s="71">
        <v>4</v>
      </c>
      <c r="E13" s="71">
        <v>58</v>
      </c>
      <c r="F13" s="71">
        <v>58</v>
      </c>
      <c r="G13" s="71">
        <v>0</v>
      </c>
      <c r="H13" s="71">
        <v>0</v>
      </c>
      <c r="I13" s="88"/>
      <c r="J13" s="88"/>
      <c r="K13" s="88"/>
      <c r="L13" s="88"/>
      <c r="M13" s="88" t="s">
        <v>16</v>
      </c>
      <c r="N13" s="71" t="s">
        <v>17</v>
      </c>
      <c r="O13" s="141">
        <v>45833</v>
      </c>
      <c r="P13" s="71">
        <v>3242</v>
      </c>
    </row>
    <row r="14" spans="1:21" ht="15" customHeight="1">
      <c r="A14" s="137">
        <v>3243</v>
      </c>
      <c r="B14" s="126">
        <v>45846</v>
      </c>
      <c r="C14" s="126"/>
      <c r="D14" s="71">
        <v>3</v>
      </c>
      <c r="E14" s="71">
        <v>16</v>
      </c>
      <c r="F14" s="71">
        <v>16</v>
      </c>
      <c r="G14" s="71">
        <v>0</v>
      </c>
      <c r="H14" s="71">
        <v>0</v>
      </c>
      <c r="I14" s="88"/>
      <c r="J14" s="88"/>
      <c r="K14" s="88"/>
      <c r="L14" s="88"/>
      <c r="M14" s="88" t="s">
        <v>16</v>
      </c>
      <c r="N14" s="71" t="s">
        <v>17</v>
      </c>
      <c r="O14" s="139">
        <v>45846</v>
      </c>
      <c r="P14" s="71">
        <v>3243</v>
      </c>
    </row>
    <row r="15" spans="1:21" ht="15" customHeight="1">
      <c r="A15" s="137">
        <v>3244</v>
      </c>
      <c r="B15" s="126">
        <v>45838</v>
      </c>
      <c r="C15" s="126"/>
      <c r="D15" s="71">
        <v>1</v>
      </c>
      <c r="E15" s="71">
        <v>27</v>
      </c>
      <c r="F15" s="71">
        <v>27</v>
      </c>
      <c r="G15" s="71">
        <v>0</v>
      </c>
      <c r="H15" s="71">
        <v>3</v>
      </c>
      <c r="I15" s="140">
        <v>45851</v>
      </c>
      <c r="J15" s="88">
        <v>192</v>
      </c>
      <c r="K15" s="88"/>
      <c r="L15" s="88"/>
      <c r="M15" s="88" t="s">
        <v>16</v>
      </c>
      <c r="N15" s="71" t="s">
        <v>17</v>
      </c>
      <c r="O15" s="139">
        <v>45838</v>
      </c>
      <c r="P15" s="71">
        <v>3244</v>
      </c>
    </row>
    <row r="16" spans="1:21" ht="15" customHeight="1">
      <c r="A16" s="137">
        <v>3245</v>
      </c>
      <c r="B16" s="93"/>
      <c r="C16" s="93"/>
      <c r="D16" s="71"/>
      <c r="E16" s="71"/>
      <c r="F16" s="71"/>
      <c r="G16" s="71"/>
      <c r="H16" s="71"/>
      <c r="I16" s="88"/>
      <c r="J16" s="88"/>
      <c r="K16" s="88"/>
      <c r="L16" s="88"/>
      <c r="M16" s="88"/>
      <c r="N16" s="71"/>
      <c r="O16" s="71"/>
      <c r="P16" s="71"/>
    </row>
    <row r="17" spans="1:16" ht="15" customHeight="1">
      <c r="A17" s="137">
        <v>3246</v>
      </c>
      <c r="B17" s="128"/>
      <c r="C17" s="128"/>
      <c r="D17" s="71"/>
      <c r="E17" s="24"/>
      <c r="F17" s="24"/>
      <c r="G17" s="24"/>
      <c r="H17" s="24"/>
      <c r="I17" s="25"/>
      <c r="J17" s="25"/>
      <c r="K17" s="25"/>
      <c r="L17" s="25"/>
      <c r="M17" s="25"/>
      <c r="N17" s="138"/>
      <c r="O17" s="138"/>
      <c r="P17" s="24"/>
    </row>
    <row r="18" spans="1:16" ht="15" customHeight="1">
      <c r="A18" s="142">
        <v>3247</v>
      </c>
      <c r="B18" s="93"/>
      <c r="C18" s="93"/>
      <c r="D18" s="71"/>
      <c r="E18" s="26"/>
      <c r="F18" s="26"/>
      <c r="G18" s="26"/>
      <c r="H18" s="26"/>
      <c r="I18" s="26"/>
      <c r="J18" s="26"/>
      <c r="K18" s="26"/>
      <c r="L18" s="26"/>
      <c r="M18" s="26"/>
      <c r="N18" s="138"/>
      <c r="O18" s="71"/>
      <c r="P18" s="26"/>
    </row>
    <row r="19" spans="1:16" ht="15" customHeight="1">
      <c r="A19" s="137">
        <v>3248</v>
      </c>
      <c r="B19" s="93"/>
      <c r="C19" s="93"/>
      <c r="D19" s="71"/>
      <c r="E19" s="71"/>
      <c r="F19" s="71"/>
      <c r="G19" s="71"/>
      <c r="H19" s="71"/>
      <c r="I19" s="88"/>
      <c r="J19" s="88"/>
      <c r="K19" s="88"/>
      <c r="L19" s="88"/>
      <c r="M19" s="88"/>
      <c r="N19" s="71"/>
      <c r="O19" s="71"/>
      <c r="P19" s="71"/>
    </row>
    <row r="20" spans="1:16" ht="15" customHeight="1">
      <c r="A20" s="137">
        <v>3250</v>
      </c>
      <c r="B20" s="93"/>
      <c r="C20" s="93"/>
      <c r="D20" s="71"/>
      <c r="E20" s="71"/>
      <c r="F20" s="71"/>
      <c r="G20" s="71"/>
      <c r="H20" s="71"/>
      <c r="I20" s="88"/>
      <c r="J20" s="88"/>
      <c r="K20" s="88"/>
      <c r="L20" s="88"/>
      <c r="M20" s="88"/>
      <c r="N20" s="71"/>
      <c r="O20" s="71"/>
      <c r="P20" s="71"/>
    </row>
    <row r="21" spans="1:16" ht="15" customHeight="1">
      <c r="A21" s="137">
        <v>3251</v>
      </c>
      <c r="B21" s="93"/>
      <c r="C21" s="93"/>
      <c r="D21" s="71"/>
      <c r="E21" s="71"/>
      <c r="F21" s="71"/>
      <c r="G21" s="71"/>
      <c r="H21" s="71"/>
      <c r="I21" s="88"/>
      <c r="J21" s="88"/>
      <c r="K21" s="88"/>
      <c r="L21" s="88"/>
      <c r="M21" s="88"/>
      <c r="N21" s="71"/>
      <c r="O21" s="71"/>
      <c r="P21" s="71"/>
    </row>
    <row r="22" spans="1:16" ht="15" customHeight="1">
      <c r="A22" s="142">
        <v>3252</v>
      </c>
      <c r="B22" s="93"/>
      <c r="C22" s="93"/>
      <c r="D22" s="71"/>
      <c r="E22" s="71"/>
      <c r="F22" s="71"/>
      <c r="G22" s="71"/>
      <c r="H22" s="71"/>
      <c r="I22" s="88"/>
      <c r="J22" s="88"/>
      <c r="K22" s="88"/>
      <c r="L22" s="88"/>
      <c r="M22" s="88"/>
      <c r="N22" s="71"/>
      <c r="O22" s="71"/>
      <c r="P22" s="71"/>
    </row>
    <row r="23" spans="1:16" ht="15" customHeight="1">
      <c r="A23" s="142">
        <v>3253</v>
      </c>
      <c r="B23" s="93"/>
      <c r="C23" s="93"/>
      <c r="D23" s="71"/>
      <c r="E23" s="71"/>
      <c r="F23" s="71"/>
      <c r="G23" s="71"/>
      <c r="H23" s="71"/>
      <c r="I23" s="88"/>
      <c r="J23" s="88"/>
      <c r="K23" s="88"/>
      <c r="L23" s="88"/>
      <c r="M23" s="88"/>
      <c r="N23" s="71"/>
      <c r="O23" s="71"/>
      <c r="P23" s="71"/>
    </row>
    <row r="24" spans="1:16" ht="15" customHeight="1">
      <c r="A24" s="137">
        <v>3254</v>
      </c>
      <c r="B24" s="93"/>
      <c r="C24" s="93"/>
      <c r="D24" s="71"/>
      <c r="E24" s="71"/>
      <c r="F24" s="71"/>
      <c r="G24" s="71"/>
      <c r="H24" s="71"/>
      <c r="I24" s="88"/>
      <c r="J24" s="88"/>
      <c r="K24" s="88"/>
      <c r="L24" s="88"/>
      <c r="M24" s="88"/>
      <c r="N24" s="71"/>
      <c r="O24" s="71"/>
      <c r="P24" s="71"/>
    </row>
    <row r="25" spans="1:16" ht="15" customHeight="1">
      <c r="A25" s="137">
        <v>3255</v>
      </c>
      <c r="B25" s="128"/>
      <c r="C25" s="128"/>
      <c r="D25" s="71"/>
      <c r="E25" s="71"/>
      <c r="F25" s="71"/>
      <c r="G25" s="71"/>
      <c r="H25" s="71"/>
      <c r="I25" s="88"/>
      <c r="J25" s="88"/>
      <c r="K25" s="88"/>
      <c r="L25" s="88"/>
      <c r="M25" s="88"/>
      <c r="N25" s="71"/>
      <c r="O25" s="138"/>
      <c r="P25" s="71"/>
    </row>
    <row r="26" spans="1:16" ht="15" customHeight="1">
      <c r="A26" s="137">
        <v>3256</v>
      </c>
      <c r="B26" s="128"/>
      <c r="C26" s="128"/>
      <c r="D26" s="71"/>
      <c r="E26" s="71"/>
      <c r="F26" s="71"/>
      <c r="G26" s="71"/>
      <c r="H26" s="71"/>
      <c r="I26" s="88"/>
      <c r="J26" s="88"/>
      <c r="K26" s="88"/>
      <c r="L26" s="88"/>
      <c r="M26" s="88"/>
      <c r="N26" s="71"/>
      <c r="O26" s="138"/>
      <c r="P26" s="71"/>
    </row>
    <row r="27" spans="1:16" ht="15" customHeight="1">
      <c r="A27" s="137">
        <v>3258</v>
      </c>
      <c r="B27" s="126">
        <v>45844</v>
      </c>
      <c r="C27" s="126"/>
      <c r="D27" s="71">
        <v>1</v>
      </c>
      <c r="E27" s="71">
        <v>5</v>
      </c>
      <c r="F27" s="71">
        <v>5</v>
      </c>
      <c r="G27" s="71">
        <v>0</v>
      </c>
      <c r="H27" s="71">
        <v>0</v>
      </c>
      <c r="I27" s="88"/>
      <c r="J27" s="88"/>
      <c r="K27" s="88"/>
      <c r="L27" s="88"/>
      <c r="M27" s="88" t="s">
        <v>16</v>
      </c>
      <c r="N27" s="71" t="s">
        <v>17</v>
      </c>
      <c r="O27" s="139">
        <v>45844</v>
      </c>
      <c r="P27" s="71"/>
    </row>
    <row r="28" spans="1:16" ht="15" customHeight="1">
      <c r="A28" s="137">
        <v>3259</v>
      </c>
      <c r="B28" s="93"/>
      <c r="C28" s="93"/>
      <c r="D28" s="71"/>
      <c r="E28" s="26"/>
      <c r="F28" s="26"/>
      <c r="G28" s="26"/>
      <c r="H28" s="26"/>
      <c r="I28" s="26"/>
      <c r="J28" s="26"/>
      <c r="K28" s="26"/>
      <c r="L28" s="26"/>
      <c r="M28" s="26"/>
      <c r="N28" s="138"/>
      <c r="O28" s="71"/>
      <c r="P28" s="26"/>
    </row>
    <row r="29" spans="1:16" ht="15" customHeight="1">
      <c r="A29" s="137">
        <v>3260</v>
      </c>
      <c r="B29" s="93"/>
      <c r="C29" s="65"/>
      <c r="D29" s="88"/>
      <c r="E29" s="24"/>
      <c r="F29" s="24"/>
      <c r="G29" s="24"/>
      <c r="H29" s="24"/>
      <c r="I29" s="25"/>
      <c r="J29" s="25"/>
      <c r="K29" s="25"/>
      <c r="L29" s="25"/>
      <c r="M29" s="25"/>
      <c r="N29" s="138"/>
      <c r="O29" s="71"/>
      <c r="P29" s="24"/>
    </row>
    <row r="30" spans="1:16" ht="15" customHeight="1">
      <c r="A30" s="137">
        <v>3261</v>
      </c>
      <c r="B30" s="127">
        <v>45847</v>
      </c>
      <c r="C30" s="127"/>
      <c r="D30" s="143">
        <v>2</v>
      </c>
      <c r="E30" s="40">
        <v>17</v>
      </c>
      <c r="F30" s="22">
        <v>17</v>
      </c>
      <c r="G30" s="22">
        <v>0</v>
      </c>
      <c r="H30" s="22">
        <v>0</v>
      </c>
      <c r="I30" s="23"/>
      <c r="J30" s="23"/>
      <c r="K30" s="23"/>
      <c r="L30" s="23"/>
      <c r="M30" s="23" t="s">
        <v>16</v>
      </c>
      <c r="N30" s="143" t="s">
        <v>17</v>
      </c>
      <c r="O30" s="141">
        <v>45847</v>
      </c>
      <c r="P30" s="22"/>
    </row>
    <row r="31" spans="1:16" ht="15" customHeight="1">
      <c r="A31" s="137">
        <v>3262</v>
      </c>
      <c r="B31" s="126">
        <v>45832</v>
      </c>
      <c r="C31" s="49"/>
      <c r="D31" s="12">
        <v>4</v>
      </c>
      <c r="E31" s="12">
        <v>160</v>
      </c>
      <c r="F31" s="12">
        <v>160</v>
      </c>
      <c r="G31" s="12">
        <v>0</v>
      </c>
      <c r="H31" s="12">
        <v>0</v>
      </c>
      <c r="I31" s="13"/>
      <c r="J31" s="13"/>
      <c r="K31" s="13"/>
      <c r="L31" s="13"/>
      <c r="M31" s="13" t="s">
        <v>16</v>
      </c>
      <c r="N31" s="71" t="s">
        <v>17</v>
      </c>
      <c r="O31" s="139">
        <v>45832</v>
      </c>
      <c r="P31" s="12"/>
    </row>
    <row r="32" spans="1:16" ht="15" customHeight="1">
      <c r="A32" s="137">
        <v>3263</v>
      </c>
      <c r="B32" s="126">
        <v>45846</v>
      </c>
      <c r="C32" s="126"/>
      <c r="D32" s="71">
        <v>1</v>
      </c>
      <c r="E32" s="71">
        <v>12</v>
      </c>
      <c r="F32" s="71">
        <v>12</v>
      </c>
      <c r="G32" s="71">
        <v>0</v>
      </c>
      <c r="H32" s="71">
        <v>0</v>
      </c>
      <c r="I32" s="88"/>
      <c r="J32" s="88"/>
      <c r="K32" s="88"/>
      <c r="L32" s="88"/>
      <c r="M32" s="88" t="s">
        <v>16</v>
      </c>
      <c r="N32" s="71" t="s">
        <v>17</v>
      </c>
      <c r="O32" s="139">
        <v>45846</v>
      </c>
      <c r="P32" s="71"/>
    </row>
    <row r="33" spans="1:16" ht="15" customHeight="1">
      <c r="A33" s="137">
        <v>3264</v>
      </c>
      <c r="B33" s="126">
        <v>45813</v>
      </c>
      <c r="C33" s="126"/>
      <c r="D33" s="71">
        <v>1</v>
      </c>
      <c r="E33" s="71">
        <v>26</v>
      </c>
      <c r="F33" s="71">
        <v>26</v>
      </c>
      <c r="G33" s="71">
        <v>0</v>
      </c>
      <c r="H33" s="71">
        <v>0</v>
      </c>
      <c r="I33" s="88"/>
      <c r="J33" s="88"/>
      <c r="K33" s="88"/>
      <c r="L33" s="88"/>
      <c r="M33" s="88" t="s">
        <v>16</v>
      </c>
      <c r="N33" s="71" t="s">
        <v>17</v>
      </c>
      <c r="O33" s="139">
        <v>45813</v>
      </c>
      <c r="P33" s="71"/>
    </row>
    <row r="34" spans="1:16" ht="15" customHeight="1">
      <c r="A34" s="137">
        <v>3265</v>
      </c>
      <c r="B34" s="126"/>
      <c r="C34" s="126"/>
      <c r="D34" s="71"/>
      <c r="E34" s="71"/>
      <c r="F34" s="71"/>
      <c r="G34" s="71"/>
      <c r="H34" s="71"/>
      <c r="I34" s="88"/>
      <c r="J34" s="88"/>
      <c r="K34" s="88"/>
      <c r="L34" s="88"/>
      <c r="M34" s="88"/>
      <c r="N34" s="71"/>
      <c r="O34" s="71"/>
      <c r="P34" s="71"/>
    </row>
    <row r="35" spans="1:16" ht="15" customHeight="1">
      <c r="A35" s="137">
        <v>3266</v>
      </c>
      <c r="B35" s="126">
        <v>45823</v>
      </c>
      <c r="C35" s="126"/>
      <c r="D35" s="71">
        <v>2</v>
      </c>
      <c r="E35" s="71">
        <v>22</v>
      </c>
      <c r="F35" s="71">
        <v>22</v>
      </c>
      <c r="G35" s="71">
        <v>0</v>
      </c>
      <c r="H35" s="71">
        <v>0</v>
      </c>
      <c r="I35" s="88"/>
      <c r="J35" s="88"/>
      <c r="K35" s="88"/>
      <c r="L35" s="88"/>
      <c r="M35" s="88" t="s">
        <v>16</v>
      </c>
      <c r="N35" s="71" t="s">
        <v>17</v>
      </c>
      <c r="O35" s="139">
        <v>45823</v>
      </c>
      <c r="P35" s="71"/>
    </row>
    <row r="36" spans="1:16" ht="15" customHeight="1">
      <c r="A36" s="142">
        <v>3267</v>
      </c>
      <c r="B36" s="93"/>
      <c r="C36" s="93"/>
      <c r="D36" s="71"/>
      <c r="E36" s="71"/>
      <c r="F36" s="71"/>
      <c r="G36" s="71"/>
      <c r="H36" s="71"/>
      <c r="I36" s="88"/>
      <c r="J36" s="88"/>
      <c r="K36" s="88"/>
      <c r="L36" s="88"/>
      <c r="M36" s="88"/>
      <c r="N36" s="71"/>
      <c r="O36" s="71"/>
      <c r="P36" s="71"/>
    </row>
    <row r="37" spans="1:16" ht="15" customHeight="1">
      <c r="A37" s="137">
        <v>3299</v>
      </c>
      <c r="B37" s="93"/>
      <c r="C37" s="93"/>
      <c r="D37" s="71"/>
      <c r="E37" s="71"/>
      <c r="F37" s="71"/>
      <c r="G37" s="71"/>
      <c r="H37" s="71"/>
      <c r="I37" s="88"/>
      <c r="J37" s="88"/>
      <c r="K37" s="88"/>
      <c r="L37" s="88"/>
      <c r="M37" s="88"/>
      <c r="N37" s="71"/>
      <c r="O37" s="71"/>
      <c r="P37" s="71"/>
    </row>
    <row r="38" spans="1:16" ht="15" customHeight="1">
      <c r="A38" s="137">
        <v>3531</v>
      </c>
      <c r="B38" s="134">
        <v>45857</v>
      </c>
      <c r="C38" s="134"/>
      <c r="D38" s="71">
        <v>3</v>
      </c>
      <c r="E38" s="24">
        <v>59</v>
      </c>
      <c r="F38" s="24">
        <v>59</v>
      </c>
      <c r="G38" s="24">
        <v>0</v>
      </c>
      <c r="H38" s="24">
        <v>0</v>
      </c>
      <c r="I38" s="25"/>
      <c r="J38" s="25"/>
      <c r="K38" s="25"/>
      <c r="L38" s="25"/>
      <c r="M38" s="25" t="s">
        <v>16</v>
      </c>
      <c r="N38" s="138" t="s">
        <v>17</v>
      </c>
      <c r="O38" s="141">
        <v>45857</v>
      </c>
      <c r="P38" s="24">
        <v>3531</v>
      </c>
    </row>
    <row r="39" spans="1:16" ht="15" customHeight="1">
      <c r="A39" s="137">
        <v>3532</v>
      </c>
      <c r="B39" s="128"/>
      <c r="C39" s="128"/>
      <c r="D39" s="71"/>
      <c r="E39" s="71"/>
      <c r="F39" s="71"/>
      <c r="G39" s="71"/>
      <c r="H39" s="71"/>
      <c r="I39" s="88"/>
      <c r="J39" s="88"/>
      <c r="K39" s="88"/>
      <c r="L39" s="88"/>
      <c r="M39" s="88"/>
      <c r="N39" s="71"/>
      <c r="O39" s="138"/>
      <c r="P39" s="71"/>
    </row>
    <row r="40" spans="1:16" ht="15" customHeight="1">
      <c r="A40" s="142">
        <v>3533</v>
      </c>
      <c r="B40" s="93"/>
      <c r="C40" s="93"/>
      <c r="D40" s="71"/>
      <c r="E40" s="71"/>
      <c r="F40" s="71"/>
      <c r="G40" s="71"/>
      <c r="H40" s="71"/>
      <c r="I40" s="88"/>
      <c r="J40" s="88"/>
      <c r="K40" s="88"/>
      <c r="L40" s="88"/>
      <c r="M40" s="88"/>
      <c r="N40" s="71"/>
      <c r="O40" s="71"/>
      <c r="P40" s="71"/>
    </row>
    <row r="41" spans="1:16" ht="15" customHeight="1">
      <c r="A41" s="137">
        <v>3534</v>
      </c>
      <c r="B41" s="93"/>
      <c r="C41" s="93"/>
      <c r="D41" s="71"/>
      <c r="E41" s="71"/>
      <c r="F41" s="71"/>
      <c r="G41" s="71"/>
      <c r="H41" s="71"/>
      <c r="I41" s="88"/>
      <c r="J41" s="88"/>
      <c r="K41" s="88"/>
      <c r="L41" s="88"/>
      <c r="M41" s="88"/>
      <c r="N41" s="71"/>
      <c r="O41" s="71"/>
      <c r="P41" s="71"/>
    </row>
    <row r="42" spans="1:16" ht="15" customHeight="1">
      <c r="A42" s="137">
        <v>3535</v>
      </c>
      <c r="B42" s="93"/>
      <c r="C42" s="93"/>
      <c r="D42" s="71"/>
      <c r="E42" s="24"/>
      <c r="F42" s="24"/>
      <c r="G42" s="24"/>
      <c r="H42" s="24"/>
      <c r="I42" s="25"/>
      <c r="J42" s="25"/>
      <c r="K42" s="25"/>
      <c r="L42" s="25"/>
      <c r="M42" s="25"/>
      <c r="N42" s="138"/>
      <c r="O42" s="71"/>
      <c r="P42" s="24"/>
    </row>
    <row r="43" spans="1:16" ht="15" customHeight="1">
      <c r="A43" s="137">
        <v>3536</v>
      </c>
      <c r="B43" s="93"/>
      <c r="C43" s="93"/>
      <c r="D43" s="71"/>
      <c r="E43" s="71"/>
      <c r="F43" s="71"/>
      <c r="G43" s="71"/>
      <c r="H43" s="71"/>
      <c r="I43" s="88"/>
      <c r="J43" s="88"/>
      <c r="K43" s="88"/>
      <c r="L43" s="88"/>
      <c r="M43" s="88"/>
      <c r="N43" s="71"/>
      <c r="O43" s="71"/>
      <c r="P43" s="71"/>
    </row>
    <row r="44" spans="1:16" ht="15" customHeight="1">
      <c r="A44" s="137">
        <v>3537</v>
      </c>
      <c r="B44" s="126">
        <v>45850</v>
      </c>
      <c r="C44" s="126"/>
      <c r="D44" s="71">
        <v>1</v>
      </c>
      <c r="E44" s="71">
        <v>9</v>
      </c>
      <c r="F44" s="71">
        <v>9</v>
      </c>
      <c r="G44" s="71">
        <v>0</v>
      </c>
      <c r="H44" s="71">
        <v>0</v>
      </c>
      <c r="I44" s="88"/>
      <c r="J44" s="88"/>
      <c r="K44" s="88"/>
      <c r="L44" s="88"/>
      <c r="M44" s="88" t="s">
        <v>16</v>
      </c>
      <c r="N44" s="71" t="s">
        <v>17</v>
      </c>
      <c r="O44" s="126">
        <v>45850</v>
      </c>
      <c r="P44" s="71"/>
    </row>
    <row r="45" spans="1:16" ht="15" customHeight="1">
      <c r="A45" s="137">
        <v>3538</v>
      </c>
      <c r="B45" s="126">
        <v>45847</v>
      </c>
      <c r="C45" s="126"/>
      <c r="D45" s="71">
        <v>1</v>
      </c>
      <c r="E45" s="71">
        <v>8</v>
      </c>
      <c r="F45" s="71">
        <v>8</v>
      </c>
      <c r="G45" s="71">
        <v>0</v>
      </c>
      <c r="H45" s="71">
        <v>0</v>
      </c>
      <c r="I45" s="88"/>
      <c r="J45" s="88"/>
      <c r="K45" s="88"/>
      <c r="L45" s="88"/>
      <c r="M45" s="88" t="s">
        <v>16</v>
      </c>
      <c r="N45" s="71" t="s">
        <v>17</v>
      </c>
      <c r="O45" s="126">
        <v>45847</v>
      </c>
      <c r="P45" s="71"/>
    </row>
    <row r="46" spans="1:16" ht="15" customHeight="1">
      <c r="A46" s="142">
        <v>3540</v>
      </c>
      <c r="B46" s="128"/>
      <c r="C46" s="110"/>
      <c r="D46" s="88"/>
      <c r="E46" s="24"/>
      <c r="F46" s="24"/>
      <c r="G46" s="24"/>
      <c r="H46" s="24"/>
      <c r="I46" s="25"/>
      <c r="J46" s="25"/>
      <c r="K46" s="25"/>
      <c r="L46" s="25"/>
      <c r="M46" s="25"/>
      <c r="N46" s="138"/>
      <c r="O46" s="138"/>
      <c r="P46" s="24"/>
    </row>
    <row r="47" spans="1:16" ht="15" customHeight="1">
      <c r="A47" s="137">
        <v>3541</v>
      </c>
      <c r="B47" s="127">
        <v>45848</v>
      </c>
      <c r="C47" s="144"/>
      <c r="D47" s="88">
        <v>3</v>
      </c>
      <c r="E47" s="24">
        <v>166</v>
      </c>
      <c r="F47" s="24">
        <v>166</v>
      </c>
      <c r="G47" s="24">
        <v>0</v>
      </c>
      <c r="H47" s="24">
        <v>0</v>
      </c>
      <c r="I47" s="25"/>
      <c r="J47" s="25"/>
      <c r="K47" s="25"/>
      <c r="L47" s="25"/>
      <c r="M47" s="25" t="s">
        <v>16</v>
      </c>
      <c r="N47" s="71" t="s">
        <v>17</v>
      </c>
      <c r="O47" s="141">
        <v>45848</v>
      </c>
      <c r="P47" s="24">
        <v>3541</v>
      </c>
    </row>
    <row r="48" spans="1:16" ht="15" customHeight="1">
      <c r="A48" s="137">
        <v>3542</v>
      </c>
      <c r="B48" s="126">
        <v>45828</v>
      </c>
      <c r="C48" s="126"/>
      <c r="D48" s="71">
        <v>3</v>
      </c>
      <c r="E48" s="71">
        <v>198</v>
      </c>
      <c r="F48" s="71">
        <v>198</v>
      </c>
      <c r="G48" s="71">
        <v>0</v>
      </c>
      <c r="H48" s="71">
        <v>0</v>
      </c>
      <c r="I48" s="88"/>
      <c r="J48" s="88"/>
      <c r="K48" s="88"/>
      <c r="L48" s="88"/>
      <c r="M48" s="88" t="s">
        <v>16</v>
      </c>
      <c r="N48" s="71" t="s">
        <v>17</v>
      </c>
      <c r="O48" s="139">
        <v>45828</v>
      </c>
      <c r="P48" s="71">
        <v>3542</v>
      </c>
    </row>
    <row r="49" spans="1:19" ht="15" customHeight="1">
      <c r="A49" s="137">
        <v>3543</v>
      </c>
      <c r="B49" s="145"/>
      <c r="C49" s="45"/>
      <c r="D49" s="71"/>
      <c r="E49" s="71"/>
      <c r="F49" s="71"/>
      <c r="G49" s="71"/>
      <c r="H49" s="71"/>
      <c r="I49" s="88"/>
      <c r="J49" s="88"/>
      <c r="K49" s="88"/>
      <c r="L49" s="88"/>
      <c r="M49" s="88"/>
      <c r="N49" s="71"/>
      <c r="O49" s="146"/>
      <c r="P49" s="71"/>
    </row>
    <row r="50" spans="1:19" ht="15" customHeight="1">
      <c r="A50" s="142">
        <v>3544</v>
      </c>
      <c r="B50" s="128"/>
      <c r="C50" s="128"/>
      <c r="D50" s="71"/>
      <c r="E50" s="71"/>
      <c r="F50" s="71"/>
      <c r="G50" s="71"/>
      <c r="H50" s="71"/>
      <c r="I50" s="88"/>
      <c r="J50" s="88"/>
      <c r="K50" s="88"/>
      <c r="L50" s="88"/>
      <c r="M50" s="88"/>
      <c r="N50" s="71"/>
      <c r="O50" s="71"/>
      <c r="P50" s="71"/>
    </row>
    <row r="51" spans="1:19" ht="15" customHeight="1">
      <c r="A51" s="137">
        <v>3545</v>
      </c>
      <c r="B51" s="128"/>
      <c r="C51" s="128"/>
      <c r="D51" s="71"/>
      <c r="E51" s="71"/>
      <c r="F51" s="71"/>
      <c r="G51" s="71"/>
      <c r="H51" s="71"/>
      <c r="I51" s="88"/>
      <c r="J51" s="88"/>
      <c r="K51" s="88"/>
      <c r="L51" s="88"/>
      <c r="M51" s="88"/>
      <c r="N51" s="71"/>
      <c r="O51" s="71"/>
      <c r="P51" s="71"/>
    </row>
    <row r="52" spans="1:19" ht="15" customHeight="1">
      <c r="A52" s="137">
        <v>3546</v>
      </c>
      <c r="B52" s="93"/>
      <c r="C52" s="93"/>
      <c r="D52" s="71"/>
      <c r="E52" s="24"/>
      <c r="F52" s="24"/>
      <c r="G52" s="24"/>
      <c r="H52" s="24"/>
      <c r="I52" s="25"/>
      <c r="J52" s="25"/>
      <c r="K52" s="25"/>
      <c r="L52" s="25"/>
      <c r="M52" s="25"/>
      <c r="N52" s="138"/>
      <c r="O52" s="138"/>
      <c r="P52" s="24"/>
    </row>
    <row r="53" spans="1:19" ht="15" customHeight="1">
      <c r="A53" s="137">
        <v>3547</v>
      </c>
      <c r="B53" s="126">
        <v>45838</v>
      </c>
      <c r="C53" s="126"/>
      <c r="D53" s="71">
        <v>1</v>
      </c>
      <c r="E53" s="71">
        <v>40</v>
      </c>
      <c r="F53" s="71">
        <v>40</v>
      </c>
      <c r="G53" s="71">
        <v>0</v>
      </c>
      <c r="H53" s="71">
        <v>2</v>
      </c>
      <c r="I53" s="140">
        <v>45850</v>
      </c>
      <c r="J53" s="88">
        <v>17</v>
      </c>
      <c r="K53" s="88"/>
      <c r="L53" s="88"/>
      <c r="M53" s="88" t="s">
        <v>16</v>
      </c>
      <c r="N53" s="71" t="s">
        <v>17</v>
      </c>
      <c r="O53" s="139">
        <v>45838</v>
      </c>
      <c r="P53" s="71">
        <v>3547</v>
      </c>
    </row>
    <row r="54" spans="1:19" ht="15" customHeight="1">
      <c r="A54" s="137">
        <v>3548</v>
      </c>
      <c r="B54" s="126">
        <v>45840</v>
      </c>
      <c r="C54" s="126"/>
      <c r="D54" s="71">
        <v>1</v>
      </c>
      <c r="E54" s="71">
        <v>24</v>
      </c>
      <c r="F54" s="71">
        <v>24</v>
      </c>
      <c r="G54" s="71">
        <v>0</v>
      </c>
      <c r="H54" s="71">
        <v>0</v>
      </c>
      <c r="I54" s="88"/>
      <c r="J54" s="88"/>
      <c r="K54" s="88"/>
      <c r="L54" s="88"/>
      <c r="M54" s="88" t="s">
        <v>16</v>
      </c>
      <c r="N54" s="71" t="s">
        <v>17</v>
      </c>
      <c r="O54" s="139">
        <v>45840</v>
      </c>
      <c r="P54" s="71"/>
    </row>
    <row r="55" spans="1:19" ht="15" customHeight="1">
      <c r="A55" s="137">
        <v>3549</v>
      </c>
      <c r="B55" s="126">
        <v>45838</v>
      </c>
      <c r="C55" s="126"/>
      <c r="D55" s="71">
        <v>2</v>
      </c>
      <c r="E55" s="71">
        <v>112</v>
      </c>
      <c r="F55" s="71">
        <v>60</v>
      </c>
      <c r="G55" s="71">
        <v>52</v>
      </c>
      <c r="H55" s="71">
        <v>1</v>
      </c>
      <c r="I55" s="140">
        <v>45839</v>
      </c>
      <c r="J55" s="88">
        <v>52</v>
      </c>
      <c r="K55" s="88"/>
      <c r="L55" s="88"/>
      <c r="M55" s="88" t="s">
        <v>16</v>
      </c>
      <c r="N55" s="71" t="s">
        <v>17</v>
      </c>
      <c r="O55" s="139">
        <v>45839</v>
      </c>
      <c r="P55" s="71">
        <v>3549</v>
      </c>
    </row>
    <row r="56" spans="1:19" ht="15" customHeight="1">
      <c r="A56" s="137">
        <v>3550</v>
      </c>
      <c r="B56" s="93"/>
      <c r="C56" s="93"/>
      <c r="D56" s="71"/>
      <c r="E56" s="71"/>
      <c r="F56" s="71"/>
      <c r="G56" s="71"/>
      <c r="H56" s="71"/>
      <c r="I56" s="88"/>
      <c r="J56" s="88"/>
      <c r="K56" s="88"/>
      <c r="L56" s="88"/>
      <c r="M56" s="88"/>
      <c r="N56" s="71"/>
      <c r="O56" s="71"/>
      <c r="P56" s="71"/>
    </row>
    <row r="57" spans="1:19" ht="15" customHeight="1">
      <c r="A57" s="142">
        <v>3551</v>
      </c>
      <c r="B57" s="93"/>
      <c r="C57" s="93"/>
      <c r="D57" s="71"/>
      <c r="E57" s="71"/>
      <c r="F57" s="71"/>
      <c r="G57" s="71"/>
      <c r="H57" s="71"/>
      <c r="I57" s="88"/>
      <c r="J57" s="88"/>
      <c r="K57" s="88"/>
      <c r="L57" s="88"/>
      <c r="M57" s="88"/>
      <c r="N57" s="71"/>
      <c r="O57" s="71"/>
      <c r="P57" s="71"/>
    </row>
    <row r="58" spans="1:19" ht="15" customHeight="1">
      <c r="A58" s="137">
        <v>3552</v>
      </c>
      <c r="B58" s="128"/>
      <c r="C58" s="128"/>
      <c r="D58" s="71"/>
      <c r="E58" s="71"/>
      <c r="F58" s="71"/>
      <c r="G58" s="71"/>
      <c r="H58" s="71"/>
      <c r="I58" s="88"/>
      <c r="J58" s="88"/>
      <c r="K58" s="88"/>
      <c r="L58" s="88"/>
      <c r="M58" s="88"/>
      <c r="N58" s="71"/>
      <c r="O58" s="71"/>
      <c r="P58" s="71"/>
    </row>
    <row r="59" spans="1:19" ht="15" customHeight="1">
      <c r="A59" s="137">
        <v>3553</v>
      </c>
      <c r="B59" s="127">
        <v>45842</v>
      </c>
      <c r="C59" s="127"/>
      <c r="D59" s="71">
        <v>1</v>
      </c>
      <c r="E59" s="71">
        <v>33</v>
      </c>
      <c r="F59" s="71">
        <v>33</v>
      </c>
      <c r="G59" s="71">
        <v>0</v>
      </c>
      <c r="H59" s="71">
        <v>0</v>
      </c>
      <c r="I59" s="88"/>
      <c r="J59" s="88"/>
      <c r="K59" s="88"/>
      <c r="L59" s="88"/>
      <c r="M59" s="88" t="s">
        <v>16</v>
      </c>
      <c r="N59" s="71" t="s">
        <v>17</v>
      </c>
      <c r="O59" s="139">
        <v>45842</v>
      </c>
      <c r="P59" s="71">
        <v>3553</v>
      </c>
    </row>
    <row r="60" spans="1:19" ht="15" customHeight="1">
      <c r="A60" s="142">
        <v>3554</v>
      </c>
      <c r="B60" s="93"/>
      <c r="C60" s="65"/>
      <c r="D60" s="88"/>
      <c r="E60" s="24"/>
      <c r="F60" s="24"/>
      <c r="G60" s="24"/>
      <c r="H60" s="24"/>
      <c r="I60" s="25"/>
      <c r="J60" s="25"/>
      <c r="K60" s="25"/>
      <c r="L60" s="25"/>
      <c r="M60" s="25"/>
      <c r="N60" s="138"/>
      <c r="O60" s="138"/>
      <c r="P60" s="24"/>
    </row>
    <row r="61" spans="1:19" ht="15" customHeight="1">
      <c r="A61" s="137">
        <v>3555</v>
      </c>
      <c r="B61" s="128"/>
      <c r="C61" s="128"/>
      <c r="D61" s="71"/>
      <c r="E61" s="26"/>
      <c r="F61" s="26"/>
      <c r="G61" s="26"/>
      <c r="H61" s="26"/>
      <c r="I61" s="26"/>
      <c r="J61" s="26"/>
      <c r="K61" s="26"/>
      <c r="L61" s="26"/>
      <c r="M61" s="26"/>
      <c r="N61" s="138"/>
      <c r="O61" s="138"/>
      <c r="P61" s="26"/>
      <c r="S61" s="1" t="s">
        <v>24</v>
      </c>
    </row>
    <row r="62" spans="1:19" ht="15" customHeight="1">
      <c r="A62" s="137">
        <v>3556</v>
      </c>
      <c r="B62" s="93"/>
      <c r="C62" s="93"/>
      <c r="D62" s="71"/>
      <c r="E62" s="71"/>
      <c r="F62" s="71"/>
      <c r="G62" s="71"/>
      <c r="H62" s="71"/>
      <c r="I62" s="88"/>
      <c r="J62" s="88"/>
      <c r="K62" s="88"/>
      <c r="L62" s="88"/>
      <c r="M62" s="88"/>
      <c r="N62" s="71"/>
      <c r="O62" s="71"/>
      <c r="P62" s="71"/>
    </row>
    <row r="63" spans="1:19" ht="15" customHeight="1">
      <c r="A63" s="137">
        <v>3557</v>
      </c>
      <c r="B63" s="147">
        <v>45832</v>
      </c>
      <c r="C63" s="46"/>
      <c r="D63" s="71">
        <v>3</v>
      </c>
      <c r="E63" s="24">
        <v>112</v>
      </c>
      <c r="F63" s="24">
        <v>112</v>
      </c>
      <c r="G63" s="24">
        <v>0</v>
      </c>
      <c r="H63" s="24">
        <v>0</v>
      </c>
      <c r="I63" s="25"/>
      <c r="J63" s="25"/>
      <c r="K63" s="25"/>
      <c r="L63" s="25"/>
      <c r="M63" s="25" t="s">
        <v>16</v>
      </c>
      <c r="N63" s="71" t="s">
        <v>17</v>
      </c>
      <c r="O63" s="148">
        <v>45832</v>
      </c>
      <c r="P63" s="24">
        <v>3557</v>
      </c>
    </row>
    <row r="64" spans="1:19" ht="15" customHeight="1">
      <c r="A64" s="137">
        <v>3558</v>
      </c>
      <c r="B64" s="127">
        <v>45846</v>
      </c>
      <c r="C64" s="127"/>
      <c r="D64" s="71">
        <v>3</v>
      </c>
      <c r="E64" s="71">
        <v>65</v>
      </c>
      <c r="F64" s="71">
        <v>65</v>
      </c>
      <c r="G64" s="71">
        <v>0</v>
      </c>
      <c r="H64" s="71">
        <v>0</v>
      </c>
      <c r="I64" s="88"/>
      <c r="J64" s="88"/>
      <c r="K64" s="88"/>
      <c r="L64" s="88"/>
      <c r="M64" s="88" t="s">
        <v>16</v>
      </c>
      <c r="N64" s="71" t="s">
        <v>17</v>
      </c>
      <c r="O64" s="139">
        <v>45846</v>
      </c>
      <c r="P64" s="71"/>
    </row>
    <row r="65" spans="1:16" ht="15" customHeight="1">
      <c r="A65" s="137">
        <v>3559</v>
      </c>
      <c r="B65" s="126">
        <v>45834</v>
      </c>
      <c r="C65" s="126"/>
      <c r="D65" s="71">
        <v>3</v>
      </c>
      <c r="E65" s="71">
        <v>13</v>
      </c>
      <c r="F65" s="71">
        <v>13</v>
      </c>
      <c r="G65" s="71">
        <v>0</v>
      </c>
      <c r="H65" s="71">
        <v>0</v>
      </c>
      <c r="I65" s="88"/>
      <c r="J65" s="88"/>
      <c r="K65" s="88"/>
      <c r="L65" s="88"/>
      <c r="M65" s="88" t="s">
        <v>16</v>
      </c>
      <c r="N65" s="71" t="s">
        <v>17</v>
      </c>
      <c r="O65" s="139">
        <v>45834</v>
      </c>
      <c r="P65" s="71">
        <v>3559</v>
      </c>
    </row>
    <row r="66" spans="1:16" ht="15" customHeight="1">
      <c r="A66" s="137">
        <v>3560</v>
      </c>
      <c r="B66" s="126">
        <v>45849</v>
      </c>
      <c r="C66" s="126"/>
      <c r="D66" s="71">
        <v>3</v>
      </c>
      <c r="E66" s="71">
        <v>149</v>
      </c>
      <c r="F66" s="71">
        <v>63</v>
      </c>
      <c r="G66" s="71">
        <v>86</v>
      </c>
      <c r="H66" s="71">
        <v>2</v>
      </c>
      <c r="I66" s="140">
        <v>45851</v>
      </c>
      <c r="J66" s="88">
        <v>74</v>
      </c>
      <c r="K66" s="149">
        <v>45852</v>
      </c>
      <c r="L66" s="88">
        <v>18</v>
      </c>
      <c r="M66" s="88" t="s">
        <v>16</v>
      </c>
      <c r="N66" s="71" t="s">
        <v>17</v>
      </c>
      <c r="O66" s="141">
        <v>45852</v>
      </c>
      <c r="P66" s="71">
        <v>3560</v>
      </c>
    </row>
    <row r="67" spans="1:16" ht="15" customHeight="1">
      <c r="A67" s="137">
        <v>3561</v>
      </c>
      <c r="B67" s="126">
        <v>45833</v>
      </c>
      <c r="C67" s="126"/>
      <c r="D67" s="71">
        <v>3</v>
      </c>
      <c r="E67" s="71">
        <v>94</v>
      </c>
      <c r="F67" s="71">
        <v>94</v>
      </c>
      <c r="G67" s="71">
        <v>28</v>
      </c>
      <c r="H67" s="71">
        <v>1</v>
      </c>
      <c r="I67" s="140">
        <v>45842</v>
      </c>
      <c r="J67" s="88">
        <v>28</v>
      </c>
      <c r="K67" s="88"/>
      <c r="L67" s="88"/>
      <c r="M67" s="88" t="s">
        <v>16</v>
      </c>
      <c r="N67" s="71" t="s">
        <v>17</v>
      </c>
      <c r="O67" s="139">
        <v>45842</v>
      </c>
      <c r="P67" s="71">
        <v>3561</v>
      </c>
    </row>
    <row r="68" spans="1:16" ht="18.75">
      <c r="A68" s="137">
        <v>3562</v>
      </c>
      <c r="B68" s="126">
        <v>45851</v>
      </c>
      <c r="C68" s="126"/>
      <c r="D68" s="71">
        <v>2</v>
      </c>
      <c r="E68" s="71">
        <v>77</v>
      </c>
      <c r="F68" s="71">
        <v>77</v>
      </c>
      <c r="G68" s="71">
        <v>0</v>
      </c>
      <c r="H68" s="71">
        <v>0</v>
      </c>
      <c r="I68" s="88"/>
      <c r="J68" s="88"/>
      <c r="K68" s="88"/>
      <c r="L68" s="88"/>
      <c r="M68" s="88" t="s">
        <v>16</v>
      </c>
      <c r="N68" s="71" t="s">
        <v>17</v>
      </c>
      <c r="O68" s="139">
        <v>45851</v>
      </c>
      <c r="P68" s="71">
        <v>3562</v>
      </c>
    </row>
    <row r="69" spans="1:16" ht="18.75">
      <c r="A69" s="137">
        <v>3563</v>
      </c>
      <c r="B69" s="93"/>
      <c r="C69" s="93"/>
      <c r="D69" s="71"/>
      <c r="E69" s="24"/>
      <c r="F69" s="24"/>
      <c r="G69" s="24"/>
      <c r="H69" s="24"/>
      <c r="I69" s="25"/>
      <c r="J69" s="25"/>
      <c r="K69" s="25"/>
      <c r="L69" s="25"/>
      <c r="M69" s="25"/>
      <c r="N69" s="138"/>
      <c r="O69" s="71"/>
      <c r="P69" s="24"/>
    </row>
    <row r="70" spans="1:16" ht="18">
      <c r="A70" s="137">
        <v>3564</v>
      </c>
      <c r="B70" s="126">
        <v>45831</v>
      </c>
      <c r="C70" s="126"/>
      <c r="D70" s="71">
        <v>1</v>
      </c>
      <c r="E70" s="24">
        <v>22</v>
      </c>
      <c r="F70" s="24">
        <v>22</v>
      </c>
      <c r="G70" s="24">
        <v>0</v>
      </c>
      <c r="H70" s="24">
        <v>0</v>
      </c>
      <c r="I70" s="25"/>
      <c r="J70" s="25"/>
      <c r="K70" s="25"/>
      <c r="L70" s="25"/>
      <c r="M70" s="88" t="s">
        <v>16</v>
      </c>
      <c r="N70" s="138" t="s">
        <v>32</v>
      </c>
      <c r="O70" s="139">
        <v>45831</v>
      </c>
      <c r="P70" s="24">
        <v>3564</v>
      </c>
    </row>
    <row r="71" spans="1:16" ht="18">
      <c r="A71" s="137">
        <v>3565</v>
      </c>
      <c r="B71" s="127">
        <v>45846</v>
      </c>
      <c r="C71" s="127"/>
      <c r="D71" s="71">
        <v>2</v>
      </c>
      <c r="E71" s="71">
        <v>47</v>
      </c>
      <c r="F71" s="71">
        <v>47</v>
      </c>
      <c r="G71" s="71">
        <v>0</v>
      </c>
      <c r="H71" s="71">
        <v>0</v>
      </c>
      <c r="I71" s="140"/>
      <c r="J71" s="88"/>
      <c r="K71" s="88"/>
      <c r="L71" s="88"/>
      <c r="M71" s="88" t="s">
        <v>16</v>
      </c>
      <c r="N71" s="71" t="s">
        <v>32</v>
      </c>
      <c r="O71" s="139">
        <v>45846</v>
      </c>
      <c r="P71" s="71"/>
    </row>
    <row r="72" spans="1:16" ht="18.75">
      <c r="A72" s="137">
        <v>3566</v>
      </c>
      <c r="B72" s="126">
        <v>45832</v>
      </c>
      <c r="C72" s="126"/>
      <c r="D72" s="71">
        <v>1</v>
      </c>
      <c r="E72" s="71">
        <v>17</v>
      </c>
      <c r="F72" s="71">
        <v>17</v>
      </c>
      <c r="G72" s="71">
        <v>0</v>
      </c>
      <c r="H72" s="71">
        <v>0</v>
      </c>
      <c r="I72" s="88"/>
      <c r="J72" s="88"/>
      <c r="K72" s="88"/>
      <c r="L72" s="88"/>
      <c r="M72" s="88" t="s">
        <v>16</v>
      </c>
      <c r="N72" s="71" t="s">
        <v>32</v>
      </c>
      <c r="O72" s="139">
        <v>45832</v>
      </c>
      <c r="P72" s="71"/>
    </row>
    <row r="73" spans="1:16" ht="18">
      <c r="A73" s="150">
        <v>3567</v>
      </c>
      <c r="B73" s="151">
        <v>45831</v>
      </c>
      <c r="C73" s="151"/>
      <c r="D73" s="152">
        <v>1</v>
      </c>
      <c r="E73" s="152">
        <v>29</v>
      </c>
      <c r="F73" s="152">
        <v>29</v>
      </c>
      <c r="G73" s="152">
        <v>0</v>
      </c>
      <c r="H73" s="152">
        <v>0</v>
      </c>
      <c r="I73" s="153"/>
      <c r="J73" s="153"/>
      <c r="K73" s="153"/>
      <c r="L73" s="153"/>
      <c r="M73" s="153" t="s">
        <v>16</v>
      </c>
      <c r="N73" s="152" t="s">
        <v>32</v>
      </c>
      <c r="O73" s="154">
        <v>45831</v>
      </c>
      <c r="P73" s="152">
        <v>3567</v>
      </c>
    </row>
    <row r="87" spans="16:16">
      <c r="P87" s="66"/>
    </row>
    <row r="88" spans="16:16">
      <c r="P88" s="66"/>
    </row>
    <row r="89" spans="16:16">
      <c r="P89" s="66"/>
    </row>
    <row r="90" spans="16:16">
      <c r="P90" s="66"/>
    </row>
    <row r="91" spans="16:16">
      <c r="P91" s="66"/>
    </row>
    <row r="92" spans="16:16">
      <c r="P92" s="66"/>
    </row>
    <row r="93" spans="16:16">
      <c r="P93" s="66"/>
    </row>
    <row r="94" spans="16:16">
      <c r="P94" s="66"/>
    </row>
    <row r="95" spans="16:16">
      <c r="P95" s="66"/>
    </row>
    <row r="96" spans="16:16">
      <c r="P96" s="67"/>
    </row>
    <row r="97" spans="16:16">
      <c r="P97" s="66"/>
    </row>
    <row r="98" spans="16:16">
      <c r="P98" s="66"/>
    </row>
    <row r="99" spans="16:16">
      <c r="P99" s="66"/>
    </row>
    <row r="100" spans="16:16">
      <c r="P100" s="66"/>
    </row>
    <row r="101" spans="16:16">
      <c r="P101" s="66"/>
    </row>
    <row r="102" spans="16:16">
      <c r="P102" s="66"/>
    </row>
    <row r="103" spans="16:16">
      <c r="P103" s="66"/>
    </row>
    <row r="104" spans="16:16">
      <c r="P104" s="66"/>
    </row>
    <row r="105" spans="16:16">
      <c r="P105" s="66"/>
    </row>
    <row r="106" spans="16:16">
      <c r="P106" s="66"/>
    </row>
    <row r="107" spans="16:16">
      <c r="P107" s="66"/>
    </row>
    <row r="108" spans="16:16">
      <c r="P108" s="66"/>
    </row>
    <row r="109" spans="16:16">
      <c r="P109" s="66"/>
    </row>
    <row r="110" spans="16:16">
      <c r="P110" s="66"/>
    </row>
    <row r="111" spans="16:16">
      <c r="P111" s="66"/>
    </row>
    <row r="112" spans="16:16">
      <c r="P112" s="66"/>
    </row>
    <row r="113" spans="16:16">
      <c r="P113" s="66"/>
    </row>
    <row r="114" spans="16:16">
      <c r="P114" s="66"/>
    </row>
    <row r="115" spans="16:16">
      <c r="P115" s="66"/>
    </row>
    <row r="116" spans="16:16">
      <c r="P116" s="66"/>
    </row>
    <row r="117" spans="16:16">
      <c r="P117" s="66"/>
    </row>
    <row r="118" spans="16:16">
      <c r="P118" s="66"/>
    </row>
    <row r="119" spans="16:16">
      <c r="P119" s="66"/>
    </row>
    <row r="120" spans="16:16">
      <c r="P120" s="66"/>
    </row>
    <row r="121" spans="16:16">
      <c r="P121" s="66"/>
    </row>
    <row r="122" spans="16:16">
      <c r="P122" s="66"/>
    </row>
    <row r="123" spans="16:16">
      <c r="P123" s="66"/>
    </row>
    <row r="124" spans="16:16">
      <c r="P124" s="66"/>
    </row>
    <row r="125" spans="16:16">
      <c r="P125" s="66"/>
    </row>
    <row r="126" spans="16:16">
      <c r="P126" s="66"/>
    </row>
    <row r="127" spans="16:16">
      <c r="P127" s="66"/>
    </row>
    <row r="128" spans="16:16">
      <c r="P128" s="66"/>
    </row>
    <row r="129" spans="16:16">
      <c r="P129" s="66"/>
    </row>
    <row r="130" spans="16:16">
      <c r="P130" s="66"/>
    </row>
    <row r="131" spans="16:16">
      <c r="P131" s="66"/>
    </row>
    <row r="132" spans="16:16">
      <c r="P132" s="66"/>
    </row>
    <row r="133" spans="16:16">
      <c r="P133" s="66"/>
    </row>
    <row r="134" spans="16:16">
      <c r="P134" s="66"/>
    </row>
    <row r="135" spans="16:16">
      <c r="P135" s="66"/>
    </row>
    <row r="136" spans="16:16">
      <c r="P136" s="66"/>
    </row>
    <row r="137" spans="16:16">
      <c r="P137" s="66"/>
    </row>
    <row r="138" spans="16:16">
      <c r="P138" s="66"/>
    </row>
    <row r="139" spans="16:16">
      <c r="P139" s="66"/>
    </row>
    <row r="140" spans="16:16">
      <c r="P140" s="66"/>
    </row>
    <row r="141" spans="16:16">
      <c r="P141" s="66"/>
    </row>
    <row r="142" spans="16:16">
      <c r="P142" s="66"/>
    </row>
    <row r="143" spans="16:16">
      <c r="P143" s="66"/>
    </row>
    <row r="144" spans="16:16">
      <c r="P144" s="66"/>
    </row>
    <row r="145" spans="16:16">
      <c r="P145" s="66"/>
    </row>
    <row r="146" spans="16:16">
      <c r="P146" s="66"/>
    </row>
    <row r="147" spans="16:16">
      <c r="P147" s="66"/>
    </row>
    <row r="148" spans="16:16">
      <c r="P148" s="66"/>
    </row>
    <row r="149" spans="16:16">
      <c r="P149" s="66"/>
    </row>
    <row r="150" spans="16:16">
      <c r="P150" s="66"/>
    </row>
    <row r="151" spans="16:16">
      <c r="P151" s="66"/>
    </row>
    <row r="152" spans="16:16">
      <c r="P152" s="66"/>
    </row>
    <row r="153" spans="16:16">
      <c r="P153" s="66"/>
    </row>
    <row r="154" spans="16:16">
      <c r="P154" s="66"/>
    </row>
    <row r="155" spans="16:16">
      <c r="P155" s="66"/>
    </row>
    <row r="156" spans="16:16">
      <c r="P156" s="66"/>
    </row>
    <row r="157" spans="16:16">
      <c r="P157" s="66"/>
    </row>
    <row r="158" spans="16:16">
      <c r="P158" s="66"/>
    </row>
    <row r="159" spans="16:16">
      <c r="P159" s="66"/>
    </row>
    <row r="160" spans="16:16">
      <c r="P160" s="66"/>
    </row>
    <row r="161" spans="16:16">
      <c r="P161" s="66"/>
    </row>
    <row r="162" spans="16:16">
      <c r="P162" s="66"/>
    </row>
    <row r="163" spans="16:16">
      <c r="P163" s="66"/>
    </row>
    <row r="164" spans="16:16">
      <c r="P164" s="66"/>
    </row>
    <row r="165" spans="16:16">
      <c r="P165" s="66"/>
    </row>
    <row r="166" spans="16:16">
      <c r="P166" s="66"/>
    </row>
    <row r="167" spans="16:16">
      <c r="P167" s="66"/>
    </row>
    <row r="168" spans="16:16">
      <c r="P168" s="66"/>
    </row>
    <row r="169" spans="16:16">
      <c r="P169" s="66"/>
    </row>
    <row r="170" spans="16:16">
      <c r="P170" s="66"/>
    </row>
    <row r="171" spans="16:16">
      <c r="P171" s="66"/>
    </row>
    <row r="172" spans="16:16">
      <c r="P172" s="66"/>
    </row>
    <row r="173" spans="16:16">
      <c r="P173" s="66"/>
    </row>
    <row r="174" spans="16:16">
      <c r="P174" s="66"/>
    </row>
    <row r="175" spans="16:16">
      <c r="P175" s="66"/>
    </row>
    <row r="176" spans="16:16">
      <c r="P176" s="66"/>
    </row>
    <row r="177" spans="16:16">
      <c r="P177" s="66"/>
    </row>
    <row r="178" spans="16:16">
      <c r="P178" s="66"/>
    </row>
    <row r="179" spans="16:16">
      <c r="P179" s="67"/>
    </row>
    <row r="180" spans="16:16">
      <c r="P180" s="66"/>
    </row>
    <row r="181" spans="16:16">
      <c r="P181" s="66"/>
    </row>
    <row r="182" spans="16:16">
      <c r="P182" s="66"/>
    </row>
    <row r="183" spans="16:16">
      <c r="P183" s="66"/>
    </row>
    <row r="184" spans="16:16">
      <c r="P184" s="66"/>
    </row>
    <row r="185" spans="16:16">
      <c r="P185" s="66"/>
    </row>
    <row r="186" spans="16:16">
      <c r="P186" s="66"/>
    </row>
    <row r="187" spans="16:16">
      <c r="P187" s="66"/>
    </row>
    <row r="188" spans="16:16">
      <c r="P188" s="66"/>
    </row>
    <row r="189" spans="16:16">
      <c r="P189" s="66"/>
    </row>
    <row r="190" spans="16:16">
      <c r="P190" s="66"/>
    </row>
    <row r="191" spans="16:16">
      <c r="P191" s="66"/>
    </row>
    <row r="192" spans="16:16">
      <c r="P192" s="66"/>
    </row>
    <row r="193" spans="16:16">
      <c r="P193" s="66"/>
    </row>
    <row r="194" spans="16:16">
      <c r="P194" s="66"/>
    </row>
    <row r="195" spans="16:16">
      <c r="P195" s="66"/>
    </row>
    <row r="196" spans="16:16">
      <c r="P196" s="66"/>
    </row>
    <row r="197" spans="16:16">
      <c r="P197" s="66"/>
    </row>
    <row r="198" spans="16:16">
      <c r="P198" s="66"/>
    </row>
    <row r="199" spans="16:16">
      <c r="P199" s="66"/>
    </row>
    <row r="200" spans="16:16">
      <c r="P200" s="66"/>
    </row>
    <row r="201" spans="16:16">
      <c r="P201" s="66"/>
    </row>
    <row r="202" spans="16:16">
      <c r="P202" s="66"/>
    </row>
    <row r="203" spans="16:16">
      <c r="P203" s="66"/>
    </row>
    <row r="204" spans="16:16">
      <c r="P204" s="66"/>
    </row>
    <row r="205" spans="16:16">
      <c r="P205" s="66"/>
    </row>
    <row r="206" spans="16:16">
      <c r="P206" s="66"/>
    </row>
    <row r="207" spans="16:16">
      <c r="P207" s="66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pane ySplit="1" topLeftCell="A2" activePane="bottomLeft" state="frozen"/>
      <selection pane="bottomLeft" activeCell="G18" sqref="G18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58" t="s">
        <v>1</v>
      </c>
      <c r="C1" s="58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60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68" t="s">
        <v>13</v>
      </c>
      <c r="O1" s="155" t="s">
        <v>14</v>
      </c>
      <c r="P1" s="156" t="s">
        <v>15</v>
      </c>
    </row>
    <row r="2" spans="1:21" ht="15" customHeight="1">
      <c r="A2" s="99">
        <v>3231</v>
      </c>
      <c r="B2" s="27"/>
      <c r="C2" s="27"/>
      <c r="D2" s="64"/>
      <c r="E2" s="64"/>
      <c r="F2" s="64"/>
      <c r="G2" s="64"/>
      <c r="H2" s="64"/>
      <c r="I2" s="157"/>
      <c r="J2" s="157"/>
      <c r="K2" s="157"/>
      <c r="L2" s="157"/>
      <c r="M2" s="157"/>
      <c r="N2" s="64"/>
      <c r="O2" s="93"/>
      <c r="P2" s="64"/>
      <c r="R2" s="94" t="s">
        <v>18</v>
      </c>
      <c r="S2" s="95"/>
      <c r="T2" s="95"/>
      <c r="U2" s="96"/>
    </row>
    <row r="3" spans="1:21" ht="15" customHeight="1">
      <c r="A3" s="99">
        <v>3232</v>
      </c>
      <c r="B3" s="27"/>
      <c r="C3" s="27"/>
      <c r="D3" s="64"/>
      <c r="E3" s="64"/>
      <c r="F3" s="64"/>
      <c r="G3" s="64"/>
      <c r="H3" s="64"/>
      <c r="I3" s="157"/>
      <c r="J3" s="157"/>
      <c r="K3" s="157"/>
      <c r="L3" s="157"/>
      <c r="M3" s="157"/>
      <c r="N3" s="64"/>
      <c r="O3" s="93"/>
      <c r="P3" s="64"/>
      <c r="R3" s="75" t="s">
        <v>19</v>
      </c>
      <c r="S3" s="76" t="s">
        <v>20</v>
      </c>
      <c r="T3" s="77" t="s">
        <v>31</v>
      </c>
      <c r="U3" s="78" t="s">
        <v>22</v>
      </c>
    </row>
    <row r="4" spans="1:21" ht="15" customHeight="1">
      <c r="A4" s="104">
        <v>3233</v>
      </c>
      <c r="B4" s="29"/>
      <c r="C4" s="29" t="s">
        <v>34</v>
      </c>
      <c r="D4" s="64"/>
      <c r="E4" s="64"/>
      <c r="F4" s="64"/>
      <c r="G4" s="64"/>
      <c r="H4" s="64"/>
      <c r="I4" s="157"/>
      <c r="J4" s="157"/>
      <c r="K4" s="157"/>
      <c r="L4" s="157"/>
      <c r="M4" s="157"/>
      <c r="N4" s="64"/>
      <c r="O4" s="128"/>
      <c r="P4" s="64"/>
      <c r="R4" s="80">
        <v>36</v>
      </c>
      <c r="S4" s="81">
        <f>COUNTA(A:A)-1</f>
        <v>72</v>
      </c>
      <c r="T4" s="81">
        <f>COUNTA(O:O)-1</f>
        <v>10</v>
      </c>
      <c r="U4" s="106">
        <f>T4/S4</f>
        <v>0.1388888888888889</v>
      </c>
    </row>
    <row r="5" spans="1:21" ht="15" customHeight="1">
      <c r="A5" s="99">
        <v>3234</v>
      </c>
      <c r="B5" s="27"/>
      <c r="C5" s="27"/>
      <c r="D5" s="64"/>
      <c r="E5" s="64"/>
      <c r="F5" s="64"/>
      <c r="G5" s="64"/>
      <c r="H5" s="64"/>
      <c r="I5" s="157"/>
      <c r="J5" s="157"/>
      <c r="K5" s="157"/>
      <c r="L5" s="157"/>
      <c r="M5" s="157"/>
      <c r="N5" s="64"/>
      <c r="O5" s="93"/>
      <c r="P5" s="64"/>
    </row>
    <row r="6" spans="1:21" ht="15" customHeight="1">
      <c r="A6" s="99">
        <v>3235</v>
      </c>
      <c r="B6" s="27"/>
      <c r="C6" s="27"/>
      <c r="D6" s="64"/>
      <c r="E6" s="64"/>
      <c r="F6" s="64"/>
      <c r="G6" s="64"/>
      <c r="H6" s="64"/>
      <c r="I6" s="157"/>
      <c r="J6" s="157"/>
      <c r="K6" s="157"/>
      <c r="L6" s="157"/>
      <c r="M6" s="157"/>
      <c r="N6" s="64"/>
      <c r="O6" s="93"/>
      <c r="P6" s="64"/>
    </row>
    <row r="7" spans="1:21" ht="15" customHeight="1">
      <c r="A7" s="99">
        <v>3236</v>
      </c>
      <c r="B7" s="27"/>
      <c r="C7" s="27"/>
      <c r="D7" s="64"/>
      <c r="E7" s="30"/>
      <c r="F7" s="30"/>
      <c r="G7" s="30"/>
      <c r="H7" s="30"/>
      <c r="I7" s="35"/>
      <c r="J7" s="35"/>
      <c r="K7" s="35"/>
      <c r="L7" s="35"/>
      <c r="M7" s="35"/>
      <c r="N7" s="158"/>
      <c r="O7" s="93"/>
      <c r="P7" s="30"/>
    </row>
    <row r="8" spans="1:21" ht="15" customHeight="1">
      <c r="A8" s="99">
        <v>3237</v>
      </c>
      <c r="B8" s="27"/>
      <c r="C8" s="27"/>
      <c r="D8" s="64"/>
      <c r="E8" s="64"/>
      <c r="F8" s="64"/>
      <c r="G8" s="64"/>
      <c r="H8" s="64"/>
      <c r="I8" s="157"/>
      <c r="J8" s="157"/>
      <c r="K8" s="157"/>
      <c r="L8" s="157"/>
      <c r="M8" s="157"/>
      <c r="N8" s="64"/>
      <c r="O8" s="93"/>
      <c r="P8" s="64"/>
    </row>
    <row r="9" spans="1:21" ht="15" customHeight="1">
      <c r="A9" s="99">
        <v>3238</v>
      </c>
      <c r="B9" s="42">
        <v>45853</v>
      </c>
      <c r="C9" s="42"/>
      <c r="D9" s="64">
        <v>2</v>
      </c>
      <c r="E9" s="64">
        <v>23</v>
      </c>
      <c r="F9" s="64">
        <v>23</v>
      </c>
      <c r="G9" s="64">
        <v>0</v>
      </c>
      <c r="H9" s="64">
        <v>0</v>
      </c>
      <c r="I9" s="157"/>
      <c r="J9" s="157"/>
      <c r="K9" s="157"/>
      <c r="L9" s="157"/>
      <c r="M9" s="157" t="s">
        <v>16</v>
      </c>
      <c r="N9" s="64" t="s">
        <v>35</v>
      </c>
      <c r="O9" s="126">
        <v>45853</v>
      </c>
      <c r="P9" s="64"/>
    </row>
    <row r="10" spans="1:21" ht="15" customHeight="1">
      <c r="A10" s="99">
        <v>3239</v>
      </c>
      <c r="B10" s="27"/>
      <c r="C10" s="27"/>
      <c r="D10" s="64"/>
      <c r="E10" s="64"/>
      <c r="F10" s="64"/>
      <c r="G10" s="64"/>
      <c r="H10" s="64"/>
      <c r="I10" s="157"/>
      <c r="J10" s="157"/>
      <c r="K10" s="157"/>
      <c r="L10" s="157"/>
      <c r="M10" s="157"/>
      <c r="N10" s="64"/>
      <c r="O10" s="93"/>
      <c r="P10" s="64"/>
    </row>
    <row r="11" spans="1:21" ht="15" customHeight="1">
      <c r="A11" s="99">
        <v>3240</v>
      </c>
      <c r="B11" s="27"/>
      <c r="C11" s="27"/>
      <c r="D11" s="64"/>
      <c r="E11" s="64"/>
      <c r="F11" s="64"/>
      <c r="G11" s="64"/>
      <c r="H11" s="64"/>
      <c r="I11" s="157"/>
      <c r="J11" s="157"/>
      <c r="K11" s="157"/>
      <c r="L11" s="157"/>
      <c r="M11" s="157"/>
      <c r="N11" s="64"/>
      <c r="O11" s="93"/>
      <c r="P11" s="64"/>
    </row>
    <row r="12" spans="1:21" ht="15" customHeight="1">
      <c r="A12" s="99">
        <v>3241</v>
      </c>
      <c r="B12" s="29"/>
      <c r="C12" s="29"/>
      <c r="D12" s="64"/>
      <c r="E12" s="64"/>
      <c r="F12" s="64"/>
      <c r="G12" s="64"/>
      <c r="H12" s="64"/>
      <c r="I12" s="157"/>
      <c r="J12" s="157"/>
      <c r="K12" s="157"/>
      <c r="L12" s="157"/>
      <c r="M12" s="157"/>
      <c r="N12" s="64"/>
      <c r="O12" s="128"/>
      <c r="P12" s="64"/>
    </row>
    <row r="13" spans="1:21" ht="15" customHeight="1">
      <c r="A13" s="99">
        <v>3242</v>
      </c>
      <c r="B13" s="29"/>
      <c r="C13" s="29"/>
      <c r="D13" s="64"/>
      <c r="E13" s="64"/>
      <c r="F13" s="64"/>
      <c r="G13" s="64"/>
      <c r="H13" s="64"/>
      <c r="I13" s="157"/>
      <c r="J13" s="157"/>
      <c r="K13" s="157"/>
      <c r="L13" s="157"/>
      <c r="M13" s="157"/>
      <c r="N13" s="64"/>
      <c r="O13" s="128"/>
      <c r="P13" s="64"/>
    </row>
    <row r="14" spans="1:21" ht="15" customHeight="1">
      <c r="A14" s="99">
        <v>3243</v>
      </c>
      <c r="B14" s="43">
        <v>45856</v>
      </c>
      <c r="C14" s="43"/>
      <c r="D14" s="64">
        <v>3</v>
      </c>
      <c r="E14" s="64">
        <v>20</v>
      </c>
      <c r="F14" s="64">
        <v>20</v>
      </c>
      <c r="G14" s="64">
        <v>0</v>
      </c>
      <c r="H14" s="64">
        <v>0</v>
      </c>
      <c r="I14" s="157"/>
      <c r="J14" s="157"/>
      <c r="K14" s="157"/>
      <c r="L14" s="157"/>
      <c r="M14" s="157" t="s">
        <v>16</v>
      </c>
      <c r="N14" s="64" t="s">
        <v>17</v>
      </c>
      <c r="O14" s="126">
        <v>45856</v>
      </c>
      <c r="P14" s="64">
        <v>3243</v>
      </c>
    </row>
    <row r="15" spans="1:21" ht="15" customHeight="1">
      <c r="A15" s="99">
        <v>3244</v>
      </c>
      <c r="B15" s="27"/>
      <c r="C15" s="27"/>
      <c r="D15" s="64"/>
      <c r="E15" s="64"/>
      <c r="F15" s="64"/>
      <c r="G15" s="64"/>
      <c r="H15" s="64"/>
      <c r="I15" s="157"/>
      <c r="J15" s="157"/>
      <c r="K15" s="157"/>
      <c r="L15" s="157"/>
      <c r="M15" s="157"/>
      <c r="N15" s="64"/>
      <c r="O15" s="93"/>
      <c r="P15" s="64"/>
    </row>
    <row r="16" spans="1:21" ht="15" customHeight="1">
      <c r="A16" s="104">
        <v>3245</v>
      </c>
      <c r="B16" s="27"/>
      <c r="C16" s="29"/>
      <c r="D16" s="64"/>
      <c r="E16" s="64"/>
      <c r="F16" s="64"/>
      <c r="G16" s="64"/>
      <c r="H16" s="64"/>
      <c r="I16" s="157"/>
      <c r="J16" s="157"/>
      <c r="K16" s="157"/>
      <c r="L16" s="157"/>
      <c r="M16" s="157"/>
      <c r="N16" s="64"/>
      <c r="O16" s="93"/>
      <c r="P16" s="64"/>
    </row>
    <row r="17" spans="1:16" ht="15" customHeight="1">
      <c r="A17" s="99">
        <v>3246</v>
      </c>
      <c r="B17" s="29"/>
      <c r="C17" s="29"/>
      <c r="D17" s="64"/>
      <c r="E17" s="30"/>
      <c r="F17" s="30"/>
      <c r="G17" s="30"/>
      <c r="H17" s="30"/>
      <c r="I17" s="35"/>
      <c r="J17" s="35"/>
      <c r="K17" s="35"/>
      <c r="L17" s="35"/>
      <c r="M17" s="35"/>
      <c r="N17" s="158"/>
      <c r="O17" s="128"/>
      <c r="P17" s="30"/>
    </row>
    <row r="18" spans="1:16" ht="15" customHeight="1">
      <c r="A18" s="104">
        <v>3247</v>
      </c>
      <c r="B18" s="27"/>
      <c r="C18" s="29"/>
      <c r="D18" s="64"/>
      <c r="E18" s="31"/>
      <c r="F18" s="31"/>
      <c r="G18" s="31"/>
      <c r="H18" s="31"/>
      <c r="I18" s="31"/>
      <c r="J18" s="31"/>
      <c r="K18" s="31"/>
      <c r="L18" s="31"/>
      <c r="M18" s="31"/>
      <c r="N18" s="158"/>
      <c r="O18" s="93"/>
      <c r="P18" s="31"/>
    </row>
    <row r="19" spans="1:16" ht="15" customHeight="1">
      <c r="A19" s="99">
        <v>3248</v>
      </c>
      <c r="B19" s="27"/>
      <c r="C19" s="27"/>
      <c r="D19" s="64"/>
      <c r="E19" s="64"/>
      <c r="F19" s="64"/>
      <c r="G19" s="64"/>
      <c r="H19" s="64"/>
      <c r="I19" s="157"/>
      <c r="J19" s="157"/>
      <c r="K19" s="157"/>
      <c r="L19" s="157"/>
      <c r="M19" s="157"/>
      <c r="N19" s="64"/>
      <c r="O19" s="93"/>
      <c r="P19" s="64"/>
    </row>
    <row r="20" spans="1:16" ht="15" customHeight="1">
      <c r="A20" s="99">
        <v>3250</v>
      </c>
      <c r="B20" s="27"/>
      <c r="C20" s="27"/>
      <c r="D20" s="64"/>
      <c r="E20" s="64"/>
      <c r="F20" s="64"/>
      <c r="G20" s="64"/>
      <c r="H20" s="64"/>
      <c r="I20" s="157"/>
      <c r="J20" s="157"/>
      <c r="K20" s="157"/>
      <c r="L20" s="157"/>
      <c r="M20" s="157"/>
      <c r="N20" s="64"/>
      <c r="O20" s="93"/>
      <c r="P20" s="64"/>
    </row>
    <row r="21" spans="1:16" ht="15" customHeight="1">
      <c r="A21" s="99">
        <v>3251</v>
      </c>
      <c r="B21" s="27"/>
      <c r="C21" s="27"/>
      <c r="D21" s="64"/>
      <c r="E21" s="64"/>
      <c r="F21" s="64"/>
      <c r="G21" s="64"/>
      <c r="H21" s="64"/>
      <c r="I21" s="157"/>
      <c r="J21" s="157"/>
      <c r="K21" s="157"/>
      <c r="L21" s="157"/>
      <c r="M21" s="157"/>
      <c r="N21" s="64"/>
      <c r="O21" s="93"/>
      <c r="P21" s="64"/>
    </row>
    <row r="22" spans="1:16" ht="15" customHeight="1">
      <c r="A22" s="104">
        <v>3252</v>
      </c>
      <c r="B22" s="27"/>
      <c r="C22" s="29"/>
      <c r="D22" s="64"/>
      <c r="E22" s="64"/>
      <c r="F22" s="64"/>
      <c r="G22" s="64"/>
      <c r="H22" s="64"/>
      <c r="I22" s="157"/>
      <c r="J22" s="157"/>
      <c r="K22" s="157"/>
      <c r="L22" s="157"/>
      <c r="M22" s="157"/>
      <c r="N22" s="64"/>
      <c r="O22" s="93"/>
      <c r="P22" s="64"/>
    </row>
    <row r="23" spans="1:16" ht="15" customHeight="1">
      <c r="A23" s="104">
        <v>3253</v>
      </c>
      <c r="B23" s="27"/>
      <c r="C23" s="29"/>
      <c r="D23" s="64"/>
      <c r="E23" s="64"/>
      <c r="F23" s="64"/>
      <c r="G23" s="64"/>
      <c r="H23" s="64"/>
      <c r="I23" s="157"/>
      <c r="J23" s="157"/>
      <c r="K23" s="157"/>
      <c r="L23" s="157"/>
      <c r="M23" s="157"/>
      <c r="N23" s="64"/>
      <c r="O23" s="93"/>
      <c r="P23" s="64"/>
    </row>
    <row r="24" spans="1:16" ht="15" customHeight="1">
      <c r="A24" s="99">
        <v>3254</v>
      </c>
      <c r="B24" s="27"/>
      <c r="C24" s="27"/>
      <c r="D24" s="64"/>
      <c r="E24" s="64"/>
      <c r="F24" s="64"/>
      <c r="G24" s="64"/>
      <c r="H24" s="64"/>
      <c r="I24" s="157"/>
      <c r="J24" s="157"/>
      <c r="K24" s="157"/>
      <c r="L24" s="157"/>
      <c r="M24" s="157"/>
      <c r="N24" s="64"/>
      <c r="O24" s="93"/>
      <c r="P24" s="64"/>
    </row>
    <row r="25" spans="1:16" ht="15" customHeight="1">
      <c r="A25" s="99">
        <v>3255</v>
      </c>
      <c r="B25" s="29"/>
      <c r="C25" s="29"/>
      <c r="D25" s="64"/>
      <c r="E25" s="64"/>
      <c r="F25" s="64"/>
      <c r="G25" s="64"/>
      <c r="H25" s="64"/>
      <c r="I25" s="157"/>
      <c r="J25" s="157"/>
      <c r="K25" s="157"/>
      <c r="L25" s="157"/>
      <c r="M25" s="157"/>
      <c r="N25" s="64"/>
      <c r="O25" s="128"/>
      <c r="P25" s="64"/>
    </row>
    <row r="26" spans="1:16" ht="15" customHeight="1">
      <c r="A26" s="99">
        <v>3256</v>
      </c>
      <c r="B26" s="29"/>
      <c r="C26" s="29"/>
      <c r="D26" s="64"/>
      <c r="E26" s="64"/>
      <c r="F26" s="64"/>
      <c r="G26" s="64"/>
      <c r="H26" s="64"/>
      <c r="I26" s="157"/>
      <c r="J26" s="157"/>
      <c r="K26" s="157"/>
      <c r="L26" s="157"/>
      <c r="M26" s="157"/>
      <c r="N26" s="64"/>
      <c r="O26" s="128"/>
      <c r="P26" s="64"/>
    </row>
    <row r="27" spans="1:16" ht="15" customHeight="1">
      <c r="A27" s="99">
        <v>3258</v>
      </c>
      <c r="B27" s="43">
        <v>45858</v>
      </c>
      <c r="C27" s="43"/>
      <c r="D27" s="64">
        <v>1</v>
      </c>
      <c r="E27" s="64">
        <v>12</v>
      </c>
      <c r="F27" s="64">
        <v>12</v>
      </c>
      <c r="G27" s="64">
        <v>0</v>
      </c>
      <c r="H27" s="64">
        <v>0</v>
      </c>
      <c r="I27" s="157"/>
      <c r="J27" s="157"/>
      <c r="K27" s="157"/>
      <c r="L27" s="157"/>
      <c r="M27" s="157" t="s">
        <v>16</v>
      </c>
      <c r="N27" s="64" t="s">
        <v>17</v>
      </c>
      <c r="O27" s="93"/>
      <c r="P27" s="64"/>
    </row>
    <row r="28" spans="1:16" ht="15" customHeight="1">
      <c r="A28" s="99">
        <v>3259</v>
      </c>
      <c r="B28" s="27"/>
      <c r="C28" s="27"/>
      <c r="D28" s="64"/>
      <c r="E28" s="31"/>
      <c r="F28" s="31"/>
      <c r="G28" s="31"/>
      <c r="H28" s="31"/>
      <c r="I28" s="31"/>
      <c r="J28" s="31"/>
      <c r="K28" s="31"/>
      <c r="L28" s="31"/>
      <c r="M28" s="31"/>
      <c r="N28" s="158"/>
      <c r="O28" s="93"/>
      <c r="P28" s="31"/>
    </row>
    <row r="29" spans="1:16" ht="15" customHeight="1">
      <c r="A29" s="104">
        <v>3260</v>
      </c>
      <c r="B29" s="27"/>
      <c r="C29" s="159"/>
      <c r="D29" s="157"/>
      <c r="E29" s="30"/>
      <c r="F29" s="30"/>
      <c r="G29" s="30"/>
      <c r="H29" s="30"/>
      <c r="I29" s="35"/>
      <c r="J29" s="35"/>
      <c r="K29" s="35"/>
      <c r="L29" s="35"/>
      <c r="M29" s="35"/>
      <c r="N29" s="158"/>
      <c r="O29" s="93"/>
      <c r="P29" s="30"/>
    </row>
    <row r="30" spans="1:16" ht="15" customHeight="1">
      <c r="A30" s="99">
        <v>3261</v>
      </c>
      <c r="B30" s="29"/>
      <c r="C30" s="14"/>
      <c r="D30" s="36"/>
      <c r="E30" s="32"/>
      <c r="F30" s="32"/>
      <c r="G30" s="32"/>
      <c r="H30" s="32"/>
      <c r="I30" s="37"/>
      <c r="J30" s="37"/>
      <c r="K30" s="37"/>
      <c r="L30" s="37"/>
      <c r="M30" s="37"/>
      <c r="N30" s="160"/>
      <c r="O30" s="128"/>
      <c r="P30" s="32"/>
    </row>
    <row r="31" spans="1:16" ht="15" customHeight="1">
      <c r="A31" s="99">
        <v>3262</v>
      </c>
      <c r="B31" s="43">
        <v>45857</v>
      </c>
      <c r="C31" s="44"/>
      <c r="D31" s="33">
        <v>3</v>
      </c>
      <c r="E31" s="33">
        <v>14</v>
      </c>
      <c r="F31" s="33">
        <v>9</v>
      </c>
      <c r="G31" s="33">
        <v>5</v>
      </c>
      <c r="H31" s="33">
        <v>1</v>
      </c>
      <c r="I31" s="38"/>
      <c r="J31" s="38"/>
      <c r="K31" s="38"/>
      <c r="L31" s="38"/>
      <c r="M31" s="38" t="s">
        <v>16</v>
      </c>
      <c r="N31" s="93" t="s">
        <v>17</v>
      </c>
      <c r="O31" s="93"/>
      <c r="P31" s="33"/>
    </row>
    <row r="32" spans="1:16" ht="15" customHeight="1">
      <c r="A32" s="99">
        <v>3263</v>
      </c>
      <c r="B32" s="27"/>
      <c r="C32" s="27"/>
      <c r="D32" s="64"/>
      <c r="E32" s="64"/>
      <c r="F32" s="64"/>
      <c r="G32" s="64"/>
      <c r="H32" s="64"/>
      <c r="I32" s="157"/>
      <c r="J32" s="157"/>
      <c r="K32" s="157"/>
      <c r="L32" s="157"/>
      <c r="M32" s="157"/>
      <c r="N32" s="64"/>
      <c r="O32" s="93"/>
      <c r="P32" s="64"/>
    </row>
    <row r="33" spans="1:16" ht="15" customHeight="1">
      <c r="A33" s="99">
        <v>3264</v>
      </c>
      <c r="B33" s="27"/>
      <c r="C33" s="27"/>
      <c r="D33" s="64"/>
      <c r="E33" s="64"/>
      <c r="F33" s="64"/>
      <c r="G33" s="64"/>
      <c r="H33" s="64"/>
      <c r="I33" s="157"/>
      <c r="J33" s="157"/>
      <c r="K33" s="157"/>
      <c r="L33" s="157"/>
      <c r="M33" s="157"/>
      <c r="N33" s="64"/>
      <c r="O33" s="93"/>
      <c r="P33" s="64"/>
    </row>
    <row r="34" spans="1:16" ht="15" customHeight="1">
      <c r="A34" s="99">
        <v>3265</v>
      </c>
      <c r="B34" s="27"/>
      <c r="C34" s="27"/>
      <c r="D34" s="64"/>
      <c r="E34" s="64"/>
      <c r="F34" s="64"/>
      <c r="G34" s="64"/>
      <c r="H34" s="64"/>
      <c r="I34" s="157"/>
      <c r="J34" s="157"/>
      <c r="K34" s="157"/>
      <c r="L34" s="157"/>
      <c r="M34" s="157"/>
      <c r="N34" s="64"/>
      <c r="O34" s="93"/>
      <c r="P34" s="64"/>
    </row>
    <row r="35" spans="1:16" ht="15" customHeight="1">
      <c r="A35" s="99">
        <v>3266</v>
      </c>
      <c r="B35" s="27"/>
      <c r="C35" s="27"/>
      <c r="D35" s="64"/>
      <c r="E35" s="64"/>
      <c r="F35" s="64"/>
      <c r="G35" s="64"/>
      <c r="H35" s="64"/>
      <c r="I35" s="157"/>
      <c r="J35" s="157"/>
      <c r="K35" s="157"/>
      <c r="L35" s="157"/>
      <c r="M35" s="157"/>
      <c r="N35" s="64"/>
      <c r="O35" s="93"/>
      <c r="P35" s="64"/>
    </row>
    <row r="36" spans="1:16" ht="15" customHeight="1">
      <c r="A36" s="104">
        <v>3267</v>
      </c>
      <c r="B36" s="27"/>
      <c r="C36" s="29"/>
      <c r="D36" s="64"/>
      <c r="E36" s="64"/>
      <c r="F36" s="64"/>
      <c r="G36" s="64"/>
      <c r="H36" s="64"/>
      <c r="I36" s="157"/>
      <c r="J36" s="157"/>
      <c r="K36" s="157"/>
      <c r="L36" s="157"/>
      <c r="M36" s="157"/>
      <c r="N36" s="64"/>
      <c r="O36" s="93"/>
      <c r="P36" s="64"/>
    </row>
    <row r="37" spans="1:16" ht="15" customHeight="1">
      <c r="A37" s="99">
        <v>3299</v>
      </c>
      <c r="B37" s="27"/>
      <c r="C37" s="27"/>
      <c r="D37" s="64"/>
      <c r="E37" s="64"/>
      <c r="F37" s="64"/>
      <c r="G37" s="64"/>
      <c r="H37" s="64"/>
      <c r="I37" s="157"/>
      <c r="J37" s="157"/>
      <c r="K37" s="157"/>
      <c r="L37" s="157"/>
      <c r="M37" s="157"/>
      <c r="N37" s="64"/>
      <c r="O37" s="93"/>
      <c r="P37" s="64"/>
    </row>
    <row r="38" spans="1:16" ht="15" customHeight="1">
      <c r="A38" s="99">
        <v>3531</v>
      </c>
      <c r="B38" s="29"/>
      <c r="C38" s="29"/>
      <c r="D38" s="64"/>
      <c r="E38" s="30"/>
      <c r="F38" s="30"/>
      <c r="G38" s="30"/>
      <c r="H38" s="30"/>
      <c r="I38" s="35"/>
      <c r="J38" s="35"/>
      <c r="K38" s="35"/>
      <c r="L38" s="35"/>
      <c r="M38" s="35"/>
      <c r="N38" s="158"/>
      <c r="O38" s="128"/>
      <c r="P38" s="30"/>
    </row>
    <row r="39" spans="1:16" ht="15" customHeight="1">
      <c r="A39" s="104">
        <v>3532</v>
      </c>
      <c r="B39" s="29"/>
      <c r="C39" s="29"/>
      <c r="D39" s="64"/>
      <c r="E39" s="64"/>
      <c r="F39" s="64"/>
      <c r="G39" s="64"/>
      <c r="H39" s="64"/>
      <c r="I39" s="157"/>
      <c r="J39" s="157"/>
      <c r="K39" s="157"/>
      <c r="L39" s="157"/>
      <c r="M39" s="157"/>
      <c r="N39" s="64"/>
      <c r="O39" s="128"/>
      <c r="P39" s="64"/>
    </row>
    <row r="40" spans="1:16" ht="15" customHeight="1">
      <c r="A40" s="104">
        <v>3533</v>
      </c>
      <c r="B40" s="27"/>
      <c r="C40" s="29"/>
      <c r="D40" s="64"/>
      <c r="E40" s="64"/>
      <c r="F40" s="64"/>
      <c r="G40" s="64"/>
      <c r="H40" s="64"/>
      <c r="I40" s="157"/>
      <c r="J40" s="157"/>
      <c r="K40" s="157"/>
      <c r="L40" s="157"/>
      <c r="M40" s="157"/>
      <c r="N40" s="64"/>
      <c r="O40" s="93"/>
      <c r="P40" s="64"/>
    </row>
    <row r="41" spans="1:16" ht="15" customHeight="1">
      <c r="A41" s="104">
        <v>3534</v>
      </c>
      <c r="B41" s="27"/>
      <c r="C41" s="29"/>
      <c r="D41" s="64"/>
      <c r="E41" s="64"/>
      <c r="F41" s="64"/>
      <c r="G41" s="64"/>
      <c r="H41" s="64"/>
      <c r="I41" s="157"/>
      <c r="J41" s="157"/>
      <c r="K41" s="157"/>
      <c r="L41" s="157"/>
      <c r="M41" s="157"/>
      <c r="N41" s="64"/>
      <c r="O41" s="93"/>
      <c r="P41" s="64"/>
    </row>
    <row r="42" spans="1:16" ht="15" customHeight="1">
      <c r="A42" s="99">
        <v>3535</v>
      </c>
      <c r="B42" s="27"/>
      <c r="C42" s="27"/>
      <c r="D42" s="64"/>
      <c r="E42" s="30"/>
      <c r="F42" s="30"/>
      <c r="G42" s="30"/>
      <c r="H42" s="30"/>
      <c r="I42" s="35"/>
      <c r="J42" s="35"/>
      <c r="K42" s="35"/>
      <c r="L42" s="35"/>
      <c r="M42" s="35"/>
      <c r="N42" s="158"/>
      <c r="O42" s="93"/>
      <c r="P42" s="30"/>
    </row>
    <row r="43" spans="1:16" ht="15" customHeight="1">
      <c r="A43" s="99">
        <v>3536</v>
      </c>
      <c r="B43" s="27"/>
      <c r="C43" s="27"/>
      <c r="D43" s="64"/>
      <c r="E43" s="64"/>
      <c r="F43" s="64"/>
      <c r="G43" s="64"/>
      <c r="H43" s="64"/>
      <c r="I43" s="157"/>
      <c r="J43" s="157"/>
      <c r="K43" s="157"/>
      <c r="L43" s="157"/>
      <c r="M43" s="157"/>
      <c r="N43" s="64"/>
      <c r="O43" s="93"/>
      <c r="P43" s="64"/>
    </row>
    <row r="44" spans="1:16" ht="15" customHeight="1">
      <c r="A44" s="99">
        <v>3537</v>
      </c>
      <c r="B44" s="43">
        <v>45858</v>
      </c>
      <c r="C44" s="43"/>
      <c r="D44" s="64">
        <v>1</v>
      </c>
      <c r="E44" s="64">
        <v>9</v>
      </c>
      <c r="F44" s="64">
        <v>9</v>
      </c>
      <c r="G44" s="64">
        <v>0</v>
      </c>
      <c r="H44" s="64">
        <v>0</v>
      </c>
      <c r="I44" s="157"/>
      <c r="J44" s="157"/>
      <c r="K44" s="157"/>
      <c r="L44" s="157"/>
      <c r="M44" s="157" t="s">
        <v>16</v>
      </c>
      <c r="N44" s="64" t="s">
        <v>17</v>
      </c>
      <c r="O44" s="93"/>
      <c r="P44" s="64"/>
    </row>
    <row r="45" spans="1:16" ht="15" customHeight="1">
      <c r="A45" s="99">
        <v>3538</v>
      </c>
      <c r="B45" s="27"/>
      <c r="C45" s="27"/>
      <c r="D45" s="64"/>
      <c r="E45" s="64"/>
      <c r="F45" s="64"/>
      <c r="G45" s="64"/>
      <c r="H45" s="64"/>
      <c r="I45" s="157"/>
      <c r="J45" s="157"/>
      <c r="K45" s="157"/>
      <c r="L45" s="157"/>
      <c r="M45" s="157"/>
      <c r="N45" s="64"/>
      <c r="O45" s="93"/>
      <c r="P45" s="64"/>
    </row>
    <row r="46" spans="1:16" ht="15" customHeight="1">
      <c r="A46" s="104">
        <v>3540</v>
      </c>
      <c r="B46" s="29"/>
      <c r="C46" s="29"/>
      <c r="D46" s="157"/>
      <c r="E46" s="30"/>
      <c r="F46" s="30"/>
      <c r="G46" s="30"/>
      <c r="H46" s="30"/>
      <c r="I46" s="35"/>
      <c r="J46" s="35"/>
      <c r="K46" s="35"/>
      <c r="L46" s="35"/>
      <c r="M46" s="35"/>
      <c r="N46" s="158"/>
      <c r="O46" s="128"/>
      <c r="P46" s="30"/>
    </row>
    <row r="47" spans="1:16" ht="15" customHeight="1">
      <c r="A47" s="99">
        <v>3541</v>
      </c>
      <c r="B47" s="29"/>
      <c r="C47" s="161"/>
      <c r="D47" s="157"/>
      <c r="E47" s="30"/>
      <c r="F47" s="30"/>
      <c r="G47" s="30"/>
      <c r="H47" s="30"/>
      <c r="I47" s="35"/>
      <c r="J47" s="35"/>
      <c r="K47" s="35"/>
      <c r="L47" s="35"/>
      <c r="M47" s="35"/>
      <c r="N47" s="158"/>
      <c r="O47" s="128"/>
      <c r="P47" s="30"/>
    </row>
    <row r="48" spans="1:16" ht="15" customHeight="1">
      <c r="A48" s="99">
        <v>3542</v>
      </c>
      <c r="B48" s="28">
        <v>45834</v>
      </c>
      <c r="C48" s="28"/>
      <c r="D48" s="93">
        <v>3</v>
      </c>
      <c r="E48" s="93">
        <v>193</v>
      </c>
      <c r="F48" s="93">
        <v>193</v>
      </c>
      <c r="G48" s="93">
        <v>0</v>
      </c>
      <c r="H48" s="93">
        <v>0</v>
      </c>
      <c r="I48" s="157"/>
      <c r="J48" s="157"/>
      <c r="K48" s="157"/>
      <c r="L48" s="157"/>
      <c r="M48" s="65" t="s">
        <v>16</v>
      </c>
      <c r="N48" s="93" t="s">
        <v>17</v>
      </c>
      <c r="O48" s="126">
        <v>45834</v>
      </c>
      <c r="P48" s="64"/>
    </row>
    <row r="49" spans="1:16" ht="15" customHeight="1">
      <c r="A49" s="104">
        <v>3543</v>
      </c>
      <c r="B49" s="162"/>
      <c r="C49" s="45"/>
      <c r="D49" s="93"/>
      <c r="E49" s="93"/>
      <c r="F49" s="93"/>
      <c r="G49" s="93"/>
      <c r="H49" s="93"/>
      <c r="I49" s="65"/>
      <c r="J49" s="65"/>
      <c r="K49" s="65"/>
      <c r="L49" s="65"/>
      <c r="M49" s="65"/>
      <c r="N49" s="93"/>
      <c r="O49" s="145"/>
      <c r="P49" s="93"/>
    </row>
    <row r="50" spans="1:16" ht="15" customHeight="1">
      <c r="A50" s="104">
        <v>3544</v>
      </c>
      <c r="B50" s="29"/>
      <c r="C50" s="29"/>
      <c r="D50" s="64"/>
      <c r="E50" s="64"/>
      <c r="F50" s="64"/>
      <c r="G50" s="64"/>
      <c r="H50" s="64"/>
      <c r="I50" s="157"/>
      <c r="J50" s="157"/>
      <c r="K50" s="157"/>
      <c r="L50" s="157"/>
      <c r="M50" s="157"/>
      <c r="N50" s="64"/>
      <c r="O50" s="93"/>
      <c r="P50" s="64"/>
    </row>
    <row r="51" spans="1:16" ht="15" customHeight="1">
      <c r="A51" s="99">
        <v>3545</v>
      </c>
      <c r="B51" s="29"/>
      <c r="C51" s="29"/>
      <c r="D51" s="64"/>
      <c r="E51" s="64"/>
      <c r="F51" s="64"/>
      <c r="G51" s="64"/>
      <c r="H51" s="64"/>
      <c r="I51" s="157"/>
      <c r="J51" s="157"/>
      <c r="K51" s="157"/>
      <c r="L51" s="157"/>
      <c r="M51" s="157"/>
      <c r="N51" s="64"/>
      <c r="O51" s="93"/>
      <c r="P51" s="64"/>
    </row>
    <row r="52" spans="1:16" ht="15" customHeight="1">
      <c r="A52" s="99">
        <v>3546</v>
      </c>
      <c r="B52" s="27"/>
      <c r="C52" s="27"/>
      <c r="D52" s="64"/>
      <c r="E52" s="30"/>
      <c r="F52" s="30"/>
      <c r="G52" s="30"/>
      <c r="H52" s="30"/>
      <c r="I52" s="35"/>
      <c r="J52" s="35"/>
      <c r="K52" s="35"/>
      <c r="L52" s="35"/>
      <c r="M52" s="35"/>
      <c r="N52" s="158"/>
      <c r="O52" s="128"/>
      <c r="P52" s="30"/>
    </row>
    <row r="53" spans="1:16" ht="15" customHeight="1">
      <c r="A53" s="99">
        <v>3547</v>
      </c>
      <c r="B53" s="27"/>
      <c r="C53" s="27"/>
      <c r="D53" s="64"/>
      <c r="E53" s="64"/>
      <c r="F53" s="64"/>
      <c r="G53" s="64"/>
      <c r="H53" s="64"/>
      <c r="I53" s="157"/>
      <c r="J53" s="157"/>
      <c r="K53" s="157"/>
      <c r="L53" s="157"/>
      <c r="M53" s="157"/>
      <c r="N53" s="64"/>
      <c r="O53" s="93"/>
      <c r="P53" s="64"/>
    </row>
    <row r="54" spans="1:16" ht="15" customHeight="1">
      <c r="A54" s="99">
        <v>3548</v>
      </c>
      <c r="B54" s="27"/>
      <c r="C54" s="27"/>
      <c r="D54" s="64"/>
      <c r="E54" s="64"/>
      <c r="F54" s="64"/>
      <c r="G54" s="64"/>
      <c r="H54" s="64"/>
      <c r="I54" s="157"/>
      <c r="J54" s="157"/>
      <c r="K54" s="157"/>
      <c r="L54" s="157"/>
      <c r="M54" s="157"/>
      <c r="N54" s="64"/>
      <c r="O54" s="93"/>
      <c r="P54" s="64"/>
    </row>
    <row r="55" spans="1:16" ht="15" customHeight="1">
      <c r="A55" s="99">
        <v>3549</v>
      </c>
      <c r="B55" s="43">
        <v>45858</v>
      </c>
      <c r="C55" s="43"/>
      <c r="D55" s="64">
        <v>2</v>
      </c>
      <c r="E55" s="64">
        <v>97</v>
      </c>
      <c r="F55" s="64">
        <v>97</v>
      </c>
      <c r="G55" s="64">
        <v>0</v>
      </c>
      <c r="H55" s="64">
        <v>0</v>
      </c>
      <c r="I55" s="157"/>
      <c r="J55" s="157"/>
      <c r="K55" s="157"/>
      <c r="L55" s="157"/>
      <c r="M55" s="157" t="s">
        <v>16</v>
      </c>
      <c r="N55" s="64" t="s">
        <v>17</v>
      </c>
      <c r="O55" s="126">
        <v>45858</v>
      </c>
      <c r="P55" s="64">
        <v>3549</v>
      </c>
    </row>
    <row r="56" spans="1:16" ht="15" customHeight="1">
      <c r="A56" s="99">
        <v>3550</v>
      </c>
      <c r="B56" s="27"/>
      <c r="C56" s="27"/>
      <c r="D56" s="64"/>
      <c r="E56" s="64"/>
      <c r="F56" s="64"/>
      <c r="G56" s="64"/>
      <c r="H56" s="64"/>
      <c r="I56" s="157"/>
      <c r="J56" s="157"/>
      <c r="K56" s="157"/>
      <c r="L56" s="157"/>
      <c r="M56" s="157"/>
      <c r="N56" s="64"/>
      <c r="O56" s="93"/>
      <c r="P56" s="64"/>
    </row>
    <row r="57" spans="1:16" ht="15" customHeight="1">
      <c r="A57" s="104">
        <v>3551</v>
      </c>
      <c r="B57" s="27"/>
      <c r="C57" s="29"/>
      <c r="D57" s="64"/>
      <c r="E57" s="64"/>
      <c r="F57" s="64"/>
      <c r="G57" s="64"/>
      <c r="H57" s="64"/>
      <c r="I57" s="157"/>
      <c r="J57" s="157"/>
      <c r="K57" s="157"/>
      <c r="L57" s="157"/>
      <c r="M57" s="157"/>
      <c r="N57" s="64"/>
      <c r="O57" s="93"/>
      <c r="P57" s="64"/>
    </row>
    <row r="58" spans="1:16" ht="15" customHeight="1">
      <c r="A58" s="99">
        <v>3552</v>
      </c>
      <c r="B58" s="29"/>
      <c r="C58" s="29"/>
      <c r="D58" s="64"/>
      <c r="E58" s="64"/>
      <c r="F58" s="64"/>
      <c r="G58" s="64"/>
      <c r="H58" s="64"/>
      <c r="I58" s="157"/>
      <c r="J58" s="157"/>
      <c r="K58" s="157"/>
      <c r="L58" s="157"/>
      <c r="M58" s="157"/>
      <c r="N58" s="64"/>
      <c r="O58" s="93"/>
      <c r="P58" s="64"/>
    </row>
    <row r="59" spans="1:16" ht="15" customHeight="1">
      <c r="A59" s="99">
        <v>3553</v>
      </c>
      <c r="B59" s="41">
        <v>45853</v>
      </c>
      <c r="C59" s="41"/>
      <c r="D59" s="64">
        <v>1</v>
      </c>
      <c r="E59" s="64">
        <v>35</v>
      </c>
      <c r="F59" s="64">
        <v>35</v>
      </c>
      <c r="G59" s="64">
        <v>0</v>
      </c>
      <c r="H59" s="64">
        <v>0</v>
      </c>
      <c r="I59" s="157"/>
      <c r="J59" s="157"/>
      <c r="K59" s="157"/>
      <c r="L59" s="157"/>
      <c r="M59" s="157" t="s">
        <v>36</v>
      </c>
      <c r="N59" s="64" t="s">
        <v>35</v>
      </c>
      <c r="O59" s="126">
        <v>45853</v>
      </c>
      <c r="P59" s="64">
        <v>3553</v>
      </c>
    </row>
    <row r="60" spans="1:16" ht="15" customHeight="1">
      <c r="A60" s="104">
        <v>3554</v>
      </c>
      <c r="B60" s="27"/>
      <c r="C60" s="29"/>
      <c r="D60" s="157"/>
      <c r="E60" s="30"/>
      <c r="F60" s="30"/>
      <c r="G60" s="30"/>
      <c r="H60" s="30"/>
      <c r="I60" s="35"/>
      <c r="J60" s="35"/>
      <c r="K60" s="35"/>
      <c r="L60" s="35"/>
      <c r="M60" s="35"/>
      <c r="N60" s="158"/>
      <c r="O60" s="128"/>
      <c r="P60" s="30"/>
    </row>
    <row r="61" spans="1:16" ht="15" customHeight="1">
      <c r="A61" s="99">
        <v>3555</v>
      </c>
      <c r="B61" s="29"/>
      <c r="C61" s="29"/>
      <c r="D61" s="64"/>
      <c r="E61" s="31"/>
      <c r="F61" s="31"/>
      <c r="G61" s="31"/>
      <c r="H61" s="31"/>
      <c r="I61" s="31"/>
      <c r="J61" s="31"/>
      <c r="K61" s="31"/>
      <c r="L61" s="31"/>
      <c r="M61" s="31"/>
      <c r="N61" s="158"/>
      <c r="O61" s="128"/>
      <c r="P61" s="31"/>
    </row>
    <row r="62" spans="1:16" ht="15" customHeight="1">
      <c r="A62" s="99">
        <v>3556</v>
      </c>
      <c r="B62" s="27"/>
      <c r="C62" s="27"/>
      <c r="D62" s="64"/>
      <c r="E62" s="64"/>
      <c r="F62" s="64"/>
      <c r="G62" s="64"/>
      <c r="H62" s="64"/>
      <c r="I62" s="157"/>
      <c r="J62" s="157"/>
      <c r="K62" s="157"/>
      <c r="L62" s="157"/>
      <c r="M62" s="157"/>
      <c r="N62" s="64"/>
      <c r="O62" s="93"/>
      <c r="P62" s="64"/>
    </row>
    <row r="63" spans="1:16" ht="15" customHeight="1">
      <c r="A63" s="99">
        <v>3557</v>
      </c>
      <c r="B63" s="163">
        <v>45839</v>
      </c>
      <c r="C63" s="46"/>
      <c r="D63" s="93">
        <v>1</v>
      </c>
      <c r="E63" s="34">
        <v>16</v>
      </c>
      <c r="F63" s="34">
        <v>16</v>
      </c>
      <c r="G63" s="34">
        <v>0</v>
      </c>
      <c r="H63" s="34">
        <v>0</v>
      </c>
      <c r="I63" s="39"/>
      <c r="J63" s="39"/>
      <c r="K63" s="39"/>
      <c r="L63" s="39"/>
      <c r="M63" s="39" t="s">
        <v>16</v>
      </c>
      <c r="N63" s="128" t="s">
        <v>17</v>
      </c>
      <c r="O63" s="147">
        <v>45839</v>
      </c>
      <c r="P63" s="34">
        <v>3557</v>
      </c>
    </row>
    <row r="64" spans="1:16" ht="15" customHeight="1">
      <c r="A64" s="99">
        <v>3558</v>
      </c>
      <c r="B64" s="29"/>
      <c r="C64" s="29"/>
      <c r="D64" s="93"/>
      <c r="E64" s="93"/>
      <c r="F64" s="93"/>
      <c r="G64" s="93"/>
      <c r="H64" s="93"/>
      <c r="I64" s="65"/>
      <c r="J64" s="157"/>
      <c r="K64" s="157"/>
      <c r="L64" s="157"/>
      <c r="M64" s="157"/>
      <c r="N64" s="64"/>
      <c r="O64" s="93"/>
      <c r="P64" s="64"/>
    </row>
    <row r="65" spans="1:16" ht="15" customHeight="1">
      <c r="A65" s="99">
        <v>3559</v>
      </c>
      <c r="B65" s="28">
        <v>45844</v>
      </c>
      <c r="C65" s="28"/>
      <c r="D65" s="93">
        <v>2</v>
      </c>
      <c r="E65" s="93">
        <v>43</v>
      </c>
      <c r="F65" s="93">
        <v>0</v>
      </c>
      <c r="G65" s="93">
        <v>0</v>
      </c>
      <c r="H65" s="93">
        <v>1</v>
      </c>
      <c r="I65" s="103">
        <v>45846</v>
      </c>
      <c r="J65" s="65">
        <v>20</v>
      </c>
      <c r="K65" s="65"/>
      <c r="L65" s="65"/>
      <c r="M65" s="65" t="s">
        <v>16</v>
      </c>
      <c r="N65" s="128" t="s">
        <v>17</v>
      </c>
      <c r="O65" s="126">
        <v>45846</v>
      </c>
      <c r="P65" s="93">
        <v>3559</v>
      </c>
    </row>
    <row r="66" spans="1:16" ht="15" customHeight="1">
      <c r="A66" s="99">
        <v>3560</v>
      </c>
      <c r="B66" s="27"/>
      <c r="C66" s="27"/>
      <c r="D66" s="93"/>
      <c r="E66" s="93"/>
      <c r="F66" s="93"/>
      <c r="G66" s="93"/>
      <c r="H66" s="93"/>
      <c r="I66" s="65"/>
      <c r="J66" s="157"/>
      <c r="K66" s="157"/>
      <c r="L66" s="157"/>
      <c r="M66" s="157"/>
      <c r="N66" s="64"/>
      <c r="O66" s="128"/>
      <c r="P66" s="64"/>
    </row>
    <row r="67" spans="1:16" ht="15" customHeight="1">
      <c r="A67" s="99">
        <v>3561</v>
      </c>
      <c r="B67" s="28">
        <v>45842</v>
      </c>
      <c r="C67" s="28"/>
      <c r="D67" s="93">
        <v>2</v>
      </c>
      <c r="E67" s="93">
        <v>11</v>
      </c>
      <c r="F67" s="93">
        <v>11</v>
      </c>
      <c r="G67" s="93">
        <v>0</v>
      </c>
      <c r="H67" s="93">
        <v>0</v>
      </c>
      <c r="I67" s="65"/>
      <c r="J67" s="157"/>
      <c r="K67" s="157"/>
      <c r="L67" s="157"/>
      <c r="M67" s="65" t="s">
        <v>16</v>
      </c>
      <c r="N67" s="128" t="s">
        <v>17</v>
      </c>
      <c r="O67" s="28">
        <v>45842</v>
      </c>
      <c r="P67" s="64">
        <v>3561</v>
      </c>
    </row>
    <row r="68" spans="1:16" ht="18.75">
      <c r="A68" s="99">
        <v>3562</v>
      </c>
      <c r="B68" s="27"/>
      <c r="C68" s="27"/>
      <c r="D68" s="93"/>
      <c r="E68" s="93"/>
      <c r="F68" s="93"/>
      <c r="G68" s="93"/>
      <c r="H68" s="93"/>
      <c r="I68" s="65"/>
      <c r="J68" s="157"/>
      <c r="K68" s="157"/>
      <c r="L68" s="157"/>
      <c r="M68" s="157"/>
      <c r="N68" s="64"/>
      <c r="O68" s="93"/>
      <c r="P68" s="64"/>
    </row>
    <row r="69" spans="1:16" ht="18.75">
      <c r="A69" s="99">
        <v>3563</v>
      </c>
      <c r="B69" s="27"/>
      <c r="C69" s="27"/>
      <c r="D69" s="93"/>
      <c r="E69" s="34"/>
      <c r="F69" s="34"/>
      <c r="G69" s="34"/>
      <c r="H69" s="34"/>
      <c r="I69" s="39"/>
      <c r="J69" s="35"/>
      <c r="K69" s="35"/>
      <c r="L69" s="35"/>
      <c r="M69" s="35"/>
      <c r="N69" s="158"/>
      <c r="O69" s="93"/>
      <c r="P69" s="30"/>
    </row>
    <row r="70" spans="1:16" ht="18">
      <c r="A70" s="99">
        <v>3564</v>
      </c>
      <c r="B70" s="28">
        <v>45836</v>
      </c>
      <c r="C70" s="28"/>
      <c r="D70" s="93">
        <v>2</v>
      </c>
      <c r="E70" s="34">
        <v>15</v>
      </c>
      <c r="F70" s="34">
        <v>15</v>
      </c>
      <c r="G70" s="34">
        <v>0</v>
      </c>
      <c r="H70" s="34">
        <v>0</v>
      </c>
      <c r="I70" s="39"/>
      <c r="J70" s="35"/>
      <c r="K70" s="35"/>
      <c r="L70" s="35"/>
      <c r="M70" s="39" t="s">
        <v>16</v>
      </c>
      <c r="N70" s="128" t="s">
        <v>17</v>
      </c>
      <c r="O70" s="126">
        <v>45836</v>
      </c>
      <c r="P70" s="34">
        <v>3564</v>
      </c>
    </row>
    <row r="71" spans="1:16" ht="18">
      <c r="A71" s="99">
        <v>3565</v>
      </c>
      <c r="B71" s="41">
        <v>45852</v>
      </c>
      <c r="C71" s="41"/>
      <c r="D71" s="93">
        <v>2</v>
      </c>
      <c r="E71" s="93">
        <v>23</v>
      </c>
      <c r="F71" s="93">
        <v>23</v>
      </c>
      <c r="G71" s="93">
        <v>0</v>
      </c>
      <c r="H71" s="93">
        <v>0</v>
      </c>
      <c r="I71" s="65"/>
      <c r="J71" s="157"/>
      <c r="K71" s="157"/>
      <c r="L71" s="157"/>
      <c r="M71" s="65" t="s">
        <v>16</v>
      </c>
      <c r="N71" s="93" t="s">
        <v>17</v>
      </c>
      <c r="O71" s="126">
        <v>45852</v>
      </c>
      <c r="P71" s="64">
        <v>3565</v>
      </c>
    </row>
    <row r="72" spans="1:16" ht="18.75">
      <c r="A72" s="99">
        <v>3566</v>
      </c>
      <c r="B72" s="27"/>
      <c r="C72" s="27"/>
      <c r="D72" s="64"/>
      <c r="E72" s="64"/>
      <c r="F72" s="64"/>
      <c r="G72" s="64"/>
      <c r="H72" s="64"/>
      <c r="I72" s="157"/>
      <c r="J72" s="157"/>
      <c r="K72" s="157"/>
      <c r="L72" s="157"/>
      <c r="M72" s="157"/>
      <c r="N72" s="64"/>
      <c r="O72" s="93"/>
      <c r="P72" s="64"/>
    </row>
    <row r="73" spans="1:16" ht="18.75">
      <c r="A73" s="164">
        <v>3567</v>
      </c>
      <c r="B73" s="165"/>
      <c r="C73" s="165"/>
      <c r="D73" s="166"/>
      <c r="E73" s="166"/>
      <c r="F73" s="166"/>
      <c r="G73" s="166"/>
      <c r="H73" s="166"/>
      <c r="I73" s="167"/>
      <c r="J73" s="167"/>
      <c r="K73" s="167"/>
      <c r="L73" s="167"/>
      <c r="M73" s="167"/>
      <c r="N73" s="166"/>
      <c r="O73" s="168"/>
      <c r="P73" s="166"/>
    </row>
    <row r="74" spans="1:16">
      <c r="P74" s="169"/>
    </row>
    <row r="75" spans="1:16">
      <c r="P75" s="169"/>
    </row>
    <row r="76" spans="1:16">
      <c r="P76" s="169"/>
    </row>
    <row r="77" spans="1:16">
      <c r="P77" s="169"/>
    </row>
    <row r="78" spans="1:16">
      <c r="P78" s="169"/>
    </row>
    <row r="79" spans="1:16">
      <c r="P79" s="169"/>
    </row>
    <row r="80" spans="1:16">
      <c r="P80" s="169"/>
    </row>
    <row r="81" spans="16:16">
      <c r="P81" s="169"/>
    </row>
    <row r="82" spans="16:16">
      <c r="P82" s="169"/>
    </row>
    <row r="83" spans="16:16">
      <c r="P83" s="169"/>
    </row>
    <row r="84" spans="16:16">
      <c r="P84" s="169"/>
    </row>
    <row r="85" spans="16:16">
      <c r="P85" s="169"/>
    </row>
    <row r="86" spans="16:16">
      <c r="P86" s="169"/>
    </row>
    <row r="87" spans="16:16">
      <c r="P87" s="169"/>
    </row>
    <row r="88" spans="16:16">
      <c r="P88" s="169"/>
    </row>
    <row r="89" spans="16:16">
      <c r="P89" s="169"/>
    </row>
    <row r="90" spans="16:16">
      <c r="P90" s="169"/>
    </row>
    <row r="91" spans="16:16">
      <c r="P91" s="169"/>
    </row>
    <row r="92" spans="16:16">
      <c r="P92" s="169"/>
    </row>
    <row r="93" spans="16:16">
      <c r="P93" s="169"/>
    </row>
    <row r="94" spans="16:16">
      <c r="P94" s="169"/>
    </row>
    <row r="95" spans="16:16">
      <c r="P95" s="169"/>
    </row>
    <row r="96" spans="16:16">
      <c r="P96" s="170"/>
    </row>
    <row r="97" spans="16:16">
      <c r="P97" s="169"/>
    </row>
    <row r="98" spans="16:16">
      <c r="P98" s="169"/>
    </row>
    <row r="99" spans="16:16">
      <c r="P99" s="169"/>
    </row>
    <row r="100" spans="16:16">
      <c r="P100" s="169"/>
    </row>
    <row r="101" spans="16:16">
      <c r="P101" s="169"/>
    </row>
    <row r="102" spans="16:16">
      <c r="P102" s="169"/>
    </row>
    <row r="103" spans="16:16">
      <c r="P103" s="169"/>
    </row>
    <row r="104" spans="16:16">
      <c r="P104" s="169"/>
    </row>
    <row r="105" spans="16:16">
      <c r="P105" s="169"/>
    </row>
    <row r="106" spans="16:16">
      <c r="P106" s="169"/>
    </row>
    <row r="107" spans="16:16">
      <c r="P107" s="169"/>
    </row>
    <row r="108" spans="16:16">
      <c r="P108" s="169"/>
    </row>
    <row r="109" spans="16:16">
      <c r="P109" s="169"/>
    </row>
    <row r="110" spans="16:16">
      <c r="P110" s="169"/>
    </row>
    <row r="111" spans="16:16">
      <c r="P111" s="169"/>
    </row>
    <row r="112" spans="16:16">
      <c r="P112" s="169"/>
    </row>
    <row r="113" spans="16:16">
      <c r="P113" s="169"/>
    </row>
    <row r="114" spans="16:16">
      <c r="P114" s="169"/>
    </row>
    <row r="115" spans="16:16">
      <c r="P115" s="169"/>
    </row>
    <row r="116" spans="16:16">
      <c r="P116" s="169"/>
    </row>
    <row r="117" spans="16:16">
      <c r="P117" s="169"/>
    </row>
    <row r="118" spans="16:16">
      <c r="P118" s="169"/>
    </row>
    <row r="119" spans="16:16">
      <c r="P119" s="169"/>
    </row>
    <row r="120" spans="16:16">
      <c r="P120" s="169"/>
    </row>
    <row r="121" spans="16:16">
      <c r="P121" s="169"/>
    </row>
    <row r="122" spans="16:16">
      <c r="P122" s="169"/>
    </row>
    <row r="123" spans="16:16">
      <c r="P123" s="169"/>
    </row>
    <row r="124" spans="16:16">
      <c r="P124" s="169"/>
    </row>
    <row r="125" spans="16:16">
      <c r="P125" s="169"/>
    </row>
    <row r="126" spans="16:16">
      <c r="P126" s="169"/>
    </row>
    <row r="127" spans="16:16">
      <c r="P127" s="169"/>
    </row>
    <row r="128" spans="16:16">
      <c r="P128" s="169"/>
    </row>
    <row r="129" spans="16:16">
      <c r="P129" s="169"/>
    </row>
    <row r="130" spans="16:16">
      <c r="P130" s="169"/>
    </row>
    <row r="131" spans="16:16">
      <c r="P131" s="169"/>
    </row>
    <row r="132" spans="16:16">
      <c r="P132" s="169"/>
    </row>
    <row r="133" spans="16:16">
      <c r="P133" s="169"/>
    </row>
    <row r="134" spans="16:16">
      <c r="P134" s="169"/>
    </row>
    <row r="135" spans="16:16">
      <c r="P135" s="169"/>
    </row>
    <row r="136" spans="16:16">
      <c r="P136" s="169"/>
    </row>
    <row r="137" spans="16:16">
      <c r="P137" s="169"/>
    </row>
    <row r="138" spans="16:16">
      <c r="P138" s="169"/>
    </row>
    <row r="139" spans="16:16">
      <c r="P139" s="169"/>
    </row>
    <row r="140" spans="16:16">
      <c r="P140" s="169"/>
    </row>
    <row r="141" spans="16:16">
      <c r="P141" s="169"/>
    </row>
    <row r="142" spans="16:16">
      <c r="P142" s="169"/>
    </row>
    <row r="143" spans="16:16">
      <c r="P143" s="169"/>
    </row>
    <row r="144" spans="16:16">
      <c r="P144" s="169"/>
    </row>
    <row r="145" spans="16:16">
      <c r="P145" s="169"/>
    </row>
    <row r="146" spans="16:16">
      <c r="P146" s="169"/>
    </row>
    <row r="147" spans="16:16">
      <c r="P147" s="169"/>
    </row>
    <row r="148" spans="16:16">
      <c r="P148" s="169"/>
    </row>
    <row r="149" spans="16:16">
      <c r="P149" s="169"/>
    </row>
    <row r="150" spans="16:16">
      <c r="P150" s="169"/>
    </row>
    <row r="151" spans="16:16">
      <c r="P151" s="169"/>
    </row>
    <row r="152" spans="16:16">
      <c r="P152" s="169"/>
    </row>
    <row r="153" spans="16:16">
      <c r="P153" s="169"/>
    </row>
    <row r="154" spans="16:16">
      <c r="P154" s="169"/>
    </row>
    <row r="155" spans="16:16">
      <c r="P155" s="169"/>
    </row>
    <row r="156" spans="16:16">
      <c r="P156" s="169"/>
    </row>
    <row r="157" spans="16:16">
      <c r="P157" s="169"/>
    </row>
    <row r="158" spans="16:16">
      <c r="P158" s="169"/>
    </row>
    <row r="159" spans="16:16">
      <c r="P159" s="169"/>
    </row>
    <row r="160" spans="16:16">
      <c r="P160" s="169"/>
    </row>
    <row r="161" spans="16:16">
      <c r="P161" s="169"/>
    </row>
    <row r="162" spans="16:16">
      <c r="P162" s="169"/>
    </row>
    <row r="163" spans="16:16">
      <c r="P163" s="169"/>
    </row>
    <row r="164" spans="16:16">
      <c r="P164" s="169"/>
    </row>
    <row r="165" spans="16:16">
      <c r="P165" s="169"/>
    </row>
    <row r="166" spans="16:16">
      <c r="P166" s="169"/>
    </row>
    <row r="167" spans="16:16">
      <c r="P167" s="169"/>
    </row>
    <row r="168" spans="16:16">
      <c r="P168" s="169"/>
    </row>
    <row r="169" spans="16:16">
      <c r="P169" s="169"/>
    </row>
    <row r="170" spans="16:16">
      <c r="P170" s="169"/>
    </row>
    <row r="171" spans="16:16">
      <c r="P171" s="169"/>
    </row>
    <row r="172" spans="16:16">
      <c r="P172" s="169"/>
    </row>
    <row r="173" spans="16:16">
      <c r="P173" s="169"/>
    </row>
    <row r="174" spans="16:16">
      <c r="P174" s="169"/>
    </row>
    <row r="175" spans="16:16">
      <c r="P175" s="169"/>
    </row>
    <row r="176" spans="16:16">
      <c r="P176" s="169"/>
    </row>
    <row r="177" spans="16:16">
      <c r="P177" s="169"/>
    </row>
    <row r="178" spans="16:16">
      <c r="P178" s="169"/>
    </row>
    <row r="179" spans="16:16">
      <c r="P179" s="170"/>
    </row>
    <row r="180" spans="16:16">
      <c r="P180" s="169"/>
    </row>
    <row r="181" spans="16:16">
      <c r="P181" s="169"/>
    </row>
    <row r="182" spans="16:16">
      <c r="P182" s="169"/>
    </row>
    <row r="183" spans="16:16">
      <c r="P183" s="169"/>
    </row>
    <row r="184" spans="16:16">
      <c r="P184" s="169"/>
    </row>
    <row r="185" spans="16:16">
      <c r="P185" s="169"/>
    </row>
    <row r="186" spans="16:16">
      <c r="P186" s="169"/>
    </row>
    <row r="187" spans="16:16">
      <c r="P187" s="169"/>
    </row>
    <row r="188" spans="16:16">
      <c r="P188" s="169"/>
    </row>
    <row r="189" spans="16:16">
      <c r="P189" s="169"/>
    </row>
    <row r="190" spans="16:16">
      <c r="P190" s="169"/>
    </row>
    <row r="191" spans="16:16">
      <c r="P191" s="169"/>
    </row>
    <row r="192" spans="16:16">
      <c r="P192" s="169"/>
    </row>
    <row r="193" spans="16:16">
      <c r="P193" s="169"/>
    </row>
    <row r="194" spans="16:16">
      <c r="P194" s="169"/>
    </row>
    <row r="195" spans="16:16">
      <c r="P195" s="169"/>
    </row>
    <row r="196" spans="16:16">
      <c r="P196" s="169"/>
    </row>
    <row r="197" spans="16:16">
      <c r="P197" s="169"/>
    </row>
    <row r="198" spans="16:16">
      <c r="P198" s="169"/>
    </row>
    <row r="199" spans="16:16">
      <c r="P199" s="169"/>
    </row>
    <row r="200" spans="16:16">
      <c r="P200" s="169"/>
    </row>
    <row r="201" spans="16:16">
      <c r="P201" s="169"/>
    </row>
    <row r="202" spans="16:16">
      <c r="P202" s="169"/>
    </row>
    <row r="203" spans="16:16">
      <c r="P203" s="169"/>
    </row>
    <row r="204" spans="16:16">
      <c r="P204" s="169"/>
    </row>
    <row r="205" spans="16:16">
      <c r="P205" s="169"/>
    </row>
    <row r="206" spans="16:16">
      <c r="P206" s="169"/>
    </row>
    <row r="207" spans="16:16">
      <c r="P207" s="169"/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workbookViewId="0"/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63" t="s">
        <v>1</v>
      </c>
      <c r="C1" s="63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60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68" t="s">
        <v>13</v>
      </c>
      <c r="O1" s="171" t="s">
        <v>14</v>
      </c>
      <c r="P1" s="70" t="s">
        <v>15</v>
      </c>
    </row>
    <row r="2" spans="1:21" ht="15" customHeight="1">
      <c r="A2" s="3">
        <v>3231</v>
      </c>
      <c r="B2" s="71"/>
      <c r="C2" s="71"/>
      <c r="D2" s="72"/>
      <c r="E2" s="72"/>
      <c r="F2" s="72"/>
      <c r="G2" s="72"/>
      <c r="H2" s="72"/>
      <c r="I2" s="73"/>
      <c r="J2" s="73"/>
      <c r="K2" s="73"/>
      <c r="L2" s="73"/>
      <c r="M2" s="73"/>
      <c r="N2" s="72"/>
      <c r="O2" s="71"/>
      <c r="P2" s="72"/>
      <c r="R2" s="94" t="s">
        <v>18</v>
      </c>
      <c r="S2" s="95"/>
      <c r="T2" s="95"/>
      <c r="U2" s="96"/>
    </row>
    <row r="3" spans="1:21" ht="15" customHeight="1">
      <c r="A3" s="74">
        <v>3232</v>
      </c>
      <c r="B3" s="71"/>
      <c r="C3" s="71"/>
      <c r="D3" s="72"/>
      <c r="E3" s="72"/>
      <c r="F3" s="72"/>
      <c r="G3" s="72"/>
      <c r="H3" s="72"/>
      <c r="I3" s="73"/>
      <c r="J3" s="73"/>
      <c r="K3" s="73"/>
      <c r="L3" s="73"/>
      <c r="M3" s="73"/>
      <c r="N3" s="72"/>
      <c r="O3" s="71"/>
      <c r="P3" s="72"/>
      <c r="R3" s="75" t="s">
        <v>19</v>
      </c>
      <c r="S3" s="76" t="s">
        <v>20</v>
      </c>
      <c r="T3" s="77" t="s">
        <v>31</v>
      </c>
      <c r="U3" s="78" t="s">
        <v>22</v>
      </c>
    </row>
    <row r="4" spans="1:21" ht="15" customHeight="1">
      <c r="A4" s="74">
        <v>3233</v>
      </c>
      <c r="B4" s="79"/>
      <c r="C4" s="79"/>
      <c r="D4" s="72"/>
      <c r="E4" s="72"/>
      <c r="F4" s="72"/>
      <c r="G4" s="72"/>
      <c r="H4" s="72"/>
      <c r="I4" s="73"/>
      <c r="J4" s="73"/>
      <c r="K4" s="73"/>
      <c r="L4" s="73"/>
      <c r="M4" s="73"/>
      <c r="N4" s="72"/>
      <c r="O4" s="79"/>
      <c r="P4" s="72"/>
      <c r="R4" s="80">
        <v>36</v>
      </c>
      <c r="S4" s="81">
        <f>COUNTA(A:A)-1</f>
        <v>72</v>
      </c>
      <c r="T4" s="81">
        <f>COUNTA(O:O)-1</f>
        <v>3</v>
      </c>
      <c r="U4" s="82">
        <f>T4/S4</f>
        <v>4.1666666666666664E-2</v>
      </c>
    </row>
    <row r="5" spans="1:21" ht="15" customHeight="1">
      <c r="A5" s="74">
        <v>3234</v>
      </c>
      <c r="B5" s="71"/>
      <c r="C5" s="71"/>
      <c r="D5" s="72"/>
      <c r="E5" s="72"/>
      <c r="F5" s="72"/>
      <c r="G5" s="72"/>
      <c r="H5" s="72"/>
      <c r="I5" s="73"/>
      <c r="J5" s="73"/>
      <c r="K5" s="73"/>
      <c r="L5" s="73"/>
      <c r="M5" s="73"/>
      <c r="N5" s="72"/>
      <c r="O5" s="71"/>
      <c r="P5" s="72"/>
    </row>
    <row r="6" spans="1:21" ht="15" customHeight="1">
      <c r="A6" s="74">
        <v>3235</v>
      </c>
      <c r="B6" s="71"/>
      <c r="C6" s="71"/>
      <c r="D6" s="72"/>
      <c r="E6" s="72"/>
      <c r="F6" s="72"/>
      <c r="G6" s="72"/>
      <c r="H6" s="72"/>
      <c r="I6" s="73"/>
      <c r="J6" s="73"/>
      <c r="K6" s="73"/>
      <c r="L6" s="73"/>
      <c r="M6" s="73"/>
      <c r="N6" s="72"/>
      <c r="O6" s="71"/>
      <c r="P6" s="72"/>
    </row>
    <row r="7" spans="1:21" ht="15" customHeight="1">
      <c r="A7" s="74">
        <v>3236</v>
      </c>
      <c r="B7" s="71"/>
      <c r="C7" s="71"/>
      <c r="D7" s="72"/>
      <c r="E7" s="6"/>
      <c r="F7" s="6"/>
      <c r="G7" s="6"/>
      <c r="H7" s="6"/>
      <c r="I7" s="8"/>
      <c r="J7" s="8"/>
      <c r="K7" s="8"/>
      <c r="L7" s="8"/>
      <c r="M7" s="8"/>
      <c r="N7" s="83"/>
      <c r="O7" s="71"/>
      <c r="P7" s="6"/>
    </row>
    <row r="8" spans="1:21" ht="15" customHeight="1">
      <c r="A8" s="74">
        <v>3237</v>
      </c>
      <c r="B8" s="71"/>
      <c r="C8" s="71"/>
      <c r="D8" s="72"/>
      <c r="E8" s="72"/>
      <c r="F8" s="72"/>
      <c r="G8" s="72"/>
      <c r="H8" s="72"/>
      <c r="I8" s="73"/>
      <c r="J8" s="73"/>
      <c r="K8" s="73"/>
      <c r="L8" s="73"/>
      <c r="M8" s="73"/>
      <c r="N8" s="72"/>
      <c r="O8" s="71"/>
      <c r="P8" s="72"/>
    </row>
    <row r="9" spans="1:21" ht="15" customHeight="1">
      <c r="A9" s="74">
        <v>3238</v>
      </c>
      <c r="B9" s="71"/>
      <c r="C9" s="71"/>
      <c r="D9" s="72"/>
      <c r="E9" s="72"/>
      <c r="F9" s="72"/>
      <c r="G9" s="72"/>
      <c r="H9" s="72"/>
      <c r="I9" s="73"/>
      <c r="J9" s="73"/>
      <c r="K9" s="73"/>
      <c r="L9" s="73"/>
      <c r="M9" s="73"/>
      <c r="N9" s="72"/>
      <c r="O9" s="71"/>
      <c r="P9" s="72"/>
    </row>
    <row r="10" spans="1:21" ht="15" customHeight="1">
      <c r="A10" s="74">
        <v>3239</v>
      </c>
      <c r="B10" s="71"/>
      <c r="C10" s="71"/>
      <c r="D10" s="72"/>
      <c r="E10" s="72"/>
      <c r="F10" s="72"/>
      <c r="G10" s="72"/>
      <c r="H10" s="72"/>
      <c r="I10" s="73"/>
      <c r="J10" s="73"/>
      <c r="K10" s="73"/>
      <c r="L10" s="73"/>
      <c r="M10" s="73"/>
      <c r="N10" s="72"/>
      <c r="O10" s="71"/>
      <c r="P10" s="72"/>
    </row>
    <row r="11" spans="1:21" ht="15" customHeight="1">
      <c r="A11" s="74">
        <v>3240</v>
      </c>
      <c r="B11" s="71"/>
      <c r="C11" s="71"/>
      <c r="D11" s="72"/>
      <c r="E11" s="72"/>
      <c r="F11" s="72"/>
      <c r="G11" s="72"/>
      <c r="H11" s="72"/>
      <c r="I11" s="73"/>
      <c r="J11" s="73"/>
      <c r="K11" s="73"/>
      <c r="L11" s="73"/>
      <c r="M11" s="73"/>
      <c r="N11" s="72"/>
      <c r="O11" s="71"/>
      <c r="P11" s="72"/>
    </row>
    <row r="12" spans="1:21" ht="15" customHeight="1">
      <c r="A12" s="84">
        <v>3241</v>
      </c>
      <c r="B12" s="79"/>
      <c r="C12" s="79"/>
      <c r="D12" s="72"/>
      <c r="E12" s="72"/>
      <c r="F12" s="72"/>
      <c r="G12" s="72"/>
      <c r="H12" s="72"/>
      <c r="I12" s="73"/>
      <c r="J12" s="73"/>
      <c r="K12" s="73"/>
      <c r="L12" s="73"/>
      <c r="M12" s="73"/>
      <c r="N12" s="72"/>
      <c r="O12" s="79"/>
      <c r="P12" s="72"/>
    </row>
    <row r="13" spans="1:21" ht="15" customHeight="1">
      <c r="A13" s="4">
        <v>3242</v>
      </c>
      <c r="B13" s="85"/>
      <c r="C13" s="85"/>
      <c r="D13" s="72"/>
      <c r="E13" s="72"/>
      <c r="F13" s="72"/>
      <c r="G13" s="72"/>
      <c r="H13" s="72"/>
      <c r="I13" s="73"/>
      <c r="J13" s="73"/>
      <c r="K13" s="73"/>
      <c r="L13" s="73"/>
      <c r="M13" s="73"/>
      <c r="N13" s="72"/>
      <c r="O13" s="85"/>
      <c r="P13" s="72"/>
    </row>
    <row r="14" spans="1:21" ht="15" customHeight="1">
      <c r="A14" s="86">
        <v>3243</v>
      </c>
      <c r="B14" s="71"/>
      <c r="C14" s="71"/>
      <c r="D14" s="72"/>
      <c r="E14" s="72"/>
      <c r="F14" s="72"/>
      <c r="G14" s="72"/>
      <c r="H14" s="72"/>
      <c r="I14" s="73"/>
      <c r="J14" s="73"/>
      <c r="K14" s="73"/>
      <c r="L14" s="73"/>
      <c r="M14" s="73"/>
      <c r="N14" s="72"/>
      <c r="O14" s="71"/>
      <c r="P14" s="72"/>
    </row>
    <row r="15" spans="1:21" ht="15" customHeight="1">
      <c r="A15" s="86">
        <v>3244</v>
      </c>
      <c r="B15" s="71"/>
      <c r="C15" s="71"/>
      <c r="D15" s="72"/>
      <c r="E15" s="72"/>
      <c r="F15" s="72"/>
      <c r="G15" s="72"/>
      <c r="H15" s="72"/>
      <c r="I15" s="73"/>
      <c r="J15" s="73"/>
      <c r="K15" s="73"/>
      <c r="L15" s="73"/>
      <c r="M15" s="73"/>
      <c r="N15" s="72"/>
      <c r="O15" s="71"/>
      <c r="P15" s="72"/>
    </row>
    <row r="16" spans="1:21" ht="15" customHeight="1">
      <c r="A16" s="86">
        <v>3245</v>
      </c>
      <c r="B16" s="71"/>
      <c r="C16" s="71"/>
      <c r="D16" s="72"/>
      <c r="E16" s="72"/>
      <c r="F16" s="72"/>
      <c r="G16" s="72"/>
      <c r="H16" s="72"/>
      <c r="I16" s="73"/>
      <c r="J16" s="73"/>
      <c r="K16" s="73"/>
      <c r="L16" s="73"/>
      <c r="M16" s="73"/>
      <c r="N16" s="72"/>
      <c r="O16" s="71"/>
      <c r="P16" s="72"/>
    </row>
    <row r="17" spans="1:16" ht="15" customHeight="1">
      <c r="A17" s="86">
        <v>3246</v>
      </c>
      <c r="B17" s="79"/>
      <c r="C17" s="79"/>
      <c r="D17" s="72"/>
      <c r="E17" s="6"/>
      <c r="F17" s="6"/>
      <c r="G17" s="6"/>
      <c r="H17" s="6"/>
      <c r="I17" s="8"/>
      <c r="J17" s="8"/>
      <c r="K17" s="8"/>
      <c r="L17" s="8"/>
      <c r="M17" s="8"/>
      <c r="N17" s="83"/>
      <c r="O17" s="79"/>
      <c r="P17" s="6"/>
    </row>
    <row r="18" spans="1:16" ht="15" customHeight="1">
      <c r="A18" s="86">
        <v>3247</v>
      </c>
      <c r="B18" s="71"/>
      <c r="C18" s="71"/>
      <c r="D18" s="72"/>
      <c r="E18" s="7"/>
      <c r="F18" s="7"/>
      <c r="G18" s="7"/>
      <c r="H18" s="7"/>
      <c r="I18" s="7"/>
      <c r="J18" s="7"/>
      <c r="K18" s="7"/>
      <c r="L18" s="7"/>
      <c r="M18" s="7"/>
      <c r="N18" s="83"/>
      <c r="O18" s="71"/>
      <c r="P18" s="7"/>
    </row>
    <row r="19" spans="1:16" ht="15" customHeight="1">
      <c r="A19" s="86">
        <v>3248</v>
      </c>
      <c r="B19" s="71"/>
      <c r="C19" s="71"/>
      <c r="D19" s="72"/>
      <c r="E19" s="72"/>
      <c r="F19" s="72"/>
      <c r="G19" s="72"/>
      <c r="H19" s="72"/>
      <c r="I19" s="73"/>
      <c r="J19" s="73"/>
      <c r="K19" s="73"/>
      <c r="L19" s="73"/>
      <c r="M19" s="73"/>
      <c r="N19" s="72"/>
      <c r="O19" s="71"/>
      <c r="P19" s="72"/>
    </row>
    <row r="20" spans="1:16" ht="15" customHeight="1">
      <c r="A20" s="86">
        <v>3250</v>
      </c>
      <c r="B20" s="71"/>
      <c r="C20" s="71"/>
      <c r="D20" s="72"/>
      <c r="E20" s="72"/>
      <c r="F20" s="72"/>
      <c r="G20" s="72"/>
      <c r="H20" s="72"/>
      <c r="I20" s="73"/>
      <c r="J20" s="73"/>
      <c r="K20" s="73"/>
      <c r="L20" s="73"/>
      <c r="M20" s="73"/>
      <c r="N20" s="72"/>
      <c r="O20" s="71"/>
      <c r="P20" s="72"/>
    </row>
    <row r="21" spans="1:16" ht="15" customHeight="1">
      <c r="A21" s="86">
        <v>3251</v>
      </c>
      <c r="B21" s="71"/>
      <c r="C21" s="71"/>
      <c r="D21" s="72"/>
      <c r="E21" s="72"/>
      <c r="F21" s="72"/>
      <c r="G21" s="72"/>
      <c r="H21" s="72"/>
      <c r="I21" s="73"/>
      <c r="J21" s="73"/>
      <c r="K21" s="73"/>
      <c r="L21" s="73"/>
      <c r="M21" s="73"/>
      <c r="N21" s="72"/>
      <c r="O21" s="71"/>
      <c r="P21" s="72"/>
    </row>
    <row r="22" spans="1:16" ht="15" customHeight="1">
      <c r="A22" s="86">
        <v>3252</v>
      </c>
      <c r="B22" s="71"/>
      <c r="C22" s="71"/>
      <c r="D22" s="72"/>
      <c r="E22" s="72"/>
      <c r="F22" s="72"/>
      <c r="G22" s="72"/>
      <c r="H22" s="72"/>
      <c r="I22" s="73"/>
      <c r="J22" s="73"/>
      <c r="K22" s="73"/>
      <c r="L22" s="73"/>
      <c r="M22" s="73"/>
      <c r="N22" s="72"/>
      <c r="O22" s="71"/>
      <c r="P22" s="72"/>
    </row>
    <row r="23" spans="1:16" ht="15" customHeight="1">
      <c r="A23" s="87">
        <v>3253</v>
      </c>
      <c r="B23" s="71"/>
      <c r="C23" s="71"/>
      <c r="D23" s="72"/>
      <c r="E23" s="72"/>
      <c r="F23" s="72"/>
      <c r="G23" s="72"/>
      <c r="H23" s="72"/>
      <c r="I23" s="73"/>
      <c r="J23" s="73"/>
      <c r="K23" s="73"/>
      <c r="L23" s="73"/>
      <c r="M23" s="73"/>
      <c r="N23" s="72"/>
      <c r="O23" s="71"/>
      <c r="P23" s="72"/>
    </row>
    <row r="24" spans="1:16" ht="15" customHeight="1">
      <c r="A24" s="4">
        <v>3254</v>
      </c>
      <c r="B24" s="71"/>
      <c r="C24" s="71"/>
      <c r="D24" s="72"/>
      <c r="E24" s="72"/>
      <c r="F24" s="72"/>
      <c r="G24" s="72"/>
      <c r="H24" s="72"/>
      <c r="I24" s="73"/>
      <c r="J24" s="73"/>
      <c r="K24" s="73"/>
      <c r="L24" s="73"/>
      <c r="M24" s="73"/>
      <c r="N24" s="72"/>
      <c r="O24" s="71"/>
      <c r="P24" s="72"/>
    </row>
    <row r="25" spans="1:16" ht="15" customHeight="1">
      <c r="A25" s="86">
        <v>3255</v>
      </c>
      <c r="B25" s="79"/>
      <c r="C25" s="79"/>
      <c r="D25" s="72"/>
      <c r="E25" s="72"/>
      <c r="F25" s="72"/>
      <c r="G25" s="72"/>
      <c r="H25" s="72"/>
      <c r="I25" s="73"/>
      <c r="J25" s="73"/>
      <c r="K25" s="73"/>
      <c r="L25" s="73"/>
      <c r="M25" s="73"/>
      <c r="N25" s="72"/>
      <c r="O25" s="79"/>
      <c r="P25" s="72"/>
    </row>
    <row r="26" spans="1:16" ht="15" customHeight="1">
      <c r="A26" s="86">
        <v>3256</v>
      </c>
      <c r="B26" s="85"/>
      <c r="C26" s="85"/>
      <c r="D26" s="72"/>
      <c r="E26" s="72"/>
      <c r="F26" s="72"/>
      <c r="G26" s="72"/>
      <c r="H26" s="72"/>
      <c r="I26" s="73"/>
      <c r="J26" s="73"/>
      <c r="K26" s="73"/>
      <c r="L26" s="73"/>
      <c r="M26" s="73"/>
      <c r="N26" s="72"/>
      <c r="O26" s="85"/>
      <c r="P26" s="72"/>
    </row>
    <row r="27" spans="1:16" ht="15" customHeight="1">
      <c r="A27" s="86">
        <v>3258</v>
      </c>
      <c r="B27" s="71"/>
      <c r="C27" s="71"/>
      <c r="D27" s="72"/>
      <c r="E27" s="72"/>
      <c r="F27" s="72"/>
      <c r="G27" s="72"/>
      <c r="H27" s="72"/>
      <c r="I27" s="73"/>
      <c r="J27" s="73"/>
      <c r="K27" s="73"/>
      <c r="L27" s="73"/>
      <c r="M27" s="73"/>
      <c r="N27" s="72"/>
      <c r="O27" s="71"/>
      <c r="P27" s="72"/>
    </row>
    <row r="28" spans="1:16" ht="15" customHeight="1">
      <c r="A28" s="86">
        <v>3259</v>
      </c>
      <c r="B28" s="71"/>
      <c r="C28" s="71"/>
      <c r="D28" s="72"/>
      <c r="E28" s="7"/>
      <c r="F28" s="7"/>
      <c r="G28" s="7"/>
      <c r="H28" s="7"/>
      <c r="I28" s="7"/>
      <c r="J28" s="7"/>
      <c r="K28" s="7"/>
      <c r="L28" s="7"/>
      <c r="M28" s="7"/>
      <c r="N28" s="83"/>
      <c r="O28" s="71"/>
      <c r="P28" s="7"/>
    </row>
    <row r="29" spans="1:16" ht="15" customHeight="1">
      <c r="A29" s="86">
        <v>3260</v>
      </c>
      <c r="B29" s="71"/>
      <c r="C29" s="88"/>
      <c r="D29" s="73"/>
      <c r="E29" s="6"/>
      <c r="F29" s="6"/>
      <c r="G29" s="6"/>
      <c r="H29" s="6"/>
      <c r="I29" s="8"/>
      <c r="J29" s="8"/>
      <c r="K29" s="8"/>
      <c r="L29" s="8"/>
      <c r="M29" s="8"/>
      <c r="N29" s="83"/>
      <c r="O29" s="71"/>
      <c r="P29" s="6"/>
    </row>
    <row r="30" spans="1:16" ht="15" customHeight="1">
      <c r="A30" s="86">
        <v>3261</v>
      </c>
      <c r="B30" s="79"/>
      <c r="D30" s="11"/>
      <c r="E30" s="15"/>
      <c r="F30" s="15"/>
      <c r="G30" s="15"/>
      <c r="H30" s="15"/>
      <c r="I30" s="16"/>
      <c r="J30" s="16"/>
      <c r="K30" s="16"/>
      <c r="L30" s="16"/>
      <c r="M30" s="16"/>
      <c r="N30" s="89"/>
      <c r="O30" s="79"/>
      <c r="P30" s="15"/>
    </row>
    <row r="31" spans="1:16" ht="15" customHeight="1">
      <c r="A31" s="86">
        <v>3262</v>
      </c>
      <c r="B31" s="71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  <c r="N31" s="71"/>
      <c r="O31" s="71"/>
      <c r="P31" s="12"/>
    </row>
    <row r="32" spans="1:16" ht="15" customHeight="1">
      <c r="A32" s="86">
        <v>3263</v>
      </c>
      <c r="B32" s="71"/>
      <c r="C32" s="71"/>
      <c r="D32" s="72"/>
      <c r="E32" s="72"/>
      <c r="F32" s="72"/>
      <c r="G32" s="72"/>
      <c r="H32" s="72"/>
      <c r="I32" s="73"/>
      <c r="J32" s="73"/>
      <c r="K32" s="73"/>
      <c r="L32" s="73"/>
      <c r="M32" s="73"/>
      <c r="N32" s="72"/>
      <c r="O32" s="71"/>
      <c r="P32" s="72"/>
    </row>
    <row r="33" spans="1:16" ht="15" customHeight="1">
      <c r="A33" s="86">
        <v>3264</v>
      </c>
      <c r="B33" s="71"/>
      <c r="C33" s="71"/>
      <c r="D33" s="72"/>
      <c r="E33" s="72"/>
      <c r="F33" s="72"/>
      <c r="G33" s="72"/>
      <c r="H33" s="72"/>
      <c r="I33" s="73"/>
      <c r="J33" s="73"/>
      <c r="K33" s="73"/>
      <c r="L33" s="73"/>
      <c r="M33" s="73"/>
      <c r="N33" s="72"/>
      <c r="O33" s="71"/>
      <c r="P33" s="72"/>
    </row>
    <row r="34" spans="1:16" ht="15" customHeight="1">
      <c r="A34" s="87">
        <v>3265</v>
      </c>
      <c r="B34" s="71"/>
      <c r="C34" s="71"/>
      <c r="D34" s="72"/>
      <c r="E34" s="72"/>
      <c r="F34" s="72"/>
      <c r="G34" s="72"/>
      <c r="H34" s="72"/>
      <c r="I34" s="73"/>
      <c r="J34" s="73"/>
      <c r="K34" s="73"/>
      <c r="L34" s="73"/>
      <c r="M34" s="73"/>
      <c r="N34" s="72"/>
      <c r="O34" s="71"/>
      <c r="P34" s="72"/>
    </row>
    <row r="35" spans="1:16" ht="15" customHeight="1">
      <c r="A35" s="4">
        <v>3266</v>
      </c>
      <c r="B35" s="71"/>
      <c r="C35" s="71"/>
      <c r="D35" s="72"/>
      <c r="E35" s="72"/>
      <c r="F35" s="72"/>
      <c r="G35" s="72"/>
      <c r="H35" s="72"/>
      <c r="I35" s="73"/>
      <c r="J35" s="73"/>
      <c r="K35" s="73"/>
      <c r="L35" s="73"/>
      <c r="M35" s="73"/>
      <c r="N35" s="72"/>
      <c r="O35" s="71"/>
      <c r="P35" s="72"/>
    </row>
    <row r="36" spans="1:16" ht="15" customHeight="1">
      <c r="A36" s="86">
        <v>3267</v>
      </c>
      <c r="B36" s="71"/>
      <c r="C36" s="71"/>
      <c r="D36" s="72"/>
      <c r="E36" s="72"/>
      <c r="F36" s="72"/>
      <c r="G36" s="72"/>
      <c r="H36" s="72"/>
      <c r="I36" s="73"/>
      <c r="J36" s="73"/>
      <c r="K36" s="73"/>
      <c r="L36" s="73"/>
      <c r="M36" s="73"/>
      <c r="N36" s="72"/>
      <c r="O36" s="71"/>
      <c r="P36" s="72"/>
    </row>
    <row r="37" spans="1:16" ht="15" customHeight="1">
      <c r="A37" s="86">
        <v>3299</v>
      </c>
      <c r="B37" s="71"/>
      <c r="C37" s="71"/>
      <c r="D37" s="72"/>
      <c r="E37" s="72"/>
      <c r="F37" s="72"/>
      <c r="G37" s="72"/>
      <c r="H37" s="72"/>
      <c r="I37" s="73"/>
      <c r="J37" s="73"/>
      <c r="K37" s="73"/>
      <c r="L37" s="73"/>
      <c r="M37" s="73"/>
      <c r="N37" s="72"/>
      <c r="O37" s="71"/>
      <c r="P37" s="72"/>
    </row>
    <row r="38" spans="1:16" ht="15" customHeight="1">
      <c r="A38" s="86">
        <v>3531</v>
      </c>
      <c r="B38" s="79"/>
      <c r="C38" s="79"/>
      <c r="D38" s="72"/>
      <c r="E38" s="6"/>
      <c r="F38" s="6"/>
      <c r="G38" s="6"/>
      <c r="H38" s="6"/>
      <c r="I38" s="8"/>
      <c r="J38" s="8"/>
      <c r="K38" s="8"/>
      <c r="L38" s="8"/>
      <c r="M38" s="8"/>
      <c r="N38" s="83"/>
      <c r="O38" s="79"/>
      <c r="P38" s="6"/>
    </row>
    <row r="39" spans="1:16" ht="15" customHeight="1">
      <c r="A39" s="86">
        <v>3532</v>
      </c>
      <c r="B39" s="85"/>
      <c r="C39" s="85"/>
      <c r="D39" s="72"/>
      <c r="E39" s="72"/>
      <c r="F39" s="72"/>
      <c r="G39" s="72"/>
      <c r="H39" s="72"/>
      <c r="I39" s="73"/>
      <c r="J39" s="73"/>
      <c r="K39" s="73"/>
      <c r="L39" s="73"/>
      <c r="M39" s="73"/>
      <c r="N39" s="72"/>
      <c r="O39" s="85"/>
      <c r="P39" s="72"/>
    </row>
    <row r="40" spans="1:16" ht="15" customHeight="1">
      <c r="A40" s="86">
        <v>3533</v>
      </c>
      <c r="B40" s="71"/>
      <c r="C40" s="71"/>
      <c r="D40" s="72"/>
      <c r="E40" s="72"/>
      <c r="F40" s="72"/>
      <c r="G40" s="72"/>
      <c r="H40" s="72"/>
      <c r="I40" s="73"/>
      <c r="J40" s="73"/>
      <c r="K40" s="73"/>
      <c r="L40" s="73"/>
      <c r="M40" s="73"/>
      <c r="N40" s="72"/>
      <c r="O40" s="71"/>
      <c r="P40" s="72"/>
    </row>
    <row r="41" spans="1:16" ht="15" customHeight="1">
      <c r="A41" s="86">
        <v>3534</v>
      </c>
      <c r="B41" s="71"/>
      <c r="C41" s="71"/>
      <c r="D41" s="72"/>
      <c r="E41" s="72"/>
      <c r="F41" s="72"/>
      <c r="G41" s="72"/>
      <c r="H41" s="72"/>
      <c r="I41" s="73"/>
      <c r="J41" s="73"/>
      <c r="K41" s="73"/>
      <c r="L41" s="73"/>
      <c r="M41" s="73"/>
      <c r="N41" s="72"/>
      <c r="O41" s="71"/>
      <c r="P41" s="72"/>
    </row>
    <row r="42" spans="1:16" ht="15" customHeight="1">
      <c r="A42" s="86">
        <v>3535</v>
      </c>
      <c r="B42" s="71"/>
      <c r="C42" s="71"/>
      <c r="D42" s="72"/>
      <c r="E42" s="6"/>
      <c r="F42" s="6"/>
      <c r="G42" s="6"/>
      <c r="H42" s="6"/>
      <c r="I42" s="8"/>
      <c r="J42" s="8"/>
      <c r="K42" s="8"/>
      <c r="L42" s="8"/>
      <c r="M42" s="8"/>
      <c r="N42" s="83"/>
      <c r="O42" s="71"/>
      <c r="P42" s="6"/>
    </row>
    <row r="43" spans="1:16" ht="15" customHeight="1">
      <c r="A43" s="86">
        <v>3536</v>
      </c>
      <c r="B43" s="71"/>
      <c r="C43" s="71"/>
      <c r="D43" s="72"/>
      <c r="E43" s="72"/>
      <c r="F43" s="72"/>
      <c r="G43" s="72"/>
      <c r="H43" s="72"/>
      <c r="I43" s="73"/>
      <c r="J43" s="73"/>
      <c r="K43" s="73"/>
      <c r="L43" s="73"/>
      <c r="M43" s="73"/>
      <c r="N43" s="72"/>
      <c r="O43" s="71"/>
      <c r="P43" s="72"/>
    </row>
    <row r="44" spans="1:16" ht="15" customHeight="1">
      <c r="A44" s="86">
        <v>3537</v>
      </c>
      <c r="B44" s="71"/>
      <c r="C44" s="71"/>
      <c r="D44" s="72"/>
      <c r="E44" s="72"/>
      <c r="F44" s="72"/>
      <c r="G44" s="72"/>
      <c r="H44" s="72"/>
      <c r="I44" s="73"/>
      <c r="J44" s="73"/>
      <c r="K44" s="73"/>
      <c r="L44" s="73"/>
      <c r="M44" s="73"/>
      <c r="N44" s="72"/>
      <c r="O44" s="71"/>
      <c r="P44" s="72"/>
    </row>
    <row r="45" spans="1:16" ht="15" customHeight="1">
      <c r="A45" s="87">
        <v>3538</v>
      </c>
      <c r="B45" s="71"/>
      <c r="C45" s="71"/>
      <c r="D45" s="72"/>
      <c r="E45" s="72"/>
      <c r="F45" s="72"/>
      <c r="G45" s="72"/>
      <c r="H45" s="72"/>
      <c r="I45" s="73"/>
      <c r="J45" s="73"/>
      <c r="K45" s="73"/>
      <c r="L45" s="73"/>
      <c r="M45" s="73"/>
      <c r="N45" s="72"/>
      <c r="O45" s="71"/>
      <c r="P45" s="72"/>
    </row>
    <row r="46" spans="1:16" ht="15" customHeight="1">
      <c r="A46" s="4">
        <v>3540</v>
      </c>
      <c r="B46" s="79"/>
      <c r="C46" s="90"/>
      <c r="D46" s="73"/>
      <c r="E46" s="6"/>
      <c r="F46" s="6"/>
      <c r="G46" s="6"/>
      <c r="H46" s="6"/>
      <c r="I46" s="8"/>
      <c r="J46" s="8"/>
      <c r="K46" s="8"/>
      <c r="L46" s="8"/>
      <c r="M46" s="8"/>
      <c r="N46" s="83"/>
      <c r="O46" s="79"/>
      <c r="P46" s="6"/>
    </row>
    <row r="47" spans="1:16" ht="15" customHeight="1">
      <c r="A47" s="86">
        <v>3541</v>
      </c>
      <c r="B47" s="85"/>
      <c r="C47" s="91"/>
      <c r="D47" s="73"/>
      <c r="E47" s="6"/>
      <c r="F47" s="6"/>
      <c r="G47" s="6"/>
      <c r="H47" s="6"/>
      <c r="I47" s="8"/>
      <c r="J47" s="8"/>
      <c r="K47" s="8"/>
      <c r="L47" s="8"/>
      <c r="M47" s="8"/>
      <c r="N47" s="83"/>
      <c r="O47" s="85"/>
      <c r="P47" s="6"/>
    </row>
    <row r="48" spans="1:16" ht="15" customHeight="1">
      <c r="A48" s="86">
        <v>3542</v>
      </c>
      <c r="B48" s="172">
        <v>45854</v>
      </c>
      <c r="C48" s="172"/>
      <c r="D48" s="72">
        <v>3</v>
      </c>
      <c r="E48" s="72">
        <v>74</v>
      </c>
      <c r="F48" s="72">
        <v>74</v>
      </c>
      <c r="G48" s="72">
        <v>0</v>
      </c>
      <c r="H48" s="72">
        <v>0</v>
      </c>
      <c r="I48" s="73"/>
      <c r="J48" s="73"/>
      <c r="K48" s="73"/>
      <c r="L48" s="73"/>
      <c r="M48" s="73" t="s">
        <v>16</v>
      </c>
      <c r="N48" s="72" t="s">
        <v>17</v>
      </c>
      <c r="O48" s="139">
        <v>45854</v>
      </c>
      <c r="P48" s="72">
        <v>3542</v>
      </c>
    </row>
    <row r="49" spans="1:16" ht="15" customHeight="1">
      <c r="A49" s="86">
        <v>3543</v>
      </c>
      <c r="B49" s="146"/>
      <c r="C49" s="47"/>
      <c r="D49" s="71"/>
      <c r="E49" s="71"/>
      <c r="F49" s="71"/>
      <c r="G49" s="71"/>
      <c r="H49" s="71"/>
      <c r="I49" s="88"/>
      <c r="J49" s="88"/>
      <c r="K49" s="88"/>
      <c r="L49" s="88"/>
      <c r="M49" s="88"/>
      <c r="N49" s="71"/>
      <c r="O49" s="146"/>
      <c r="P49" s="71"/>
    </row>
    <row r="50" spans="1:16" ht="15" customHeight="1">
      <c r="A50" s="86">
        <v>3544</v>
      </c>
      <c r="B50" s="79"/>
      <c r="C50" s="79"/>
      <c r="D50" s="72"/>
      <c r="E50" s="72"/>
      <c r="F50" s="72"/>
      <c r="G50" s="72"/>
      <c r="H50" s="72"/>
      <c r="I50" s="73"/>
      <c r="J50" s="73"/>
      <c r="K50" s="73"/>
      <c r="L50" s="73"/>
      <c r="M50" s="73"/>
      <c r="N50" s="72"/>
      <c r="O50" s="71"/>
      <c r="P50" s="72"/>
    </row>
    <row r="51" spans="1:16" ht="15" customHeight="1">
      <c r="A51" s="86">
        <v>3545</v>
      </c>
      <c r="B51" s="85"/>
      <c r="C51" s="85"/>
      <c r="D51" s="72"/>
      <c r="E51" s="72"/>
      <c r="F51" s="72"/>
      <c r="G51" s="72"/>
      <c r="H51" s="72"/>
      <c r="I51" s="73"/>
      <c r="J51" s="73"/>
      <c r="K51" s="73"/>
      <c r="L51" s="73"/>
      <c r="M51" s="73"/>
      <c r="N51" s="72"/>
      <c r="O51" s="71"/>
      <c r="P51" s="72"/>
    </row>
    <row r="52" spans="1:16" ht="15" customHeight="1">
      <c r="A52" s="86">
        <v>3546</v>
      </c>
      <c r="B52" s="71"/>
      <c r="C52" s="71"/>
      <c r="D52" s="72"/>
      <c r="E52" s="6"/>
      <c r="F52" s="6"/>
      <c r="G52" s="6"/>
      <c r="H52" s="6"/>
      <c r="I52" s="8"/>
      <c r="J52" s="8"/>
      <c r="K52" s="8"/>
      <c r="L52" s="8"/>
      <c r="M52" s="8"/>
      <c r="N52" s="83"/>
      <c r="O52" s="79"/>
      <c r="P52" s="6"/>
    </row>
    <row r="53" spans="1:16" ht="15" customHeight="1">
      <c r="A53" s="86">
        <v>3547</v>
      </c>
      <c r="B53" s="71"/>
      <c r="C53" s="71"/>
      <c r="D53" s="72"/>
      <c r="E53" s="72"/>
      <c r="F53" s="72"/>
      <c r="G53" s="72"/>
      <c r="H53" s="72"/>
      <c r="I53" s="73"/>
      <c r="J53" s="73"/>
      <c r="K53" s="73"/>
      <c r="L53" s="73"/>
      <c r="M53" s="73"/>
      <c r="N53" s="72"/>
      <c r="O53" s="71"/>
      <c r="P53" s="72"/>
    </row>
    <row r="54" spans="1:16" ht="15" customHeight="1">
      <c r="A54" s="86">
        <v>3548</v>
      </c>
      <c r="B54" s="71"/>
      <c r="C54" s="71"/>
      <c r="D54" s="72"/>
      <c r="E54" s="72"/>
      <c r="F54" s="72"/>
      <c r="G54" s="72"/>
      <c r="H54" s="72"/>
      <c r="I54" s="73"/>
      <c r="J54" s="73"/>
      <c r="K54" s="73"/>
      <c r="L54" s="73"/>
      <c r="M54" s="73"/>
      <c r="N54" s="72"/>
      <c r="O54" s="71"/>
      <c r="P54" s="72"/>
    </row>
    <row r="55" spans="1:16" ht="15" customHeight="1">
      <c r="A55" s="86">
        <v>3549</v>
      </c>
      <c r="B55" s="71"/>
      <c r="C55" s="71"/>
      <c r="D55" s="72"/>
      <c r="E55" s="72"/>
      <c r="F55" s="72"/>
      <c r="G55" s="72"/>
      <c r="H55" s="72"/>
      <c r="I55" s="73"/>
      <c r="J55" s="73"/>
      <c r="K55" s="73"/>
      <c r="L55" s="73"/>
      <c r="M55" s="73"/>
      <c r="N55" s="72"/>
      <c r="O55" s="71"/>
      <c r="P55" s="72"/>
    </row>
    <row r="56" spans="1:16" ht="15" customHeight="1">
      <c r="A56" s="87">
        <v>3550</v>
      </c>
      <c r="B56" s="71"/>
      <c r="C56" s="71"/>
      <c r="D56" s="72"/>
      <c r="E56" s="72"/>
      <c r="F56" s="72"/>
      <c r="G56" s="72"/>
      <c r="H56" s="72"/>
      <c r="I56" s="73"/>
      <c r="J56" s="73"/>
      <c r="K56" s="73"/>
      <c r="L56" s="73"/>
      <c r="M56" s="73"/>
      <c r="N56" s="72"/>
      <c r="O56" s="71"/>
      <c r="P56" s="72"/>
    </row>
    <row r="57" spans="1:16" ht="15" customHeight="1">
      <c r="A57" s="4">
        <v>3551</v>
      </c>
      <c r="B57" s="71"/>
      <c r="C57" s="71"/>
      <c r="D57" s="72"/>
      <c r="E57" s="72"/>
      <c r="F57" s="72"/>
      <c r="G57" s="72"/>
      <c r="H57" s="72"/>
      <c r="I57" s="73"/>
      <c r="J57" s="73"/>
      <c r="K57" s="73"/>
      <c r="L57" s="73"/>
      <c r="M57" s="73"/>
      <c r="N57" s="72"/>
      <c r="O57" s="71"/>
      <c r="P57" s="72"/>
    </row>
    <row r="58" spans="1:16" ht="15" customHeight="1">
      <c r="A58" s="86">
        <v>3552</v>
      </c>
      <c r="B58" s="79"/>
      <c r="C58" s="79"/>
      <c r="D58" s="72"/>
      <c r="E58" s="72"/>
      <c r="F58" s="72"/>
      <c r="G58" s="72"/>
      <c r="H58" s="72"/>
      <c r="I58" s="73"/>
      <c r="J58" s="73"/>
      <c r="K58" s="73"/>
      <c r="L58" s="73"/>
      <c r="M58" s="73"/>
      <c r="N58" s="72"/>
      <c r="O58" s="71"/>
      <c r="P58" s="72"/>
    </row>
    <row r="59" spans="1:16" ht="15" customHeight="1">
      <c r="A59" s="86">
        <v>3553</v>
      </c>
      <c r="B59" s="85"/>
      <c r="C59" s="85"/>
      <c r="D59" s="72"/>
      <c r="E59" s="72"/>
      <c r="F59" s="72"/>
      <c r="G59" s="72"/>
      <c r="H59" s="72"/>
      <c r="I59" s="73"/>
      <c r="J59" s="73"/>
      <c r="K59" s="73"/>
      <c r="L59" s="73"/>
      <c r="M59" s="73"/>
      <c r="N59" s="72"/>
      <c r="O59" s="71"/>
      <c r="P59" s="72"/>
    </row>
    <row r="60" spans="1:16" ht="15" customHeight="1">
      <c r="A60" s="86">
        <v>3554</v>
      </c>
      <c r="B60" s="71"/>
      <c r="C60" s="88"/>
      <c r="D60" s="73"/>
      <c r="E60" s="6"/>
      <c r="F60" s="6"/>
      <c r="G60" s="6"/>
      <c r="H60" s="6"/>
      <c r="I60" s="8"/>
      <c r="J60" s="8"/>
      <c r="K60" s="8"/>
      <c r="L60" s="8"/>
      <c r="M60" s="8"/>
      <c r="N60" s="83"/>
      <c r="O60" s="79"/>
      <c r="P60" s="6"/>
    </row>
    <row r="61" spans="1:16" ht="15" customHeight="1">
      <c r="A61" s="86">
        <v>3555</v>
      </c>
      <c r="B61" s="85"/>
      <c r="C61" s="85"/>
      <c r="D61" s="72"/>
      <c r="E61" s="17"/>
      <c r="F61" s="17"/>
      <c r="G61" s="17"/>
      <c r="H61" s="17"/>
      <c r="I61" s="17"/>
      <c r="J61" s="17"/>
      <c r="K61" s="17"/>
      <c r="L61" s="17"/>
      <c r="M61" s="17"/>
      <c r="N61" s="92"/>
      <c r="O61" s="85"/>
      <c r="P61" s="17"/>
    </row>
    <row r="62" spans="1:16" ht="15" customHeight="1">
      <c r="A62" s="86">
        <v>3556</v>
      </c>
      <c r="B62" s="71"/>
      <c r="C62" s="71"/>
      <c r="D62" s="72"/>
      <c r="E62" s="72"/>
      <c r="F62" s="72"/>
      <c r="G62" s="72"/>
      <c r="H62" s="72"/>
      <c r="I62" s="73"/>
      <c r="J62" s="73"/>
      <c r="K62" s="73"/>
      <c r="L62" s="73"/>
      <c r="M62" s="73"/>
      <c r="N62" s="72"/>
      <c r="O62" s="71"/>
      <c r="P62" s="72"/>
    </row>
    <row r="63" spans="1:16" ht="15" customHeight="1">
      <c r="A63" s="86">
        <v>3557</v>
      </c>
      <c r="B63" s="173">
        <v>45854</v>
      </c>
      <c r="C63" s="48"/>
      <c r="D63" s="93">
        <v>3</v>
      </c>
      <c r="E63" s="18">
        <v>38</v>
      </c>
      <c r="F63" s="18">
        <v>38</v>
      </c>
      <c r="G63" s="18">
        <v>0</v>
      </c>
      <c r="H63" s="18">
        <v>0</v>
      </c>
      <c r="I63" s="19"/>
      <c r="J63" s="19"/>
      <c r="K63" s="19"/>
      <c r="L63" s="19"/>
      <c r="M63" s="19" t="s">
        <v>16</v>
      </c>
      <c r="N63" s="79" t="s">
        <v>17</v>
      </c>
      <c r="O63" s="174">
        <v>45854</v>
      </c>
      <c r="P63" s="18">
        <v>3557</v>
      </c>
    </row>
    <row r="64" spans="1:16" ht="15" customHeight="1">
      <c r="A64" s="86">
        <v>3558</v>
      </c>
      <c r="B64" s="85"/>
      <c r="C64" s="85"/>
      <c r="D64" s="175"/>
      <c r="E64" s="72"/>
      <c r="F64" s="72"/>
      <c r="G64" s="72"/>
      <c r="H64" s="72"/>
      <c r="I64" s="73"/>
      <c r="J64" s="73"/>
      <c r="K64" s="73"/>
      <c r="L64" s="73"/>
      <c r="M64" s="73"/>
      <c r="N64" s="72"/>
      <c r="O64" s="71"/>
      <c r="P64" s="72"/>
    </row>
    <row r="65" spans="1:16" ht="15" customHeight="1">
      <c r="A65" s="86">
        <v>3559</v>
      </c>
      <c r="B65" s="71"/>
      <c r="C65" s="71"/>
      <c r="D65" s="93"/>
      <c r="E65" s="93"/>
      <c r="F65" s="93"/>
      <c r="G65" s="93"/>
      <c r="H65" s="93"/>
      <c r="I65" s="176"/>
      <c r="J65" s="176"/>
      <c r="K65" s="176"/>
      <c r="L65" s="176"/>
      <c r="M65" s="176"/>
      <c r="N65" s="71"/>
      <c r="O65" s="71"/>
      <c r="P65" s="93"/>
    </row>
    <row r="66" spans="1:16" ht="15" customHeight="1">
      <c r="A66" s="5">
        <v>3560</v>
      </c>
      <c r="B66" s="71"/>
      <c r="C66" s="71"/>
      <c r="D66" s="72"/>
      <c r="E66" s="72"/>
      <c r="F66" s="72"/>
      <c r="G66" s="72"/>
      <c r="H66" s="72"/>
      <c r="I66" s="73"/>
      <c r="J66" s="73"/>
      <c r="K66" s="73"/>
      <c r="L66" s="73"/>
      <c r="M66" s="73"/>
      <c r="N66" s="72"/>
      <c r="O66" s="79"/>
      <c r="P66" s="72"/>
    </row>
    <row r="67" spans="1:16" ht="15" customHeight="1">
      <c r="A67" s="177">
        <v>3561</v>
      </c>
      <c r="B67" s="172">
        <v>45855</v>
      </c>
      <c r="C67" s="172"/>
      <c r="D67" s="72">
        <v>2</v>
      </c>
      <c r="E67" s="72">
        <v>50</v>
      </c>
      <c r="F67" s="72">
        <v>50</v>
      </c>
      <c r="G67" s="72">
        <v>0</v>
      </c>
      <c r="H67" s="72">
        <v>0</v>
      </c>
      <c r="I67" s="73"/>
      <c r="J67" s="73"/>
      <c r="K67" s="73"/>
      <c r="L67" s="73"/>
      <c r="M67" s="73" t="s">
        <v>16</v>
      </c>
      <c r="N67" s="72" t="s">
        <v>17</v>
      </c>
      <c r="O67" s="139">
        <v>45855</v>
      </c>
      <c r="P67" s="72">
        <v>3561</v>
      </c>
    </row>
    <row r="68" spans="1:16" ht="18.75">
      <c r="A68" s="177">
        <v>3562</v>
      </c>
      <c r="B68" s="71"/>
      <c r="C68" s="71"/>
      <c r="D68" s="72"/>
      <c r="E68" s="72"/>
      <c r="F68" s="72"/>
      <c r="G68" s="72"/>
      <c r="H68" s="72"/>
      <c r="I68" s="73"/>
      <c r="J68" s="73"/>
      <c r="K68" s="73"/>
      <c r="L68" s="73"/>
      <c r="M68" s="73"/>
      <c r="N68" s="72"/>
      <c r="O68" s="71"/>
      <c r="P68" s="72"/>
    </row>
    <row r="69" spans="1:16" ht="18.75">
      <c r="A69" s="177">
        <v>3563</v>
      </c>
      <c r="B69" s="71"/>
      <c r="C69" s="71"/>
      <c r="D69" s="72"/>
      <c r="E69" s="6"/>
      <c r="F69" s="6"/>
      <c r="G69" s="6"/>
      <c r="H69" s="6"/>
      <c r="I69" s="8"/>
      <c r="J69" s="8"/>
      <c r="K69" s="8"/>
      <c r="L69" s="8"/>
      <c r="M69" s="8"/>
      <c r="N69" s="83"/>
      <c r="O69" s="71"/>
      <c r="P69" s="6"/>
    </row>
    <row r="70" spans="1:16" ht="18.75">
      <c r="A70" s="177">
        <v>3564</v>
      </c>
      <c r="B70" s="71"/>
      <c r="C70" s="71"/>
      <c r="D70" s="72"/>
      <c r="E70" s="6"/>
      <c r="F70" s="6"/>
      <c r="G70" s="6"/>
      <c r="H70" s="6"/>
      <c r="I70" s="8"/>
      <c r="J70" s="8"/>
      <c r="K70" s="8"/>
      <c r="L70" s="8"/>
      <c r="M70" s="8"/>
      <c r="N70" s="83"/>
      <c r="O70" s="71"/>
      <c r="P70" s="6"/>
    </row>
    <row r="71" spans="1:16" ht="18.75">
      <c r="A71" s="177">
        <v>3565</v>
      </c>
      <c r="B71" s="79"/>
      <c r="C71" s="79"/>
      <c r="D71" s="72"/>
      <c r="E71" s="72"/>
      <c r="F71" s="72"/>
      <c r="G71" s="72"/>
      <c r="H71" s="72"/>
      <c r="I71" s="73"/>
      <c r="J71" s="73"/>
      <c r="K71" s="73"/>
      <c r="L71" s="73"/>
      <c r="M71" s="73"/>
      <c r="N71" s="72"/>
      <c r="O71" s="71"/>
      <c r="P71" s="72"/>
    </row>
    <row r="72" spans="1:16" ht="18.75">
      <c r="A72" s="177">
        <v>3566</v>
      </c>
      <c r="B72" s="71"/>
      <c r="C72" s="71"/>
      <c r="D72" s="72"/>
      <c r="E72" s="72"/>
      <c r="F72" s="72"/>
      <c r="G72" s="72"/>
      <c r="H72" s="72"/>
      <c r="I72" s="73"/>
      <c r="J72" s="73"/>
      <c r="K72" s="73"/>
      <c r="L72" s="73"/>
      <c r="M72" s="73"/>
      <c r="N72" s="72"/>
      <c r="O72" s="71"/>
      <c r="P72" s="72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/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63" t="s">
        <v>1</v>
      </c>
      <c r="C1" s="63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60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185" t="s">
        <v>13</v>
      </c>
      <c r="O1" s="186" t="s">
        <v>14</v>
      </c>
      <c r="P1" s="187" t="s">
        <v>15</v>
      </c>
    </row>
    <row r="2" spans="1:21" ht="15" customHeight="1">
      <c r="A2" s="3">
        <v>3231</v>
      </c>
      <c r="B2" s="188"/>
      <c r="C2" s="188"/>
      <c r="D2" s="189"/>
      <c r="E2" s="189"/>
      <c r="F2" s="189"/>
      <c r="G2" s="189"/>
      <c r="H2" s="189"/>
      <c r="I2" s="190"/>
      <c r="J2" s="190"/>
      <c r="K2" s="190"/>
      <c r="L2" s="190"/>
      <c r="M2" s="190"/>
      <c r="N2" s="189"/>
      <c r="O2" s="188"/>
      <c r="P2" s="189"/>
      <c r="R2" s="94" t="s">
        <v>18</v>
      </c>
      <c r="S2" s="95"/>
      <c r="T2" s="95"/>
      <c r="U2" s="96"/>
    </row>
    <row r="3" spans="1:21" ht="15" customHeight="1">
      <c r="A3" s="191">
        <v>3232</v>
      </c>
      <c r="B3" s="188"/>
      <c r="C3" s="188"/>
      <c r="D3" s="189"/>
      <c r="E3" s="189"/>
      <c r="F3" s="189"/>
      <c r="G3" s="189"/>
      <c r="H3" s="189"/>
      <c r="I3" s="190"/>
      <c r="J3" s="190"/>
      <c r="K3" s="190"/>
      <c r="L3" s="190"/>
      <c r="M3" s="190"/>
      <c r="N3" s="189"/>
      <c r="O3" s="188"/>
      <c r="P3" s="189"/>
      <c r="R3" s="192" t="s">
        <v>19</v>
      </c>
      <c r="S3" s="193" t="s">
        <v>20</v>
      </c>
      <c r="T3" s="194" t="s">
        <v>31</v>
      </c>
      <c r="U3" s="195" t="s">
        <v>22</v>
      </c>
    </row>
    <row r="4" spans="1:21" ht="15" customHeight="1">
      <c r="A4" s="191">
        <v>3233</v>
      </c>
      <c r="B4" s="196"/>
      <c r="C4" s="196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189"/>
      <c r="O4" s="196"/>
      <c r="P4" s="189"/>
      <c r="R4" s="197">
        <v>36</v>
      </c>
      <c r="S4" s="198">
        <f>COUNTA(A:A)-1</f>
        <v>72</v>
      </c>
      <c r="T4" s="198">
        <f>COUNTA(O:O)-1</f>
        <v>0</v>
      </c>
      <c r="U4" s="199">
        <f>T4/S4</f>
        <v>0</v>
      </c>
    </row>
    <row r="5" spans="1:21" ht="15" customHeight="1">
      <c r="A5" s="191">
        <v>3234</v>
      </c>
      <c r="B5" s="188"/>
      <c r="C5" s="188"/>
      <c r="D5" s="189"/>
      <c r="E5" s="189"/>
      <c r="F5" s="189"/>
      <c r="G5" s="189"/>
      <c r="H5" s="189"/>
      <c r="I5" s="190"/>
      <c r="J5" s="190"/>
      <c r="K5" s="190"/>
      <c r="L5" s="190"/>
      <c r="M5" s="190"/>
      <c r="N5" s="189"/>
      <c r="O5" s="188"/>
      <c r="P5" s="189"/>
    </row>
    <row r="6" spans="1:21" ht="15" customHeight="1">
      <c r="A6" s="191">
        <v>3235</v>
      </c>
      <c r="B6" s="188"/>
      <c r="C6" s="188"/>
      <c r="D6" s="189"/>
      <c r="E6" s="189"/>
      <c r="F6" s="189"/>
      <c r="G6" s="189"/>
      <c r="H6" s="189"/>
      <c r="I6" s="190"/>
      <c r="J6" s="190"/>
      <c r="K6" s="190"/>
      <c r="L6" s="190"/>
      <c r="M6" s="190"/>
      <c r="N6" s="189"/>
      <c r="O6" s="188"/>
      <c r="P6" s="189"/>
    </row>
    <row r="7" spans="1:21" ht="15" customHeight="1">
      <c r="A7" s="191">
        <v>3236</v>
      </c>
      <c r="B7" s="188"/>
      <c r="C7" s="188"/>
      <c r="D7" s="189"/>
      <c r="E7" s="6"/>
      <c r="F7" s="6"/>
      <c r="G7" s="6"/>
      <c r="H7" s="6"/>
      <c r="I7" s="8"/>
      <c r="J7" s="8"/>
      <c r="K7" s="8"/>
      <c r="L7" s="8"/>
      <c r="M7" s="8"/>
      <c r="N7" s="200"/>
      <c r="O7" s="188"/>
      <c r="P7" s="6"/>
    </row>
    <row r="8" spans="1:21" ht="15" customHeight="1">
      <c r="A8" s="191">
        <v>3237</v>
      </c>
      <c r="B8" s="188"/>
      <c r="C8" s="188"/>
      <c r="D8" s="189"/>
      <c r="E8" s="189"/>
      <c r="F8" s="189"/>
      <c r="G8" s="189"/>
      <c r="H8" s="189"/>
      <c r="I8" s="190"/>
      <c r="J8" s="190"/>
      <c r="K8" s="190"/>
      <c r="L8" s="190"/>
      <c r="M8" s="190"/>
      <c r="N8" s="189"/>
      <c r="O8" s="188"/>
      <c r="P8" s="189"/>
    </row>
    <row r="9" spans="1:21" ht="15" customHeight="1">
      <c r="A9" s="191">
        <v>3238</v>
      </c>
      <c r="B9" s="188"/>
      <c r="C9" s="188"/>
      <c r="D9" s="189"/>
      <c r="E9" s="189"/>
      <c r="F9" s="189"/>
      <c r="G9" s="189"/>
      <c r="H9" s="189"/>
      <c r="I9" s="190"/>
      <c r="J9" s="190"/>
      <c r="K9" s="190"/>
      <c r="L9" s="190"/>
      <c r="M9" s="190"/>
      <c r="N9" s="189"/>
      <c r="O9" s="188"/>
      <c r="P9" s="189"/>
    </row>
    <row r="10" spans="1:21" ht="15" customHeight="1">
      <c r="A10" s="191">
        <v>3239</v>
      </c>
      <c r="B10" s="188"/>
      <c r="C10" s="188"/>
      <c r="D10" s="189"/>
      <c r="E10" s="189"/>
      <c r="F10" s="189"/>
      <c r="G10" s="189"/>
      <c r="H10" s="189"/>
      <c r="I10" s="190"/>
      <c r="J10" s="190"/>
      <c r="K10" s="190"/>
      <c r="L10" s="190"/>
      <c r="M10" s="190"/>
      <c r="N10" s="189"/>
      <c r="O10" s="188"/>
      <c r="P10" s="189"/>
    </row>
    <row r="11" spans="1:21" ht="15" customHeight="1">
      <c r="A11" s="191">
        <v>3240</v>
      </c>
      <c r="B11" s="188"/>
      <c r="C11" s="188"/>
      <c r="D11" s="189"/>
      <c r="E11" s="189"/>
      <c r="F11" s="189"/>
      <c r="G11" s="189"/>
      <c r="H11" s="189"/>
      <c r="I11" s="190"/>
      <c r="J11" s="190"/>
      <c r="K11" s="190"/>
      <c r="L11" s="190"/>
      <c r="M11" s="190"/>
      <c r="N11" s="189"/>
      <c r="O11" s="188"/>
      <c r="P11" s="189"/>
    </row>
    <row r="12" spans="1:21" ht="15" customHeight="1">
      <c r="A12" s="201">
        <v>3241</v>
      </c>
      <c r="B12" s="196"/>
      <c r="C12" s="196"/>
      <c r="D12" s="189"/>
      <c r="E12" s="189"/>
      <c r="F12" s="189"/>
      <c r="G12" s="189"/>
      <c r="H12" s="189"/>
      <c r="I12" s="190"/>
      <c r="J12" s="190"/>
      <c r="K12" s="190"/>
      <c r="L12" s="190"/>
      <c r="M12" s="190"/>
      <c r="N12" s="189"/>
      <c r="O12" s="196"/>
      <c r="P12" s="189"/>
    </row>
    <row r="13" spans="1:21" ht="15" customHeight="1">
      <c r="A13" s="4">
        <v>3242</v>
      </c>
      <c r="B13" s="202"/>
      <c r="C13" s="202"/>
      <c r="D13" s="189"/>
      <c r="E13" s="189"/>
      <c r="F13" s="189"/>
      <c r="G13" s="189"/>
      <c r="H13" s="189"/>
      <c r="I13" s="190"/>
      <c r="J13" s="190"/>
      <c r="K13" s="190"/>
      <c r="L13" s="190"/>
      <c r="M13" s="190"/>
      <c r="N13" s="189"/>
      <c r="O13" s="202"/>
      <c r="P13" s="189"/>
    </row>
    <row r="14" spans="1:21" ht="15" customHeight="1">
      <c r="A14" s="203">
        <v>3243</v>
      </c>
      <c r="B14" s="188"/>
      <c r="C14" s="188"/>
      <c r="D14" s="189"/>
      <c r="E14" s="189"/>
      <c r="F14" s="189"/>
      <c r="G14" s="189"/>
      <c r="H14" s="189"/>
      <c r="I14" s="190"/>
      <c r="J14" s="190"/>
      <c r="K14" s="190"/>
      <c r="L14" s="190"/>
      <c r="M14" s="190"/>
      <c r="N14" s="189"/>
      <c r="O14" s="188"/>
      <c r="P14" s="189"/>
    </row>
    <row r="15" spans="1:21" ht="15" customHeight="1">
      <c r="A15" s="203">
        <v>3244</v>
      </c>
      <c r="B15" s="188"/>
      <c r="C15" s="188"/>
      <c r="D15" s="189"/>
      <c r="E15" s="189"/>
      <c r="F15" s="189"/>
      <c r="G15" s="189"/>
      <c r="H15" s="189"/>
      <c r="I15" s="190"/>
      <c r="J15" s="190"/>
      <c r="K15" s="190"/>
      <c r="L15" s="190"/>
      <c r="M15" s="190"/>
      <c r="N15" s="189"/>
      <c r="O15" s="188"/>
      <c r="P15" s="189"/>
    </row>
    <row r="16" spans="1:21" ht="15" customHeight="1">
      <c r="A16" s="203">
        <v>3245</v>
      </c>
      <c r="B16" s="188"/>
      <c r="C16" s="188"/>
      <c r="D16" s="189"/>
      <c r="E16" s="189"/>
      <c r="F16" s="189"/>
      <c r="G16" s="189"/>
      <c r="H16" s="189"/>
      <c r="I16" s="190"/>
      <c r="J16" s="190"/>
      <c r="K16" s="190"/>
      <c r="L16" s="190"/>
      <c r="M16" s="190"/>
      <c r="N16" s="189"/>
      <c r="O16" s="188"/>
      <c r="P16" s="189"/>
    </row>
    <row r="17" spans="1:16" ht="15" customHeight="1">
      <c r="A17" s="203">
        <v>3246</v>
      </c>
      <c r="B17" s="196"/>
      <c r="C17" s="196"/>
      <c r="D17" s="189"/>
      <c r="E17" s="6"/>
      <c r="F17" s="6"/>
      <c r="G17" s="6"/>
      <c r="H17" s="6"/>
      <c r="I17" s="8"/>
      <c r="J17" s="8"/>
      <c r="K17" s="8"/>
      <c r="L17" s="8"/>
      <c r="M17" s="8"/>
      <c r="N17" s="200"/>
      <c r="O17" s="196"/>
      <c r="P17" s="6"/>
    </row>
    <row r="18" spans="1:16" ht="15" customHeight="1">
      <c r="A18" s="203">
        <v>3247</v>
      </c>
      <c r="B18" s="188"/>
      <c r="C18" s="188"/>
      <c r="D18" s="189"/>
      <c r="E18" s="7"/>
      <c r="F18" s="7"/>
      <c r="G18" s="7"/>
      <c r="H18" s="7"/>
      <c r="I18" s="7"/>
      <c r="J18" s="7"/>
      <c r="K18" s="7"/>
      <c r="L18" s="7"/>
      <c r="M18" s="7"/>
      <c r="N18" s="200"/>
      <c r="O18" s="188"/>
      <c r="P18" s="7"/>
    </row>
    <row r="19" spans="1:16" ht="15" customHeight="1">
      <c r="A19" s="203">
        <v>3248</v>
      </c>
      <c r="B19" s="188"/>
      <c r="C19" s="188"/>
      <c r="D19" s="189"/>
      <c r="E19" s="189"/>
      <c r="F19" s="189"/>
      <c r="G19" s="189"/>
      <c r="H19" s="189"/>
      <c r="I19" s="190"/>
      <c r="J19" s="190"/>
      <c r="K19" s="190"/>
      <c r="L19" s="190"/>
      <c r="M19" s="190"/>
      <c r="N19" s="189"/>
      <c r="O19" s="188"/>
      <c r="P19" s="189"/>
    </row>
    <row r="20" spans="1:16" ht="15" customHeight="1">
      <c r="A20" s="203">
        <v>3250</v>
      </c>
      <c r="B20" s="188"/>
      <c r="C20" s="188"/>
      <c r="D20" s="189"/>
      <c r="E20" s="189"/>
      <c r="F20" s="189"/>
      <c r="G20" s="189"/>
      <c r="H20" s="189"/>
      <c r="I20" s="190"/>
      <c r="J20" s="190"/>
      <c r="K20" s="190"/>
      <c r="L20" s="190"/>
      <c r="M20" s="190"/>
      <c r="N20" s="189"/>
      <c r="O20" s="188"/>
      <c r="P20" s="189"/>
    </row>
    <row r="21" spans="1:16" ht="15" customHeight="1">
      <c r="A21" s="203">
        <v>3251</v>
      </c>
      <c r="B21" s="188"/>
      <c r="C21" s="188"/>
      <c r="D21" s="189"/>
      <c r="E21" s="189"/>
      <c r="F21" s="189"/>
      <c r="G21" s="189"/>
      <c r="H21" s="189"/>
      <c r="I21" s="190"/>
      <c r="J21" s="190"/>
      <c r="K21" s="190"/>
      <c r="L21" s="190"/>
      <c r="M21" s="190"/>
      <c r="N21" s="189"/>
      <c r="O21" s="188"/>
      <c r="P21" s="189"/>
    </row>
    <row r="22" spans="1:16" ht="15" customHeight="1">
      <c r="A22" s="203">
        <v>3252</v>
      </c>
      <c r="B22" s="188"/>
      <c r="C22" s="188"/>
      <c r="D22" s="189"/>
      <c r="E22" s="189"/>
      <c r="F22" s="189"/>
      <c r="G22" s="189"/>
      <c r="H22" s="189"/>
      <c r="I22" s="190"/>
      <c r="J22" s="190"/>
      <c r="K22" s="190"/>
      <c r="L22" s="190"/>
      <c r="M22" s="190"/>
      <c r="N22" s="189"/>
      <c r="O22" s="188"/>
      <c r="P22" s="189"/>
    </row>
    <row r="23" spans="1:16" ht="15" customHeight="1">
      <c r="A23" s="204">
        <v>3253</v>
      </c>
      <c r="B23" s="188"/>
      <c r="C23" s="188"/>
      <c r="D23" s="189"/>
      <c r="E23" s="189"/>
      <c r="F23" s="189"/>
      <c r="G23" s="189"/>
      <c r="H23" s="189"/>
      <c r="I23" s="190"/>
      <c r="J23" s="190"/>
      <c r="K23" s="190"/>
      <c r="L23" s="190"/>
      <c r="M23" s="190"/>
      <c r="N23" s="189"/>
      <c r="O23" s="188"/>
      <c r="P23" s="189"/>
    </row>
    <row r="24" spans="1:16" ht="15" customHeight="1">
      <c r="A24" s="4">
        <v>3254</v>
      </c>
      <c r="B24" s="188"/>
      <c r="C24" s="188"/>
      <c r="D24" s="189"/>
      <c r="E24" s="189"/>
      <c r="F24" s="189"/>
      <c r="G24" s="189"/>
      <c r="H24" s="189"/>
      <c r="I24" s="190"/>
      <c r="J24" s="190"/>
      <c r="K24" s="190"/>
      <c r="L24" s="190"/>
      <c r="M24" s="190"/>
      <c r="N24" s="189"/>
      <c r="O24" s="188"/>
      <c r="P24" s="189"/>
    </row>
    <row r="25" spans="1:16" ht="15" customHeight="1">
      <c r="A25" s="203">
        <v>3255</v>
      </c>
      <c r="B25" s="196"/>
      <c r="C25" s="196"/>
      <c r="D25" s="189"/>
      <c r="E25" s="189"/>
      <c r="F25" s="189"/>
      <c r="G25" s="189"/>
      <c r="H25" s="189"/>
      <c r="I25" s="190"/>
      <c r="J25" s="190"/>
      <c r="K25" s="190"/>
      <c r="L25" s="190"/>
      <c r="M25" s="190"/>
      <c r="N25" s="189"/>
      <c r="O25" s="196"/>
      <c r="P25" s="189"/>
    </row>
    <row r="26" spans="1:16" ht="15" customHeight="1">
      <c r="A26" s="203">
        <v>3256</v>
      </c>
      <c r="B26" s="202"/>
      <c r="C26" s="202"/>
      <c r="D26" s="189"/>
      <c r="E26" s="189"/>
      <c r="F26" s="189"/>
      <c r="G26" s="189"/>
      <c r="H26" s="189"/>
      <c r="I26" s="190"/>
      <c r="J26" s="190"/>
      <c r="K26" s="190"/>
      <c r="L26" s="190"/>
      <c r="M26" s="190"/>
      <c r="N26" s="189"/>
      <c r="O26" s="202"/>
      <c r="P26" s="189"/>
    </row>
    <row r="27" spans="1:16" ht="15" customHeight="1">
      <c r="A27" s="203">
        <v>3258</v>
      </c>
      <c r="B27" s="188"/>
      <c r="C27" s="188"/>
      <c r="D27" s="189"/>
      <c r="E27" s="189"/>
      <c r="F27" s="189"/>
      <c r="G27" s="189"/>
      <c r="H27" s="189"/>
      <c r="I27" s="190"/>
      <c r="J27" s="190"/>
      <c r="K27" s="190"/>
      <c r="L27" s="190"/>
      <c r="M27" s="190"/>
      <c r="N27" s="189"/>
      <c r="O27" s="188"/>
      <c r="P27" s="189"/>
    </row>
    <row r="28" spans="1:16" ht="15" customHeight="1">
      <c r="A28" s="203">
        <v>3259</v>
      </c>
      <c r="B28" s="188"/>
      <c r="C28" s="188"/>
      <c r="D28" s="189"/>
      <c r="E28" s="7"/>
      <c r="F28" s="7"/>
      <c r="G28" s="7"/>
      <c r="H28" s="7"/>
      <c r="I28" s="7"/>
      <c r="J28" s="7"/>
      <c r="K28" s="7"/>
      <c r="L28" s="7"/>
      <c r="M28" s="7"/>
      <c r="N28" s="200"/>
      <c r="O28" s="188"/>
      <c r="P28" s="7"/>
    </row>
    <row r="29" spans="1:16" ht="15" customHeight="1">
      <c r="A29" s="203">
        <v>3260</v>
      </c>
      <c r="B29" s="188"/>
      <c r="C29" s="205"/>
      <c r="D29" s="190"/>
      <c r="E29" s="6"/>
      <c r="F29" s="6"/>
      <c r="G29" s="6"/>
      <c r="H29" s="6"/>
      <c r="I29" s="8"/>
      <c r="J29" s="8"/>
      <c r="K29" s="8"/>
      <c r="L29" s="8"/>
      <c r="M29" s="8"/>
      <c r="N29" s="200"/>
      <c r="O29" s="188"/>
      <c r="P29" s="6"/>
    </row>
    <row r="30" spans="1:16" ht="15" customHeight="1">
      <c r="A30" s="203">
        <v>3261</v>
      </c>
      <c r="B30" s="196"/>
      <c r="D30" s="11"/>
      <c r="E30" s="15"/>
      <c r="F30" s="15"/>
      <c r="G30" s="15"/>
      <c r="H30" s="15"/>
      <c r="I30" s="16"/>
      <c r="J30" s="16"/>
      <c r="K30" s="16"/>
      <c r="L30" s="16"/>
      <c r="M30" s="16"/>
      <c r="N30" s="206"/>
      <c r="O30" s="196"/>
      <c r="P30" s="15"/>
    </row>
    <row r="31" spans="1:16" ht="15" customHeight="1">
      <c r="A31" s="203">
        <v>3262</v>
      </c>
      <c r="B31" s="188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  <c r="N31" s="188"/>
      <c r="O31" s="188"/>
      <c r="P31" s="12"/>
    </row>
    <row r="32" spans="1:16" ht="15" customHeight="1">
      <c r="A32" s="203">
        <v>3263</v>
      </c>
      <c r="B32" s="188"/>
      <c r="C32" s="188"/>
      <c r="D32" s="189"/>
      <c r="E32" s="189"/>
      <c r="F32" s="189"/>
      <c r="G32" s="189"/>
      <c r="H32" s="189"/>
      <c r="I32" s="190"/>
      <c r="J32" s="190"/>
      <c r="K32" s="190"/>
      <c r="L32" s="190"/>
      <c r="M32" s="190"/>
      <c r="N32" s="189"/>
      <c r="O32" s="188"/>
      <c r="P32" s="189"/>
    </row>
    <row r="33" spans="1:16" ht="15" customHeight="1">
      <c r="A33" s="203">
        <v>3264</v>
      </c>
      <c r="B33" s="188"/>
      <c r="C33" s="188"/>
      <c r="D33" s="189"/>
      <c r="E33" s="189"/>
      <c r="F33" s="189"/>
      <c r="G33" s="189"/>
      <c r="H33" s="189"/>
      <c r="I33" s="190"/>
      <c r="J33" s="190"/>
      <c r="K33" s="190"/>
      <c r="L33" s="190"/>
      <c r="M33" s="190"/>
      <c r="N33" s="189"/>
      <c r="O33" s="188"/>
      <c r="P33" s="189"/>
    </row>
    <row r="34" spans="1:16" ht="15" customHeight="1">
      <c r="A34" s="204">
        <v>3265</v>
      </c>
      <c r="B34" s="188"/>
      <c r="C34" s="188"/>
      <c r="D34" s="189"/>
      <c r="E34" s="189"/>
      <c r="F34" s="189"/>
      <c r="G34" s="189"/>
      <c r="H34" s="189"/>
      <c r="I34" s="190"/>
      <c r="J34" s="190"/>
      <c r="K34" s="190"/>
      <c r="L34" s="190"/>
      <c r="M34" s="190"/>
      <c r="N34" s="189"/>
      <c r="O34" s="188"/>
      <c r="P34" s="189"/>
    </row>
    <row r="35" spans="1:16" ht="15" customHeight="1">
      <c r="A35" s="4">
        <v>3266</v>
      </c>
      <c r="B35" s="188"/>
      <c r="C35" s="188"/>
      <c r="D35" s="189"/>
      <c r="E35" s="189"/>
      <c r="F35" s="189"/>
      <c r="G35" s="189"/>
      <c r="H35" s="189"/>
      <c r="I35" s="190"/>
      <c r="J35" s="190"/>
      <c r="K35" s="190"/>
      <c r="L35" s="190"/>
      <c r="M35" s="190"/>
      <c r="N35" s="189"/>
      <c r="O35" s="188"/>
      <c r="P35" s="189"/>
    </row>
    <row r="36" spans="1:16" ht="15" customHeight="1">
      <c r="A36" s="203">
        <v>3267</v>
      </c>
      <c r="B36" s="188"/>
      <c r="C36" s="188"/>
      <c r="D36" s="189"/>
      <c r="E36" s="189"/>
      <c r="F36" s="189"/>
      <c r="G36" s="189"/>
      <c r="H36" s="189"/>
      <c r="I36" s="190"/>
      <c r="J36" s="190"/>
      <c r="K36" s="190"/>
      <c r="L36" s="190"/>
      <c r="M36" s="190"/>
      <c r="N36" s="189"/>
      <c r="O36" s="188"/>
      <c r="P36" s="189"/>
    </row>
    <row r="37" spans="1:16" ht="15" customHeight="1">
      <c r="A37" s="203">
        <v>3299</v>
      </c>
      <c r="B37" s="188"/>
      <c r="C37" s="188"/>
      <c r="D37" s="189"/>
      <c r="E37" s="189"/>
      <c r="F37" s="189"/>
      <c r="G37" s="189"/>
      <c r="H37" s="189"/>
      <c r="I37" s="190"/>
      <c r="J37" s="190"/>
      <c r="K37" s="190"/>
      <c r="L37" s="190"/>
      <c r="M37" s="190"/>
      <c r="N37" s="189"/>
      <c r="O37" s="188"/>
      <c r="P37" s="189"/>
    </row>
    <row r="38" spans="1:16" ht="15" customHeight="1">
      <c r="A38" s="203">
        <v>3531</v>
      </c>
      <c r="B38" s="196"/>
      <c r="C38" s="196"/>
      <c r="D38" s="189"/>
      <c r="E38" s="6"/>
      <c r="F38" s="6"/>
      <c r="G38" s="6"/>
      <c r="H38" s="6"/>
      <c r="I38" s="8"/>
      <c r="J38" s="8"/>
      <c r="K38" s="8"/>
      <c r="L38" s="8"/>
      <c r="M38" s="8"/>
      <c r="N38" s="200"/>
      <c r="O38" s="196"/>
      <c r="P38" s="6"/>
    </row>
    <row r="39" spans="1:16" ht="15" customHeight="1">
      <c r="A39" s="203">
        <v>3532</v>
      </c>
      <c r="B39" s="202"/>
      <c r="C39" s="202"/>
      <c r="D39" s="189"/>
      <c r="E39" s="189"/>
      <c r="F39" s="189"/>
      <c r="G39" s="189"/>
      <c r="H39" s="189"/>
      <c r="I39" s="190"/>
      <c r="J39" s="190"/>
      <c r="K39" s="190"/>
      <c r="L39" s="190"/>
      <c r="M39" s="190"/>
      <c r="N39" s="189"/>
      <c r="O39" s="202"/>
      <c r="P39" s="189"/>
    </row>
    <row r="40" spans="1:16" ht="15" customHeight="1">
      <c r="A40" s="203">
        <v>3533</v>
      </c>
      <c r="B40" s="188"/>
      <c r="C40" s="188"/>
      <c r="D40" s="189"/>
      <c r="E40" s="189"/>
      <c r="F40" s="189"/>
      <c r="G40" s="189"/>
      <c r="H40" s="189"/>
      <c r="I40" s="190"/>
      <c r="J40" s="190"/>
      <c r="K40" s="190"/>
      <c r="L40" s="190"/>
      <c r="M40" s="190"/>
      <c r="N40" s="189"/>
      <c r="O40" s="188"/>
      <c r="P40" s="189"/>
    </row>
    <row r="41" spans="1:16" ht="15" customHeight="1">
      <c r="A41" s="203">
        <v>3534</v>
      </c>
      <c r="B41" s="188"/>
      <c r="C41" s="188"/>
      <c r="D41" s="189"/>
      <c r="E41" s="189"/>
      <c r="F41" s="189"/>
      <c r="G41" s="189"/>
      <c r="H41" s="189"/>
      <c r="I41" s="190"/>
      <c r="J41" s="190"/>
      <c r="K41" s="190"/>
      <c r="L41" s="190"/>
      <c r="M41" s="190"/>
      <c r="N41" s="189"/>
      <c r="O41" s="188"/>
      <c r="P41" s="189"/>
    </row>
    <row r="42" spans="1:16" ht="15" customHeight="1">
      <c r="A42" s="203">
        <v>3535</v>
      </c>
      <c r="B42" s="188"/>
      <c r="C42" s="188"/>
      <c r="D42" s="189"/>
      <c r="E42" s="6"/>
      <c r="F42" s="6"/>
      <c r="G42" s="6"/>
      <c r="H42" s="6"/>
      <c r="I42" s="8"/>
      <c r="J42" s="8"/>
      <c r="K42" s="8"/>
      <c r="L42" s="8"/>
      <c r="M42" s="8"/>
      <c r="N42" s="200"/>
      <c r="O42" s="188"/>
      <c r="P42" s="6"/>
    </row>
    <row r="43" spans="1:16" ht="15" customHeight="1">
      <c r="A43" s="203">
        <v>3536</v>
      </c>
      <c r="B43" s="188"/>
      <c r="C43" s="188"/>
      <c r="D43" s="189"/>
      <c r="E43" s="189"/>
      <c r="F43" s="189"/>
      <c r="G43" s="189"/>
      <c r="H43" s="189"/>
      <c r="I43" s="190"/>
      <c r="J43" s="190"/>
      <c r="K43" s="190"/>
      <c r="L43" s="190"/>
      <c r="M43" s="190"/>
      <c r="N43" s="189"/>
      <c r="O43" s="188"/>
      <c r="P43" s="189"/>
    </row>
    <row r="44" spans="1:16" ht="15" customHeight="1">
      <c r="A44" s="203">
        <v>3537</v>
      </c>
      <c r="B44" s="188"/>
      <c r="C44" s="188"/>
      <c r="D44" s="189"/>
      <c r="E44" s="189"/>
      <c r="F44" s="189"/>
      <c r="G44" s="189"/>
      <c r="H44" s="189"/>
      <c r="I44" s="190"/>
      <c r="J44" s="190"/>
      <c r="K44" s="190"/>
      <c r="L44" s="190"/>
      <c r="M44" s="190"/>
      <c r="N44" s="189"/>
      <c r="O44" s="188"/>
      <c r="P44" s="189"/>
    </row>
    <row r="45" spans="1:16" ht="15" customHeight="1">
      <c r="A45" s="204">
        <v>3538</v>
      </c>
      <c r="B45" s="188"/>
      <c r="C45" s="188"/>
      <c r="D45" s="189"/>
      <c r="E45" s="189"/>
      <c r="F45" s="189"/>
      <c r="G45" s="189"/>
      <c r="H45" s="189"/>
      <c r="I45" s="190"/>
      <c r="J45" s="190"/>
      <c r="K45" s="190"/>
      <c r="L45" s="190"/>
      <c r="M45" s="190"/>
      <c r="N45" s="189"/>
      <c r="O45" s="188"/>
      <c r="P45" s="189"/>
    </row>
    <row r="46" spans="1:16" ht="15" customHeight="1">
      <c r="A46" s="4">
        <v>3540</v>
      </c>
      <c r="B46" s="196"/>
      <c r="C46" s="207"/>
      <c r="D46" s="190"/>
      <c r="E46" s="6"/>
      <c r="F46" s="6"/>
      <c r="G46" s="6"/>
      <c r="H46" s="6"/>
      <c r="I46" s="8"/>
      <c r="J46" s="8"/>
      <c r="K46" s="8"/>
      <c r="L46" s="8"/>
      <c r="M46" s="8"/>
      <c r="N46" s="200"/>
      <c r="O46" s="196"/>
      <c r="P46" s="6"/>
    </row>
    <row r="47" spans="1:16" ht="15" customHeight="1">
      <c r="A47" s="203">
        <v>3541</v>
      </c>
      <c r="B47" s="202"/>
      <c r="C47" s="208"/>
      <c r="D47" s="190"/>
      <c r="E47" s="6"/>
      <c r="F47" s="6"/>
      <c r="G47" s="6"/>
      <c r="H47" s="6"/>
      <c r="I47" s="8"/>
      <c r="J47" s="8"/>
      <c r="K47" s="8"/>
      <c r="L47" s="8"/>
      <c r="M47" s="8"/>
      <c r="N47" s="200"/>
      <c r="O47" s="202"/>
      <c r="P47" s="6"/>
    </row>
    <row r="48" spans="1:16" ht="15" customHeight="1">
      <c r="A48" s="203">
        <v>3542</v>
      </c>
      <c r="B48" s="188"/>
      <c r="C48" s="188"/>
      <c r="D48" s="189"/>
      <c r="E48" s="189"/>
      <c r="F48" s="189"/>
      <c r="G48" s="189"/>
      <c r="H48" s="189"/>
      <c r="I48" s="190"/>
      <c r="J48" s="190"/>
      <c r="K48" s="190"/>
      <c r="L48" s="190"/>
      <c r="M48" s="190"/>
      <c r="N48" s="189"/>
      <c r="O48" s="188"/>
      <c r="P48" s="189"/>
    </row>
    <row r="49" spans="1:16" ht="15" customHeight="1">
      <c r="A49" s="203">
        <v>3543</v>
      </c>
      <c r="B49" s="209"/>
      <c r="C49" s="47"/>
      <c r="D49" s="188"/>
      <c r="E49" s="188"/>
      <c r="F49" s="188"/>
      <c r="G49" s="188"/>
      <c r="H49" s="188"/>
      <c r="I49" s="205"/>
      <c r="J49" s="205"/>
      <c r="K49" s="205"/>
      <c r="L49" s="205"/>
      <c r="M49" s="205"/>
      <c r="N49" s="188"/>
      <c r="O49" s="209"/>
      <c r="P49" s="188"/>
    </row>
    <row r="50" spans="1:16" ht="15" customHeight="1">
      <c r="A50" s="203">
        <v>3544</v>
      </c>
      <c r="B50" s="196"/>
      <c r="C50" s="196"/>
      <c r="D50" s="189"/>
      <c r="E50" s="189"/>
      <c r="F50" s="189"/>
      <c r="G50" s="189"/>
      <c r="H50" s="189"/>
      <c r="I50" s="190"/>
      <c r="J50" s="190"/>
      <c r="K50" s="190"/>
      <c r="L50" s="190"/>
      <c r="M50" s="190"/>
      <c r="N50" s="189"/>
      <c r="O50" s="188"/>
      <c r="P50" s="189"/>
    </row>
    <row r="51" spans="1:16" ht="15" customHeight="1">
      <c r="A51" s="203">
        <v>3545</v>
      </c>
      <c r="B51" s="202"/>
      <c r="C51" s="202"/>
      <c r="D51" s="189"/>
      <c r="E51" s="189"/>
      <c r="F51" s="189"/>
      <c r="G51" s="189"/>
      <c r="H51" s="189"/>
      <c r="I51" s="190"/>
      <c r="J51" s="190"/>
      <c r="K51" s="190"/>
      <c r="L51" s="190"/>
      <c r="M51" s="190"/>
      <c r="N51" s="189"/>
      <c r="O51" s="188"/>
      <c r="P51" s="189"/>
    </row>
    <row r="52" spans="1:16" ht="15" customHeight="1">
      <c r="A52" s="203">
        <v>3546</v>
      </c>
      <c r="B52" s="188"/>
      <c r="C52" s="188"/>
      <c r="D52" s="189"/>
      <c r="E52" s="6"/>
      <c r="F52" s="6"/>
      <c r="G52" s="6"/>
      <c r="H52" s="6"/>
      <c r="I52" s="8"/>
      <c r="J52" s="8"/>
      <c r="K52" s="8"/>
      <c r="L52" s="8"/>
      <c r="M52" s="8"/>
      <c r="N52" s="200"/>
      <c r="O52" s="196"/>
      <c r="P52" s="6"/>
    </row>
    <row r="53" spans="1:16" ht="15" customHeight="1">
      <c r="A53" s="203">
        <v>3547</v>
      </c>
      <c r="B53" s="188"/>
      <c r="C53" s="188"/>
      <c r="D53" s="189"/>
      <c r="E53" s="189"/>
      <c r="F53" s="189"/>
      <c r="G53" s="189"/>
      <c r="H53" s="189"/>
      <c r="I53" s="190"/>
      <c r="J53" s="190"/>
      <c r="K53" s="190"/>
      <c r="L53" s="190"/>
      <c r="M53" s="190"/>
      <c r="N53" s="189"/>
      <c r="O53" s="188"/>
      <c r="P53" s="189"/>
    </row>
    <row r="54" spans="1:16" ht="15" customHeight="1">
      <c r="A54" s="203">
        <v>3548</v>
      </c>
      <c r="B54" s="188"/>
      <c r="C54" s="188"/>
      <c r="D54" s="189"/>
      <c r="E54" s="189"/>
      <c r="F54" s="189"/>
      <c r="G54" s="189"/>
      <c r="H54" s="189"/>
      <c r="I54" s="190"/>
      <c r="J54" s="190"/>
      <c r="K54" s="190"/>
      <c r="L54" s="190"/>
      <c r="M54" s="190"/>
      <c r="N54" s="189"/>
      <c r="O54" s="188"/>
      <c r="P54" s="189"/>
    </row>
    <row r="55" spans="1:16" ht="15" customHeight="1">
      <c r="A55" s="203">
        <v>3549</v>
      </c>
      <c r="B55" s="188"/>
      <c r="C55" s="188"/>
      <c r="D55" s="189"/>
      <c r="E55" s="189"/>
      <c r="F55" s="189"/>
      <c r="G55" s="189"/>
      <c r="H55" s="189"/>
      <c r="I55" s="190"/>
      <c r="J55" s="190"/>
      <c r="K55" s="190"/>
      <c r="L55" s="190"/>
      <c r="M55" s="190"/>
      <c r="N55" s="189"/>
      <c r="O55" s="188"/>
      <c r="P55" s="189"/>
    </row>
    <row r="56" spans="1:16" ht="15" customHeight="1">
      <c r="A56" s="204">
        <v>3550</v>
      </c>
      <c r="B56" s="188"/>
      <c r="C56" s="188"/>
      <c r="D56" s="189"/>
      <c r="E56" s="189"/>
      <c r="F56" s="189"/>
      <c r="G56" s="189"/>
      <c r="H56" s="189"/>
      <c r="I56" s="190"/>
      <c r="J56" s="190"/>
      <c r="K56" s="190"/>
      <c r="L56" s="190"/>
      <c r="M56" s="190"/>
      <c r="N56" s="189"/>
      <c r="O56" s="188"/>
      <c r="P56" s="189"/>
    </row>
    <row r="57" spans="1:16" ht="15" customHeight="1">
      <c r="A57" s="4">
        <v>3551</v>
      </c>
      <c r="B57" s="188"/>
      <c r="C57" s="188"/>
      <c r="D57" s="189"/>
      <c r="E57" s="189"/>
      <c r="F57" s="189"/>
      <c r="G57" s="189"/>
      <c r="H57" s="189"/>
      <c r="I57" s="190"/>
      <c r="J57" s="190"/>
      <c r="K57" s="190"/>
      <c r="L57" s="190"/>
      <c r="M57" s="190"/>
      <c r="N57" s="189"/>
      <c r="O57" s="188"/>
      <c r="P57" s="189"/>
    </row>
    <row r="58" spans="1:16" ht="15" customHeight="1">
      <c r="A58" s="203">
        <v>3552</v>
      </c>
      <c r="B58" s="196"/>
      <c r="C58" s="196"/>
      <c r="D58" s="189"/>
      <c r="E58" s="189"/>
      <c r="F58" s="189"/>
      <c r="G58" s="189"/>
      <c r="H58" s="189"/>
      <c r="I58" s="190"/>
      <c r="J58" s="190"/>
      <c r="K58" s="190"/>
      <c r="L58" s="190"/>
      <c r="M58" s="190"/>
      <c r="N58" s="189"/>
      <c r="O58" s="188"/>
      <c r="P58" s="189"/>
    </row>
    <row r="59" spans="1:16" ht="15" customHeight="1">
      <c r="A59" s="203">
        <v>3553</v>
      </c>
      <c r="B59" s="202"/>
      <c r="C59" s="202"/>
      <c r="D59" s="189"/>
      <c r="E59" s="189"/>
      <c r="F59" s="189"/>
      <c r="G59" s="189"/>
      <c r="H59" s="189"/>
      <c r="I59" s="190"/>
      <c r="J59" s="190"/>
      <c r="K59" s="190"/>
      <c r="L59" s="190"/>
      <c r="M59" s="190"/>
      <c r="N59" s="189"/>
      <c r="O59" s="188"/>
      <c r="P59" s="189"/>
    </row>
    <row r="60" spans="1:16" ht="15" customHeight="1">
      <c r="A60" s="203">
        <v>3554</v>
      </c>
      <c r="B60" s="188"/>
      <c r="C60" s="205"/>
      <c r="D60" s="190"/>
      <c r="E60" s="6"/>
      <c r="F60" s="6"/>
      <c r="G60" s="6"/>
      <c r="H60" s="6"/>
      <c r="I60" s="8"/>
      <c r="J60" s="8"/>
      <c r="K60" s="8"/>
      <c r="L60" s="8"/>
      <c r="M60" s="8"/>
      <c r="N60" s="200"/>
      <c r="O60" s="196"/>
      <c r="P60" s="6"/>
    </row>
    <row r="61" spans="1:16" ht="15" customHeight="1">
      <c r="A61" s="203">
        <v>3555</v>
      </c>
      <c r="B61" s="202"/>
      <c r="C61" s="202"/>
      <c r="D61" s="189"/>
      <c r="E61" s="17"/>
      <c r="F61" s="17"/>
      <c r="G61" s="17"/>
      <c r="H61" s="17"/>
      <c r="I61" s="17"/>
      <c r="J61" s="17"/>
      <c r="K61" s="17"/>
      <c r="L61" s="17"/>
      <c r="M61" s="17"/>
      <c r="N61" s="210"/>
      <c r="O61" s="202"/>
      <c r="P61" s="17"/>
    </row>
    <row r="62" spans="1:16" ht="15" customHeight="1">
      <c r="A62" s="203">
        <v>3556</v>
      </c>
      <c r="B62" s="188"/>
      <c r="C62" s="188"/>
      <c r="D62" s="189"/>
      <c r="E62" s="189"/>
      <c r="F62" s="189"/>
      <c r="G62" s="189"/>
      <c r="H62" s="189"/>
      <c r="I62" s="190"/>
      <c r="J62" s="190"/>
      <c r="K62" s="190"/>
      <c r="L62" s="190"/>
      <c r="M62" s="190"/>
      <c r="N62" s="189"/>
      <c r="O62" s="188"/>
      <c r="P62" s="189"/>
    </row>
    <row r="63" spans="1:16" ht="15" customHeight="1">
      <c r="A63" s="203">
        <v>3557</v>
      </c>
      <c r="B63" s="209"/>
      <c r="C63" s="47"/>
      <c r="D63" s="211"/>
      <c r="E63" s="18"/>
      <c r="F63" s="18"/>
      <c r="G63" s="18"/>
      <c r="H63" s="18"/>
      <c r="I63" s="19"/>
      <c r="J63" s="19"/>
      <c r="K63" s="19"/>
      <c r="L63" s="19"/>
      <c r="M63" s="19"/>
      <c r="N63" s="196"/>
      <c r="O63" s="209"/>
      <c r="P63" s="18"/>
    </row>
    <row r="64" spans="1:16" ht="15" customHeight="1">
      <c r="A64" s="203">
        <v>3558</v>
      </c>
      <c r="B64" s="202"/>
      <c r="C64" s="202"/>
      <c r="D64" s="175"/>
      <c r="E64" s="189"/>
      <c r="F64" s="189"/>
      <c r="G64" s="189"/>
      <c r="H64" s="189"/>
      <c r="I64" s="190"/>
      <c r="J64" s="190"/>
      <c r="K64" s="190"/>
      <c r="L64" s="190"/>
      <c r="M64" s="190"/>
      <c r="N64" s="189"/>
      <c r="O64" s="188"/>
      <c r="P64" s="189"/>
    </row>
    <row r="65" spans="1:16" ht="15" customHeight="1">
      <c r="A65" s="203">
        <v>3559</v>
      </c>
      <c r="B65" s="188"/>
      <c r="C65" s="188"/>
      <c r="D65" s="211"/>
      <c r="E65" s="211"/>
      <c r="F65" s="211"/>
      <c r="G65" s="211"/>
      <c r="H65" s="211"/>
      <c r="I65" s="176"/>
      <c r="J65" s="176"/>
      <c r="K65" s="176"/>
      <c r="L65" s="176"/>
      <c r="M65" s="176"/>
      <c r="N65" s="188"/>
      <c r="O65" s="188"/>
      <c r="P65" s="211"/>
    </row>
    <row r="66" spans="1:16" ht="15" customHeight="1">
      <c r="A66" s="5">
        <v>3560</v>
      </c>
      <c r="B66" s="188"/>
      <c r="C66" s="188"/>
      <c r="D66" s="189"/>
      <c r="E66" s="189"/>
      <c r="F66" s="189"/>
      <c r="G66" s="189"/>
      <c r="H66" s="189"/>
      <c r="I66" s="190"/>
      <c r="J66" s="190"/>
      <c r="K66" s="190"/>
      <c r="L66" s="190"/>
      <c r="M66" s="190"/>
      <c r="N66" s="189"/>
      <c r="O66" s="196"/>
      <c r="P66" s="189"/>
    </row>
    <row r="67" spans="1:16" ht="15" customHeight="1">
      <c r="A67" s="177">
        <v>3561</v>
      </c>
      <c r="B67" s="188"/>
      <c r="C67" s="188"/>
      <c r="D67" s="189"/>
      <c r="E67" s="189"/>
      <c r="F67" s="189"/>
      <c r="G67" s="189"/>
      <c r="H67" s="189"/>
      <c r="I67" s="190"/>
      <c r="J67" s="190"/>
      <c r="K67" s="190"/>
      <c r="L67" s="190"/>
      <c r="M67" s="190"/>
      <c r="N67" s="189"/>
      <c r="O67" s="188"/>
      <c r="P67" s="189"/>
    </row>
    <row r="68" spans="1:16" ht="18.75">
      <c r="A68" s="177">
        <v>3562</v>
      </c>
      <c r="B68" s="188"/>
      <c r="C68" s="188"/>
      <c r="D68" s="189"/>
      <c r="E68" s="189"/>
      <c r="F68" s="189"/>
      <c r="G68" s="189"/>
      <c r="H68" s="189"/>
      <c r="I68" s="190"/>
      <c r="J68" s="190"/>
      <c r="K68" s="190"/>
      <c r="L68" s="190"/>
      <c r="M68" s="190"/>
      <c r="N68" s="189"/>
      <c r="O68" s="188"/>
      <c r="P68" s="189"/>
    </row>
    <row r="69" spans="1:16" ht="18.75">
      <c r="A69" s="177">
        <v>3563</v>
      </c>
      <c r="B69" s="188"/>
      <c r="C69" s="188"/>
      <c r="D69" s="189"/>
      <c r="E69" s="6"/>
      <c r="F69" s="6"/>
      <c r="G69" s="6"/>
      <c r="H69" s="6"/>
      <c r="I69" s="8"/>
      <c r="J69" s="8"/>
      <c r="K69" s="8"/>
      <c r="L69" s="8"/>
      <c r="M69" s="8"/>
      <c r="N69" s="200"/>
      <c r="O69" s="188"/>
      <c r="P69" s="6"/>
    </row>
    <row r="70" spans="1:16" ht="18.75">
      <c r="A70" s="177">
        <v>3564</v>
      </c>
      <c r="B70" s="188"/>
      <c r="C70" s="188"/>
      <c r="D70" s="189"/>
      <c r="E70" s="6"/>
      <c r="F70" s="6"/>
      <c r="G70" s="6"/>
      <c r="H70" s="6"/>
      <c r="I70" s="8"/>
      <c r="J70" s="8"/>
      <c r="K70" s="8"/>
      <c r="L70" s="8"/>
      <c r="M70" s="8"/>
      <c r="N70" s="200"/>
      <c r="O70" s="188"/>
      <c r="P70" s="6"/>
    </row>
    <row r="71" spans="1:16" ht="18.75">
      <c r="A71" s="177">
        <v>3565</v>
      </c>
      <c r="B71" s="196"/>
      <c r="C71" s="196"/>
      <c r="D71" s="189"/>
      <c r="E71" s="189"/>
      <c r="F71" s="189"/>
      <c r="G71" s="189"/>
      <c r="H71" s="189"/>
      <c r="I71" s="190"/>
      <c r="J71" s="190"/>
      <c r="K71" s="190"/>
      <c r="L71" s="190"/>
      <c r="M71" s="190"/>
      <c r="N71" s="189"/>
      <c r="O71" s="188"/>
      <c r="P71" s="189"/>
    </row>
    <row r="72" spans="1:16" ht="18.75">
      <c r="A72" s="177">
        <v>3566</v>
      </c>
      <c r="B72" s="188"/>
      <c r="C72" s="188"/>
      <c r="D72" s="189"/>
      <c r="E72" s="189"/>
      <c r="F72" s="189"/>
      <c r="G72" s="189"/>
      <c r="H72" s="189"/>
      <c r="I72" s="190"/>
      <c r="J72" s="190"/>
      <c r="K72" s="190"/>
      <c r="L72" s="190"/>
      <c r="M72" s="190"/>
      <c r="N72" s="189"/>
      <c r="O72" s="188"/>
      <c r="P72" s="189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workbookViewId="0">
      <selection sqref="A1:P1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2" t="s">
        <v>0</v>
      </c>
      <c r="B1" s="63" t="s">
        <v>1</v>
      </c>
      <c r="C1" s="63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60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185" t="s">
        <v>13</v>
      </c>
      <c r="O1" s="186" t="s">
        <v>14</v>
      </c>
      <c r="P1" s="187" t="s">
        <v>15</v>
      </c>
    </row>
    <row r="2" spans="1:21" ht="15" customHeight="1">
      <c r="A2" s="3">
        <v>3231</v>
      </c>
      <c r="B2" s="188"/>
      <c r="C2" s="188"/>
      <c r="D2" s="189"/>
      <c r="E2" s="189"/>
      <c r="F2" s="189"/>
      <c r="G2" s="189"/>
      <c r="H2" s="189"/>
      <c r="I2" s="190"/>
      <c r="J2" s="190"/>
      <c r="K2" s="190"/>
      <c r="L2" s="190"/>
      <c r="M2" s="190"/>
      <c r="N2" s="189"/>
      <c r="O2" s="188"/>
      <c r="P2" s="189"/>
      <c r="R2" s="94" t="s">
        <v>18</v>
      </c>
      <c r="S2" s="95"/>
      <c r="T2" s="95"/>
      <c r="U2" s="96"/>
    </row>
    <row r="3" spans="1:21" ht="15" customHeight="1">
      <c r="A3" s="191">
        <v>3232</v>
      </c>
      <c r="B3" s="188"/>
      <c r="C3" s="188"/>
      <c r="D3" s="189"/>
      <c r="E3" s="189"/>
      <c r="F3" s="189"/>
      <c r="G3" s="189"/>
      <c r="H3" s="189"/>
      <c r="I3" s="190"/>
      <c r="J3" s="190"/>
      <c r="K3" s="190"/>
      <c r="L3" s="190"/>
      <c r="M3" s="190"/>
      <c r="N3" s="189"/>
      <c r="O3" s="188"/>
      <c r="P3" s="189"/>
      <c r="R3" s="192" t="s">
        <v>19</v>
      </c>
      <c r="S3" s="193" t="s">
        <v>20</v>
      </c>
      <c r="T3" s="194" t="s">
        <v>31</v>
      </c>
      <c r="U3" s="195" t="s">
        <v>22</v>
      </c>
    </row>
    <row r="4" spans="1:21" ht="15" customHeight="1">
      <c r="A4" s="191">
        <v>3233</v>
      </c>
      <c r="B4" s="196"/>
      <c r="C4" s="196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189"/>
      <c r="O4" s="196"/>
      <c r="P4" s="189"/>
      <c r="R4" s="197">
        <v>36</v>
      </c>
      <c r="S4" s="198">
        <f>COUNTA(A:A)-1</f>
        <v>72</v>
      </c>
      <c r="T4" s="198">
        <f>COUNTA(O:O)-1</f>
        <v>0</v>
      </c>
      <c r="U4" s="199">
        <f>T4/S4</f>
        <v>0</v>
      </c>
    </row>
    <row r="5" spans="1:21" ht="15" customHeight="1">
      <c r="A5" s="191">
        <v>3234</v>
      </c>
      <c r="B5" s="188"/>
      <c r="C5" s="188"/>
      <c r="D5" s="189"/>
      <c r="E5" s="189"/>
      <c r="F5" s="189"/>
      <c r="G5" s="189"/>
      <c r="H5" s="189"/>
      <c r="I5" s="190"/>
      <c r="J5" s="190"/>
      <c r="K5" s="190"/>
      <c r="L5" s="190"/>
      <c r="M5" s="190"/>
      <c r="N5" s="189"/>
      <c r="O5" s="188"/>
      <c r="P5" s="189"/>
    </row>
    <row r="6" spans="1:21" ht="15" customHeight="1">
      <c r="A6" s="191">
        <v>3235</v>
      </c>
      <c r="B6" s="188"/>
      <c r="C6" s="188"/>
      <c r="D6" s="189"/>
      <c r="E6" s="189"/>
      <c r="F6" s="189"/>
      <c r="G6" s="189"/>
      <c r="H6" s="189"/>
      <c r="I6" s="190"/>
      <c r="J6" s="190"/>
      <c r="K6" s="190"/>
      <c r="L6" s="190"/>
      <c r="M6" s="190"/>
      <c r="N6" s="189"/>
      <c r="O6" s="188"/>
      <c r="P6" s="189"/>
    </row>
    <row r="7" spans="1:21" ht="15" customHeight="1">
      <c r="A7" s="191">
        <v>3236</v>
      </c>
      <c r="B7" s="188"/>
      <c r="C7" s="188"/>
      <c r="D7" s="189"/>
      <c r="E7" s="6"/>
      <c r="F7" s="6"/>
      <c r="G7" s="6"/>
      <c r="H7" s="6"/>
      <c r="I7" s="8"/>
      <c r="J7" s="8"/>
      <c r="K7" s="8"/>
      <c r="L7" s="8"/>
      <c r="M7" s="8"/>
      <c r="N7" s="200"/>
      <c r="O7" s="188"/>
      <c r="P7" s="6"/>
    </row>
    <row r="8" spans="1:21" ht="15" customHeight="1">
      <c r="A8" s="191">
        <v>3237</v>
      </c>
      <c r="B8" s="188"/>
      <c r="C8" s="188"/>
      <c r="D8" s="189"/>
      <c r="E8" s="189"/>
      <c r="F8" s="189"/>
      <c r="G8" s="189"/>
      <c r="H8" s="189"/>
      <c r="I8" s="190"/>
      <c r="J8" s="190"/>
      <c r="K8" s="190"/>
      <c r="L8" s="190"/>
      <c r="M8" s="190"/>
      <c r="N8" s="189"/>
      <c r="O8" s="188"/>
      <c r="P8" s="189"/>
    </row>
    <row r="9" spans="1:21" ht="15" customHeight="1">
      <c r="A9" s="191">
        <v>3238</v>
      </c>
      <c r="B9" s="188"/>
      <c r="C9" s="188"/>
      <c r="D9" s="189"/>
      <c r="E9" s="189"/>
      <c r="F9" s="189"/>
      <c r="G9" s="189"/>
      <c r="H9" s="189"/>
      <c r="I9" s="190"/>
      <c r="J9" s="190"/>
      <c r="K9" s="190"/>
      <c r="L9" s="190"/>
      <c r="M9" s="190"/>
      <c r="N9" s="189"/>
      <c r="O9" s="188"/>
      <c r="P9" s="189"/>
    </row>
    <row r="10" spans="1:21" ht="15" customHeight="1">
      <c r="A10" s="191">
        <v>3239</v>
      </c>
      <c r="B10" s="188"/>
      <c r="C10" s="188"/>
      <c r="D10" s="189"/>
      <c r="E10" s="189"/>
      <c r="F10" s="189"/>
      <c r="G10" s="189"/>
      <c r="H10" s="189"/>
      <c r="I10" s="190"/>
      <c r="J10" s="190"/>
      <c r="K10" s="190"/>
      <c r="L10" s="190"/>
      <c r="M10" s="190"/>
      <c r="N10" s="189"/>
      <c r="O10" s="188"/>
      <c r="P10" s="189"/>
    </row>
    <row r="11" spans="1:21" ht="15" customHeight="1">
      <c r="A11" s="191">
        <v>3240</v>
      </c>
      <c r="B11" s="188"/>
      <c r="C11" s="188"/>
      <c r="D11" s="189"/>
      <c r="E11" s="189"/>
      <c r="F11" s="189"/>
      <c r="G11" s="189"/>
      <c r="H11" s="189"/>
      <c r="I11" s="190"/>
      <c r="J11" s="190"/>
      <c r="K11" s="190"/>
      <c r="L11" s="190"/>
      <c r="M11" s="190"/>
      <c r="N11" s="189"/>
      <c r="O11" s="188"/>
      <c r="P11" s="189"/>
    </row>
    <row r="12" spans="1:21" ht="15" customHeight="1">
      <c r="A12" s="201">
        <v>3241</v>
      </c>
      <c r="B12" s="196"/>
      <c r="C12" s="196"/>
      <c r="D12" s="189"/>
      <c r="E12" s="189"/>
      <c r="F12" s="189"/>
      <c r="G12" s="189"/>
      <c r="H12" s="189"/>
      <c r="I12" s="190"/>
      <c r="J12" s="190"/>
      <c r="K12" s="190"/>
      <c r="L12" s="190"/>
      <c r="M12" s="190"/>
      <c r="N12" s="189"/>
      <c r="O12" s="196"/>
      <c r="P12" s="189"/>
    </row>
    <row r="13" spans="1:21" ht="15" customHeight="1">
      <c r="A13" s="4">
        <v>3242</v>
      </c>
      <c r="B13" s="202"/>
      <c r="C13" s="202"/>
      <c r="D13" s="189"/>
      <c r="E13" s="189"/>
      <c r="F13" s="189"/>
      <c r="G13" s="189"/>
      <c r="H13" s="189"/>
      <c r="I13" s="190"/>
      <c r="J13" s="190"/>
      <c r="K13" s="190"/>
      <c r="L13" s="190"/>
      <c r="M13" s="190"/>
      <c r="N13" s="189"/>
      <c r="O13" s="202"/>
      <c r="P13" s="189"/>
    </row>
    <row r="14" spans="1:21" ht="15" customHeight="1">
      <c r="A14" s="203">
        <v>3243</v>
      </c>
      <c r="B14" s="188"/>
      <c r="C14" s="188"/>
      <c r="D14" s="189"/>
      <c r="E14" s="189"/>
      <c r="F14" s="189"/>
      <c r="G14" s="189"/>
      <c r="H14" s="189"/>
      <c r="I14" s="190"/>
      <c r="J14" s="190"/>
      <c r="K14" s="190"/>
      <c r="L14" s="190"/>
      <c r="M14" s="190"/>
      <c r="N14" s="189"/>
      <c r="O14" s="188"/>
      <c r="P14" s="189"/>
    </row>
    <row r="15" spans="1:21" ht="15" customHeight="1">
      <c r="A15" s="203">
        <v>3244</v>
      </c>
      <c r="B15" s="188"/>
      <c r="C15" s="188"/>
      <c r="D15" s="189"/>
      <c r="E15" s="189"/>
      <c r="F15" s="189"/>
      <c r="G15" s="189"/>
      <c r="H15" s="189"/>
      <c r="I15" s="190"/>
      <c r="J15" s="190"/>
      <c r="K15" s="190"/>
      <c r="L15" s="190"/>
      <c r="M15" s="190"/>
      <c r="N15" s="189"/>
      <c r="O15" s="188"/>
      <c r="P15" s="189"/>
    </row>
    <row r="16" spans="1:21" ht="15" customHeight="1">
      <c r="A16" s="203">
        <v>3245</v>
      </c>
      <c r="B16" s="188"/>
      <c r="C16" s="188"/>
      <c r="D16" s="189"/>
      <c r="E16" s="189"/>
      <c r="F16" s="189"/>
      <c r="G16" s="189"/>
      <c r="H16" s="189"/>
      <c r="I16" s="190"/>
      <c r="J16" s="190"/>
      <c r="K16" s="190"/>
      <c r="L16" s="190"/>
      <c r="M16" s="190"/>
      <c r="N16" s="189"/>
      <c r="O16" s="188"/>
      <c r="P16" s="189"/>
    </row>
    <row r="17" spans="1:16" ht="15" customHeight="1">
      <c r="A17" s="203">
        <v>3246</v>
      </c>
      <c r="B17" s="196"/>
      <c r="C17" s="196"/>
      <c r="D17" s="189"/>
      <c r="E17" s="6"/>
      <c r="F17" s="6"/>
      <c r="G17" s="6"/>
      <c r="H17" s="6"/>
      <c r="I17" s="8"/>
      <c r="J17" s="8"/>
      <c r="K17" s="8"/>
      <c r="L17" s="8"/>
      <c r="M17" s="8"/>
      <c r="N17" s="200"/>
      <c r="O17" s="196"/>
      <c r="P17" s="6"/>
    </row>
    <row r="18" spans="1:16" ht="15" customHeight="1">
      <c r="A18" s="203">
        <v>3247</v>
      </c>
      <c r="B18" s="188"/>
      <c r="C18" s="188"/>
      <c r="D18" s="189"/>
      <c r="E18" s="7"/>
      <c r="F18" s="7"/>
      <c r="G18" s="7"/>
      <c r="H18" s="7"/>
      <c r="I18" s="7"/>
      <c r="J18" s="7"/>
      <c r="K18" s="7"/>
      <c r="L18" s="7"/>
      <c r="M18" s="7"/>
      <c r="N18" s="200"/>
      <c r="O18" s="188"/>
      <c r="P18" s="7"/>
    </row>
    <row r="19" spans="1:16" ht="15" customHeight="1">
      <c r="A19" s="203">
        <v>3248</v>
      </c>
      <c r="B19" s="188"/>
      <c r="C19" s="188"/>
      <c r="D19" s="189"/>
      <c r="E19" s="189"/>
      <c r="F19" s="189"/>
      <c r="G19" s="189"/>
      <c r="H19" s="189"/>
      <c r="I19" s="190"/>
      <c r="J19" s="190"/>
      <c r="K19" s="190"/>
      <c r="L19" s="190"/>
      <c r="M19" s="190"/>
      <c r="N19" s="189"/>
      <c r="O19" s="188"/>
      <c r="P19" s="189"/>
    </row>
    <row r="20" spans="1:16" ht="15" customHeight="1">
      <c r="A20" s="203">
        <v>3250</v>
      </c>
      <c r="B20" s="188"/>
      <c r="C20" s="188"/>
      <c r="D20" s="189"/>
      <c r="E20" s="189"/>
      <c r="F20" s="189"/>
      <c r="G20" s="189"/>
      <c r="H20" s="189"/>
      <c r="I20" s="190"/>
      <c r="J20" s="190"/>
      <c r="K20" s="190"/>
      <c r="L20" s="190"/>
      <c r="M20" s="190"/>
      <c r="N20" s="189"/>
      <c r="O20" s="188"/>
      <c r="P20" s="189"/>
    </row>
    <row r="21" spans="1:16" ht="15" customHeight="1">
      <c r="A21" s="203">
        <v>3251</v>
      </c>
      <c r="B21" s="188"/>
      <c r="C21" s="188"/>
      <c r="D21" s="189"/>
      <c r="E21" s="189"/>
      <c r="F21" s="189"/>
      <c r="G21" s="189"/>
      <c r="H21" s="189"/>
      <c r="I21" s="190"/>
      <c r="J21" s="190"/>
      <c r="K21" s="190"/>
      <c r="L21" s="190"/>
      <c r="M21" s="190"/>
      <c r="N21" s="189"/>
      <c r="O21" s="188"/>
      <c r="P21" s="189"/>
    </row>
    <row r="22" spans="1:16" ht="15" customHeight="1">
      <c r="A22" s="203">
        <v>3252</v>
      </c>
      <c r="B22" s="188"/>
      <c r="C22" s="188"/>
      <c r="D22" s="189"/>
      <c r="E22" s="189"/>
      <c r="F22" s="189"/>
      <c r="G22" s="189"/>
      <c r="H22" s="189"/>
      <c r="I22" s="190"/>
      <c r="J22" s="190"/>
      <c r="K22" s="190"/>
      <c r="L22" s="190"/>
      <c r="M22" s="190"/>
      <c r="N22" s="189"/>
      <c r="O22" s="188"/>
      <c r="P22" s="189"/>
    </row>
    <row r="23" spans="1:16" ht="15" customHeight="1">
      <c r="A23" s="204">
        <v>3253</v>
      </c>
      <c r="B23" s="188"/>
      <c r="C23" s="188"/>
      <c r="D23" s="189"/>
      <c r="E23" s="189"/>
      <c r="F23" s="189"/>
      <c r="G23" s="189"/>
      <c r="H23" s="189"/>
      <c r="I23" s="190"/>
      <c r="J23" s="190"/>
      <c r="K23" s="190"/>
      <c r="L23" s="190"/>
      <c r="M23" s="190"/>
      <c r="N23" s="189"/>
      <c r="O23" s="188"/>
      <c r="P23" s="189"/>
    </row>
    <row r="24" spans="1:16" ht="15" customHeight="1">
      <c r="A24" s="4">
        <v>3254</v>
      </c>
      <c r="B24" s="188"/>
      <c r="C24" s="188"/>
      <c r="D24" s="189"/>
      <c r="E24" s="189"/>
      <c r="F24" s="189"/>
      <c r="G24" s="189"/>
      <c r="H24" s="189"/>
      <c r="I24" s="190"/>
      <c r="J24" s="190"/>
      <c r="K24" s="190"/>
      <c r="L24" s="190"/>
      <c r="M24" s="190"/>
      <c r="N24" s="189"/>
      <c r="O24" s="188"/>
      <c r="P24" s="189"/>
    </row>
    <row r="25" spans="1:16" ht="15" customHeight="1">
      <c r="A25" s="203">
        <v>3255</v>
      </c>
      <c r="B25" s="196"/>
      <c r="C25" s="196"/>
      <c r="D25" s="189"/>
      <c r="E25" s="189"/>
      <c r="F25" s="189"/>
      <c r="G25" s="189"/>
      <c r="H25" s="189"/>
      <c r="I25" s="190"/>
      <c r="J25" s="190"/>
      <c r="K25" s="190"/>
      <c r="L25" s="190"/>
      <c r="M25" s="190"/>
      <c r="N25" s="189"/>
      <c r="O25" s="196"/>
      <c r="P25" s="189"/>
    </row>
    <row r="26" spans="1:16" ht="15" customHeight="1">
      <c r="A26" s="203">
        <v>3256</v>
      </c>
      <c r="B26" s="202"/>
      <c r="C26" s="202"/>
      <c r="D26" s="189"/>
      <c r="E26" s="189"/>
      <c r="F26" s="189"/>
      <c r="G26" s="189"/>
      <c r="H26" s="189"/>
      <c r="I26" s="190"/>
      <c r="J26" s="190"/>
      <c r="K26" s="190"/>
      <c r="L26" s="190"/>
      <c r="M26" s="190"/>
      <c r="N26" s="189"/>
      <c r="O26" s="202"/>
      <c r="P26" s="189"/>
    </row>
    <row r="27" spans="1:16" ht="15" customHeight="1">
      <c r="A27" s="203">
        <v>3258</v>
      </c>
      <c r="B27" s="188"/>
      <c r="C27" s="188"/>
      <c r="D27" s="189"/>
      <c r="E27" s="189"/>
      <c r="F27" s="189"/>
      <c r="G27" s="189"/>
      <c r="H27" s="189"/>
      <c r="I27" s="190"/>
      <c r="J27" s="190"/>
      <c r="K27" s="190"/>
      <c r="L27" s="190"/>
      <c r="M27" s="190"/>
      <c r="N27" s="189"/>
      <c r="O27" s="188"/>
      <c r="P27" s="189"/>
    </row>
    <row r="28" spans="1:16" ht="15" customHeight="1">
      <c r="A28" s="203">
        <v>3259</v>
      </c>
      <c r="B28" s="188"/>
      <c r="C28" s="188"/>
      <c r="D28" s="189"/>
      <c r="E28" s="7"/>
      <c r="F28" s="7"/>
      <c r="G28" s="7"/>
      <c r="H28" s="7"/>
      <c r="I28" s="7"/>
      <c r="J28" s="7"/>
      <c r="K28" s="7"/>
      <c r="L28" s="7"/>
      <c r="M28" s="7"/>
      <c r="N28" s="200"/>
      <c r="O28" s="188"/>
      <c r="P28" s="7"/>
    </row>
    <row r="29" spans="1:16" ht="15" customHeight="1">
      <c r="A29" s="203">
        <v>3260</v>
      </c>
      <c r="B29" s="188"/>
      <c r="C29" s="205"/>
      <c r="D29" s="190"/>
      <c r="E29" s="6"/>
      <c r="F29" s="6"/>
      <c r="G29" s="6"/>
      <c r="H29" s="6"/>
      <c r="I29" s="8"/>
      <c r="J29" s="8"/>
      <c r="K29" s="8"/>
      <c r="L29" s="8"/>
      <c r="M29" s="8"/>
      <c r="N29" s="200"/>
      <c r="O29" s="188"/>
      <c r="P29" s="6"/>
    </row>
    <row r="30" spans="1:16" ht="15" customHeight="1">
      <c r="A30" s="203">
        <v>3261</v>
      </c>
      <c r="B30" s="196"/>
      <c r="D30" s="11"/>
      <c r="E30" s="15"/>
      <c r="F30" s="15"/>
      <c r="G30" s="15"/>
      <c r="H30" s="15"/>
      <c r="I30" s="16"/>
      <c r="J30" s="16"/>
      <c r="K30" s="16"/>
      <c r="L30" s="16"/>
      <c r="M30" s="16"/>
      <c r="N30" s="206"/>
      <c r="O30" s="196"/>
      <c r="P30" s="15"/>
    </row>
    <row r="31" spans="1:16" ht="15" customHeight="1">
      <c r="A31" s="203">
        <v>3262</v>
      </c>
      <c r="B31" s="188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  <c r="N31" s="188"/>
      <c r="O31" s="188"/>
      <c r="P31" s="12"/>
    </row>
    <row r="32" spans="1:16" ht="15" customHeight="1">
      <c r="A32" s="203">
        <v>3263</v>
      </c>
      <c r="B32" s="188"/>
      <c r="C32" s="188"/>
      <c r="D32" s="189"/>
      <c r="E32" s="189"/>
      <c r="F32" s="189"/>
      <c r="G32" s="189"/>
      <c r="H32" s="189"/>
      <c r="I32" s="190"/>
      <c r="J32" s="190"/>
      <c r="K32" s="190"/>
      <c r="L32" s="190"/>
      <c r="M32" s="190"/>
      <c r="N32" s="189"/>
      <c r="O32" s="188"/>
      <c r="P32" s="189"/>
    </row>
    <row r="33" spans="1:16" ht="15" customHeight="1">
      <c r="A33" s="203">
        <v>3264</v>
      </c>
      <c r="B33" s="188"/>
      <c r="C33" s="188"/>
      <c r="D33" s="189"/>
      <c r="E33" s="189"/>
      <c r="F33" s="189"/>
      <c r="G33" s="189"/>
      <c r="H33" s="189"/>
      <c r="I33" s="190"/>
      <c r="J33" s="190"/>
      <c r="K33" s="190"/>
      <c r="L33" s="190"/>
      <c r="M33" s="190"/>
      <c r="N33" s="189"/>
      <c r="O33" s="188"/>
      <c r="P33" s="189"/>
    </row>
    <row r="34" spans="1:16" ht="15" customHeight="1">
      <c r="A34" s="204">
        <v>3265</v>
      </c>
      <c r="B34" s="188"/>
      <c r="C34" s="188"/>
      <c r="D34" s="189"/>
      <c r="E34" s="189"/>
      <c r="F34" s="189"/>
      <c r="G34" s="189"/>
      <c r="H34" s="189"/>
      <c r="I34" s="190"/>
      <c r="J34" s="190"/>
      <c r="K34" s="190"/>
      <c r="L34" s="190"/>
      <c r="M34" s="190"/>
      <c r="N34" s="189"/>
      <c r="O34" s="188"/>
      <c r="P34" s="189"/>
    </row>
    <row r="35" spans="1:16" ht="15" customHeight="1">
      <c r="A35" s="4">
        <v>3266</v>
      </c>
      <c r="B35" s="188"/>
      <c r="C35" s="188"/>
      <c r="D35" s="189"/>
      <c r="E35" s="189"/>
      <c r="F35" s="189"/>
      <c r="G35" s="189"/>
      <c r="H35" s="189"/>
      <c r="I35" s="190"/>
      <c r="J35" s="190"/>
      <c r="K35" s="190"/>
      <c r="L35" s="190"/>
      <c r="M35" s="190"/>
      <c r="N35" s="189"/>
      <c r="O35" s="188"/>
      <c r="P35" s="189"/>
    </row>
    <row r="36" spans="1:16" ht="15" customHeight="1">
      <c r="A36" s="203">
        <v>3267</v>
      </c>
      <c r="B36" s="188"/>
      <c r="C36" s="188"/>
      <c r="D36" s="189"/>
      <c r="E36" s="189"/>
      <c r="F36" s="189"/>
      <c r="G36" s="189"/>
      <c r="H36" s="189"/>
      <c r="I36" s="190"/>
      <c r="J36" s="190"/>
      <c r="K36" s="190"/>
      <c r="L36" s="190"/>
      <c r="M36" s="190"/>
      <c r="N36" s="189"/>
      <c r="O36" s="188"/>
      <c r="P36" s="189"/>
    </row>
    <row r="37" spans="1:16" ht="15" customHeight="1">
      <c r="A37" s="203">
        <v>3299</v>
      </c>
      <c r="B37" s="188"/>
      <c r="C37" s="188"/>
      <c r="D37" s="189"/>
      <c r="E37" s="189"/>
      <c r="F37" s="189"/>
      <c r="G37" s="189"/>
      <c r="H37" s="189"/>
      <c r="I37" s="190"/>
      <c r="J37" s="190"/>
      <c r="K37" s="190"/>
      <c r="L37" s="190"/>
      <c r="M37" s="190"/>
      <c r="N37" s="189"/>
      <c r="O37" s="188"/>
      <c r="P37" s="189"/>
    </row>
    <row r="38" spans="1:16" ht="15" customHeight="1">
      <c r="A38" s="203">
        <v>3531</v>
      </c>
      <c r="B38" s="196"/>
      <c r="C38" s="196"/>
      <c r="D38" s="189"/>
      <c r="E38" s="6"/>
      <c r="F38" s="6"/>
      <c r="G38" s="6"/>
      <c r="H38" s="6"/>
      <c r="I38" s="8"/>
      <c r="J38" s="8"/>
      <c r="K38" s="8"/>
      <c r="L38" s="8"/>
      <c r="M38" s="8"/>
      <c r="N38" s="200"/>
      <c r="O38" s="196"/>
      <c r="P38" s="6"/>
    </row>
    <row r="39" spans="1:16" ht="15" customHeight="1">
      <c r="A39" s="203">
        <v>3532</v>
      </c>
      <c r="B39" s="202"/>
      <c r="C39" s="202"/>
      <c r="D39" s="189"/>
      <c r="E39" s="189"/>
      <c r="F39" s="189"/>
      <c r="G39" s="189"/>
      <c r="H39" s="189"/>
      <c r="I39" s="190"/>
      <c r="J39" s="190"/>
      <c r="K39" s="190"/>
      <c r="L39" s="190"/>
      <c r="M39" s="190"/>
      <c r="N39" s="189"/>
      <c r="O39" s="202"/>
      <c r="P39" s="189"/>
    </row>
    <row r="40" spans="1:16" ht="15" customHeight="1">
      <c r="A40" s="203">
        <v>3533</v>
      </c>
      <c r="B40" s="188"/>
      <c r="C40" s="188"/>
      <c r="D40" s="189"/>
      <c r="E40" s="189"/>
      <c r="F40" s="189"/>
      <c r="G40" s="189"/>
      <c r="H40" s="189"/>
      <c r="I40" s="190"/>
      <c r="J40" s="190"/>
      <c r="K40" s="190"/>
      <c r="L40" s="190"/>
      <c r="M40" s="190"/>
      <c r="N40" s="189"/>
      <c r="O40" s="188"/>
      <c r="P40" s="189"/>
    </row>
    <row r="41" spans="1:16" ht="15" customHeight="1">
      <c r="A41" s="203">
        <v>3534</v>
      </c>
      <c r="B41" s="188"/>
      <c r="C41" s="188"/>
      <c r="D41" s="189"/>
      <c r="E41" s="189"/>
      <c r="F41" s="189"/>
      <c r="G41" s="189"/>
      <c r="H41" s="189"/>
      <c r="I41" s="190"/>
      <c r="J41" s="190"/>
      <c r="K41" s="190"/>
      <c r="L41" s="190"/>
      <c r="M41" s="190"/>
      <c r="N41" s="189"/>
      <c r="O41" s="188"/>
      <c r="P41" s="189"/>
    </row>
    <row r="42" spans="1:16" ht="15" customHeight="1">
      <c r="A42" s="203">
        <v>3535</v>
      </c>
      <c r="B42" s="188"/>
      <c r="C42" s="188"/>
      <c r="D42" s="189"/>
      <c r="E42" s="6"/>
      <c r="F42" s="6"/>
      <c r="G42" s="6"/>
      <c r="H42" s="6"/>
      <c r="I42" s="8"/>
      <c r="J42" s="8"/>
      <c r="K42" s="8"/>
      <c r="L42" s="8"/>
      <c r="M42" s="8"/>
      <c r="N42" s="200"/>
      <c r="O42" s="188"/>
      <c r="P42" s="6"/>
    </row>
    <row r="43" spans="1:16" ht="15" customHeight="1">
      <c r="A43" s="203">
        <v>3536</v>
      </c>
      <c r="B43" s="188"/>
      <c r="C43" s="188"/>
      <c r="D43" s="189"/>
      <c r="E43" s="189"/>
      <c r="F43" s="189"/>
      <c r="G43" s="189"/>
      <c r="H43" s="189"/>
      <c r="I43" s="190"/>
      <c r="J43" s="190"/>
      <c r="K43" s="190"/>
      <c r="L43" s="190"/>
      <c r="M43" s="190"/>
      <c r="N43" s="189"/>
      <c r="O43" s="188"/>
      <c r="P43" s="189"/>
    </row>
    <row r="44" spans="1:16" ht="15" customHeight="1">
      <c r="A44" s="203">
        <v>3537</v>
      </c>
      <c r="B44" s="188"/>
      <c r="C44" s="188"/>
      <c r="D44" s="189"/>
      <c r="E44" s="189"/>
      <c r="F44" s="189"/>
      <c r="G44" s="189"/>
      <c r="H44" s="189"/>
      <c r="I44" s="190"/>
      <c r="J44" s="190"/>
      <c r="K44" s="190"/>
      <c r="L44" s="190"/>
      <c r="M44" s="190"/>
      <c r="N44" s="189"/>
      <c r="O44" s="188"/>
      <c r="P44" s="189"/>
    </row>
    <row r="45" spans="1:16" ht="15" customHeight="1">
      <c r="A45" s="204">
        <v>3538</v>
      </c>
      <c r="B45" s="188"/>
      <c r="C45" s="188"/>
      <c r="D45" s="189"/>
      <c r="E45" s="189"/>
      <c r="F45" s="189"/>
      <c r="G45" s="189"/>
      <c r="H45" s="189"/>
      <c r="I45" s="190"/>
      <c r="J45" s="190"/>
      <c r="K45" s="190"/>
      <c r="L45" s="190"/>
      <c r="M45" s="190"/>
      <c r="N45" s="189"/>
      <c r="O45" s="188"/>
      <c r="P45" s="189"/>
    </row>
    <row r="46" spans="1:16" ht="15" customHeight="1">
      <c r="A46" s="4">
        <v>3540</v>
      </c>
      <c r="B46" s="196"/>
      <c r="C46" s="207"/>
      <c r="D46" s="190"/>
      <c r="E46" s="6"/>
      <c r="F46" s="6"/>
      <c r="G46" s="6"/>
      <c r="H46" s="6"/>
      <c r="I46" s="8"/>
      <c r="J46" s="8"/>
      <c r="K46" s="8"/>
      <c r="L46" s="8"/>
      <c r="M46" s="8"/>
      <c r="N46" s="200"/>
      <c r="O46" s="196"/>
      <c r="P46" s="6"/>
    </row>
    <row r="47" spans="1:16" ht="15" customHeight="1">
      <c r="A47" s="203">
        <v>3541</v>
      </c>
      <c r="B47" s="202"/>
      <c r="C47" s="208"/>
      <c r="D47" s="190"/>
      <c r="E47" s="6"/>
      <c r="F47" s="6"/>
      <c r="G47" s="6"/>
      <c r="H47" s="6"/>
      <c r="I47" s="8"/>
      <c r="J47" s="8"/>
      <c r="K47" s="8"/>
      <c r="L47" s="8"/>
      <c r="M47" s="8"/>
      <c r="N47" s="200"/>
      <c r="O47" s="202"/>
      <c r="P47" s="6"/>
    </row>
    <row r="48" spans="1:16" ht="15" customHeight="1">
      <c r="A48" s="203">
        <v>3542</v>
      </c>
      <c r="B48" s="188"/>
      <c r="C48" s="188"/>
      <c r="D48" s="189"/>
      <c r="E48" s="189"/>
      <c r="F48" s="189"/>
      <c r="G48" s="189"/>
      <c r="H48" s="189"/>
      <c r="I48" s="190"/>
      <c r="J48" s="190"/>
      <c r="K48" s="190"/>
      <c r="L48" s="190"/>
      <c r="M48" s="190"/>
      <c r="N48" s="189"/>
      <c r="O48" s="188"/>
      <c r="P48" s="189"/>
    </row>
    <row r="49" spans="1:16" ht="15" customHeight="1">
      <c r="A49" s="203">
        <v>3543</v>
      </c>
      <c r="B49" s="209"/>
      <c r="C49" s="47"/>
      <c r="D49" s="188"/>
      <c r="E49" s="188"/>
      <c r="F49" s="188"/>
      <c r="G49" s="188"/>
      <c r="H49" s="188"/>
      <c r="I49" s="205"/>
      <c r="J49" s="205"/>
      <c r="K49" s="205"/>
      <c r="L49" s="205"/>
      <c r="M49" s="205"/>
      <c r="N49" s="188"/>
      <c r="O49" s="209"/>
      <c r="P49" s="188"/>
    </row>
    <row r="50" spans="1:16" ht="15" customHeight="1">
      <c r="A50" s="203">
        <v>3544</v>
      </c>
      <c r="B50" s="196"/>
      <c r="C50" s="196"/>
      <c r="D50" s="189"/>
      <c r="E50" s="189"/>
      <c r="F50" s="189"/>
      <c r="G50" s="189"/>
      <c r="H50" s="189"/>
      <c r="I50" s="190"/>
      <c r="J50" s="190"/>
      <c r="K50" s="190"/>
      <c r="L50" s="190"/>
      <c r="M50" s="190"/>
      <c r="N50" s="189"/>
      <c r="O50" s="188"/>
      <c r="P50" s="189"/>
    </row>
    <row r="51" spans="1:16" ht="15" customHeight="1">
      <c r="A51" s="203">
        <v>3545</v>
      </c>
      <c r="B51" s="202"/>
      <c r="C51" s="202"/>
      <c r="D51" s="189"/>
      <c r="E51" s="189"/>
      <c r="F51" s="189"/>
      <c r="G51" s="189"/>
      <c r="H51" s="189"/>
      <c r="I51" s="190"/>
      <c r="J51" s="190"/>
      <c r="K51" s="190"/>
      <c r="L51" s="190"/>
      <c r="M51" s="190"/>
      <c r="N51" s="189"/>
      <c r="O51" s="188"/>
      <c r="P51" s="189"/>
    </row>
    <row r="52" spans="1:16" ht="15" customHeight="1">
      <c r="A52" s="203">
        <v>3546</v>
      </c>
      <c r="B52" s="188"/>
      <c r="C52" s="188"/>
      <c r="D52" s="189"/>
      <c r="E52" s="6"/>
      <c r="F52" s="6"/>
      <c r="G52" s="6"/>
      <c r="H52" s="6"/>
      <c r="I52" s="8"/>
      <c r="J52" s="8"/>
      <c r="K52" s="8"/>
      <c r="L52" s="8"/>
      <c r="M52" s="8"/>
      <c r="N52" s="200"/>
      <c r="O52" s="196"/>
      <c r="P52" s="6"/>
    </row>
    <row r="53" spans="1:16" ht="15" customHeight="1">
      <c r="A53" s="203">
        <v>3547</v>
      </c>
      <c r="B53" s="188"/>
      <c r="C53" s="188"/>
      <c r="D53" s="189"/>
      <c r="E53" s="189"/>
      <c r="F53" s="189"/>
      <c r="G53" s="189"/>
      <c r="H53" s="189"/>
      <c r="I53" s="190"/>
      <c r="J53" s="190"/>
      <c r="K53" s="190"/>
      <c r="L53" s="190"/>
      <c r="M53" s="190"/>
      <c r="N53" s="189"/>
      <c r="O53" s="188"/>
      <c r="P53" s="189"/>
    </row>
    <row r="54" spans="1:16" ht="15" customHeight="1">
      <c r="A54" s="203">
        <v>3548</v>
      </c>
      <c r="B54" s="188"/>
      <c r="C54" s="188"/>
      <c r="D54" s="189"/>
      <c r="E54" s="189"/>
      <c r="F54" s="189"/>
      <c r="G54" s="189"/>
      <c r="H54" s="189"/>
      <c r="I54" s="190"/>
      <c r="J54" s="190"/>
      <c r="K54" s="190"/>
      <c r="L54" s="190"/>
      <c r="M54" s="190"/>
      <c r="N54" s="189"/>
      <c r="O54" s="188"/>
      <c r="P54" s="189"/>
    </row>
    <row r="55" spans="1:16" ht="15" customHeight="1">
      <c r="A55" s="203">
        <v>3549</v>
      </c>
      <c r="B55" s="188"/>
      <c r="C55" s="188"/>
      <c r="D55" s="189"/>
      <c r="E55" s="189"/>
      <c r="F55" s="189"/>
      <c r="G55" s="189"/>
      <c r="H55" s="189"/>
      <c r="I55" s="190"/>
      <c r="J55" s="190"/>
      <c r="K55" s="190"/>
      <c r="L55" s="190"/>
      <c r="M55" s="190"/>
      <c r="N55" s="189"/>
      <c r="O55" s="188"/>
      <c r="P55" s="189"/>
    </row>
    <row r="56" spans="1:16" ht="15" customHeight="1">
      <c r="A56" s="204">
        <v>3550</v>
      </c>
      <c r="B56" s="188"/>
      <c r="C56" s="188"/>
      <c r="D56" s="189"/>
      <c r="E56" s="189"/>
      <c r="F56" s="189"/>
      <c r="G56" s="189"/>
      <c r="H56" s="189"/>
      <c r="I56" s="190"/>
      <c r="J56" s="190"/>
      <c r="K56" s="190"/>
      <c r="L56" s="190"/>
      <c r="M56" s="190"/>
      <c r="N56" s="189"/>
      <c r="O56" s="188"/>
      <c r="P56" s="189"/>
    </row>
    <row r="57" spans="1:16" ht="15" customHeight="1">
      <c r="A57" s="4">
        <v>3551</v>
      </c>
      <c r="B57" s="188"/>
      <c r="C57" s="188"/>
      <c r="D57" s="189"/>
      <c r="E57" s="189"/>
      <c r="F57" s="189"/>
      <c r="G57" s="189"/>
      <c r="H57" s="189"/>
      <c r="I57" s="190"/>
      <c r="J57" s="190"/>
      <c r="K57" s="190"/>
      <c r="L57" s="190"/>
      <c r="M57" s="190"/>
      <c r="N57" s="189"/>
      <c r="O57" s="188"/>
      <c r="P57" s="189"/>
    </row>
    <row r="58" spans="1:16" ht="15" customHeight="1">
      <c r="A58" s="203">
        <v>3552</v>
      </c>
      <c r="B58" s="196"/>
      <c r="C58" s="196"/>
      <c r="D58" s="189"/>
      <c r="E58" s="189"/>
      <c r="F58" s="189"/>
      <c r="G58" s="189"/>
      <c r="H58" s="189"/>
      <c r="I58" s="190"/>
      <c r="J58" s="190"/>
      <c r="K58" s="190"/>
      <c r="L58" s="190"/>
      <c r="M58" s="190"/>
      <c r="N58" s="189"/>
      <c r="O58" s="188"/>
      <c r="P58" s="189"/>
    </row>
    <row r="59" spans="1:16" ht="15" customHeight="1">
      <c r="A59" s="203">
        <v>3553</v>
      </c>
      <c r="B59" s="202"/>
      <c r="C59" s="202"/>
      <c r="D59" s="189"/>
      <c r="E59" s="189"/>
      <c r="F59" s="189"/>
      <c r="G59" s="189"/>
      <c r="H59" s="189"/>
      <c r="I59" s="190"/>
      <c r="J59" s="190"/>
      <c r="K59" s="190"/>
      <c r="L59" s="190"/>
      <c r="M59" s="190"/>
      <c r="N59" s="189"/>
      <c r="O59" s="188"/>
      <c r="P59" s="189"/>
    </row>
    <row r="60" spans="1:16" ht="15" customHeight="1">
      <c r="A60" s="203">
        <v>3554</v>
      </c>
      <c r="B60" s="188"/>
      <c r="C60" s="205"/>
      <c r="D60" s="190"/>
      <c r="E60" s="6"/>
      <c r="F60" s="6"/>
      <c r="G60" s="6"/>
      <c r="H60" s="6"/>
      <c r="I60" s="8"/>
      <c r="J60" s="8"/>
      <c r="K60" s="8"/>
      <c r="L60" s="8"/>
      <c r="M60" s="8"/>
      <c r="N60" s="200"/>
      <c r="O60" s="196"/>
      <c r="P60" s="6"/>
    </row>
    <row r="61" spans="1:16" ht="15" customHeight="1">
      <c r="A61" s="203">
        <v>3555</v>
      </c>
      <c r="B61" s="202"/>
      <c r="C61" s="202"/>
      <c r="D61" s="189"/>
      <c r="E61" s="17"/>
      <c r="F61" s="17"/>
      <c r="G61" s="17"/>
      <c r="H61" s="17"/>
      <c r="I61" s="17"/>
      <c r="J61" s="17"/>
      <c r="K61" s="17"/>
      <c r="L61" s="17"/>
      <c r="M61" s="17"/>
      <c r="N61" s="210"/>
      <c r="O61" s="202"/>
      <c r="P61" s="17"/>
    </row>
    <row r="62" spans="1:16" ht="15" customHeight="1">
      <c r="A62" s="203">
        <v>3556</v>
      </c>
      <c r="B62" s="188"/>
      <c r="C62" s="188"/>
      <c r="D62" s="189"/>
      <c r="E62" s="189"/>
      <c r="F62" s="189"/>
      <c r="G62" s="189"/>
      <c r="H62" s="189"/>
      <c r="I62" s="190"/>
      <c r="J62" s="190"/>
      <c r="K62" s="190"/>
      <c r="L62" s="190"/>
      <c r="M62" s="190"/>
      <c r="N62" s="189"/>
      <c r="O62" s="188"/>
      <c r="P62" s="189"/>
    </row>
    <row r="63" spans="1:16" ht="15" customHeight="1">
      <c r="A63" s="203">
        <v>3557</v>
      </c>
      <c r="B63" s="209"/>
      <c r="C63" s="47"/>
      <c r="D63" s="211"/>
      <c r="E63" s="18"/>
      <c r="F63" s="18"/>
      <c r="G63" s="18"/>
      <c r="H63" s="18"/>
      <c r="I63" s="19"/>
      <c r="J63" s="19"/>
      <c r="K63" s="19"/>
      <c r="L63" s="19"/>
      <c r="M63" s="19"/>
      <c r="N63" s="196"/>
      <c r="O63" s="209"/>
      <c r="P63" s="18"/>
    </row>
    <row r="64" spans="1:16" ht="15" customHeight="1">
      <c r="A64" s="203">
        <v>3558</v>
      </c>
      <c r="B64" s="202"/>
      <c r="C64" s="202"/>
      <c r="D64" s="175"/>
      <c r="E64" s="189"/>
      <c r="F64" s="189"/>
      <c r="G64" s="189"/>
      <c r="H64" s="189"/>
      <c r="I64" s="190"/>
      <c r="J64" s="190"/>
      <c r="K64" s="190"/>
      <c r="L64" s="190"/>
      <c r="M64" s="190"/>
      <c r="N64" s="189"/>
      <c r="O64" s="188"/>
      <c r="P64" s="189"/>
    </row>
    <row r="65" spans="1:16" ht="15" customHeight="1">
      <c r="A65" s="203">
        <v>3559</v>
      </c>
      <c r="B65" s="188"/>
      <c r="C65" s="188"/>
      <c r="D65" s="211"/>
      <c r="E65" s="211"/>
      <c r="F65" s="211"/>
      <c r="G65" s="211"/>
      <c r="H65" s="211"/>
      <c r="I65" s="176"/>
      <c r="J65" s="176"/>
      <c r="K65" s="176"/>
      <c r="L65" s="176"/>
      <c r="M65" s="176"/>
      <c r="N65" s="188"/>
      <c r="O65" s="188"/>
      <c r="P65" s="211"/>
    </row>
    <row r="66" spans="1:16" ht="15" customHeight="1">
      <c r="A66" s="5">
        <v>3560</v>
      </c>
      <c r="B66" s="188"/>
      <c r="C66" s="188"/>
      <c r="D66" s="189"/>
      <c r="E66" s="189"/>
      <c r="F66" s="189"/>
      <c r="G66" s="189"/>
      <c r="H66" s="189"/>
      <c r="I66" s="190"/>
      <c r="J66" s="190"/>
      <c r="K66" s="190"/>
      <c r="L66" s="190"/>
      <c r="M66" s="190"/>
      <c r="N66" s="189"/>
      <c r="O66" s="196"/>
      <c r="P66" s="189"/>
    </row>
    <row r="67" spans="1:16" ht="15" customHeight="1">
      <c r="A67" s="177">
        <v>3561</v>
      </c>
      <c r="B67" s="188"/>
      <c r="C67" s="188"/>
      <c r="D67" s="189"/>
      <c r="E67" s="189"/>
      <c r="F67" s="189"/>
      <c r="G67" s="189"/>
      <c r="H67" s="189"/>
      <c r="I67" s="190"/>
      <c r="J67" s="190"/>
      <c r="K67" s="190"/>
      <c r="L67" s="190"/>
      <c r="M67" s="190"/>
      <c r="N67" s="189"/>
      <c r="O67" s="188"/>
      <c r="P67" s="189"/>
    </row>
    <row r="68" spans="1:16" ht="18.75">
      <c r="A68" s="177">
        <v>3562</v>
      </c>
      <c r="B68" s="188"/>
      <c r="C68" s="188"/>
      <c r="D68" s="189"/>
      <c r="E68" s="189"/>
      <c r="F68" s="189"/>
      <c r="G68" s="189"/>
      <c r="H68" s="189"/>
      <c r="I68" s="190"/>
      <c r="J68" s="190"/>
      <c r="K68" s="190"/>
      <c r="L68" s="190"/>
      <c r="M68" s="190"/>
      <c r="N68" s="189"/>
      <c r="O68" s="188"/>
      <c r="P68" s="189"/>
    </row>
    <row r="69" spans="1:16" ht="18.75">
      <c r="A69" s="177">
        <v>3563</v>
      </c>
      <c r="B69" s="188"/>
      <c r="C69" s="188"/>
      <c r="D69" s="189"/>
      <c r="E69" s="6"/>
      <c r="F69" s="6"/>
      <c r="G69" s="6"/>
      <c r="H69" s="6"/>
      <c r="I69" s="8"/>
      <c r="J69" s="8"/>
      <c r="K69" s="8"/>
      <c r="L69" s="8"/>
      <c r="M69" s="8"/>
      <c r="N69" s="200"/>
      <c r="O69" s="188"/>
      <c r="P69" s="6"/>
    </row>
    <row r="70" spans="1:16" ht="18.75">
      <c r="A70" s="177">
        <v>3564</v>
      </c>
      <c r="B70" s="188"/>
      <c r="C70" s="188"/>
      <c r="D70" s="189"/>
      <c r="E70" s="6"/>
      <c r="F70" s="6"/>
      <c r="G70" s="6"/>
      <c r="H70" s="6"/>
      <c r="I70" s="8"/>
      <c r="J70" s="8"/>
      <c r="K70" s="8"/>
      <c r="L70" s="8"/>
      <c r="M70" s="8"/>
      <c r="N70" s="200"/>
      <c r="O70" s="188"/>
      <c r="P70" s="6"/>
    </row>
    <row r="71" spans="1:16" ht="18.75">
      <c r="A71" s="177">
        <v>3565</v>
      </c>
      <c r="B71" s="196"/>
      <c r="C71" s="196"/>
      <c r="D71" s="189"/>
      <c r="E71" s="189"/>
      <c r="F71" s="189"/>
      <c r="G71" s="189"/>
      <c r="H71" s="189"/>
      <c r="I71" s="190"/>
      <c r="J71" s="190"/>
      <c r="K71" s="190"/>
      <c r="L71" s="190"/>
      <c r="M71" s="190"/>
      <c r="N71" s="189"/>
      <c r="O71" s="188"/>
      <c r="P71" s="189"/>
    </row>
    <row r="72" spans="1:16" ht="18.75">
      <c r="A72" s="177">
        <v>3566</v>
      </c>
      <c r="B72" s="188"/>
      <c r="C72" s="188"/>
      <c r="D72" s="189"/>
      <c r="E72" s="189"/>
      <c r="F72" s="189"/>
      <c r="G72" s="189"/>
      <c r="H72" s="189"/>
      <c r="I72" s="190"/>
      <c r="J72" s="190"/>
      <c r="K72" s="190"/>
      <c r="L72" s="190"/>
      <c r="M72" s="190"/>
      <c r="N72" s="189"/>
      <c r="O72" s="188"/>
      <c r="P72" s="189"/>
    </row>
    <row r="73" spans="1:16" ht="18.75">
      <c r="A73" s="178">
        <v>3567</v>
      </c>
      <c r="B73" s="179"/>
      <c r="C73" s="179"/>
      <c r="D73" s="180"/>
      <c r="E73" s="180"/>
      <c r="F73" s="180"/>
      <c r="G73" s="180"/>
      <c r="H73" s="180"/>
      <c r="I73" s="181"/>
      <c r="J73" s="181"/>
      <c r="K73" s="181"/>
      <c r="L73" s="181"/>
      <c r="M73" s="181"/>
      <c r="N73" s="180"/>
      <c r="O73" s="182"/>
      <c r="P73" s="180"/>
    </row>
    <row r="74" spans="1:16">
      <c r="P74" s="183"/>
    </row>
    <row r="75" spans="1:16">
      <c r="P75" s="183"/>
    </row>
    <row r="76" spans="1:16">
      <c r="P76" s="183"/>
    </row>
    <row r="77" spans="1:16">
      <c r="P77" s="183"/>
    </row>
    <row r="78" spans="1:16">
      <c r="P78" s="183"/>
    </row>
    <row r="79" spans="1:16">
      <c r="P79" s="183"/>
    </row>
    <row r="80" spans="1:16">
      <c r="P80" s="183"/>
    </row>
    <row r="81" spans="16:16">
      <c r="P81" s="183"/>
    </row>
    <row r="82" spans="16:16">
      <c r="P82" s="183"/>
    </row>
    <row r="83" spans="16:16">
      <c r="P83" s="183"/>
    </row>
    <row r="84" spans="16:16">
      <c r="P84" s="183"/>
    </row>
    <row r="85" spans="16:16">
      <c r="P85" s="183"/>
    </row>
    <row r="86" spans="16:16">
      <c r="P86" s="183"/>
    </row>
    <row r="87" spans="16:16">
      <c r="P87" s="183"/>
    </row>
    <row r="88" spans="16:16">
      <c r="P88" s="183"/>
    </row>
    <row r="89" spans="16:16">
      <c r="P89" s="183"/>
    </row>
    <row r="90" spans="16:16">
      <c r="P90" s="183"/>
    </row>
    <row r="91" spans="16:16">
      <c r="P91" s="183"/>
    </row>
    <row r="92" spans="16:16">
      <c r="P92" s="183"/>
    </row>
    <row r="93" spans="16:16">
      <c r="P93" s="183"/>
    </row>
    <row r="94" spans="16:16">
      <c r="P94" s="183"/>
    </row>
    <row r="95" spans="16:16">
      <c r="P95" s="183"/>
    </row>
    <row r="96" spans="16:16">
      <c r="P96" s="184"/>
    </row>
    <row r="97" spans="16:16">
      <c r="P97" s="183"/>
    </row>
    <row r="98" spans="16:16">
      <c r="P98" s="183"/>
    </row>
    <row r="99" spans="16:16">
      <c r="P99" s="183"/>
    </row>
    <row r="100" spans="16:16">
      <c r="P100" s="183"/>
    </row>
    <row r="101" spans="16:16">
      <c r="P101" s="183"/>
    </row>
    <row r="102" spans="16:16">
      <c r="P102" s="183"/>
    </row>
    <row r="103" spans="16:16">
      <c r="P103" s="183"/>
    </row>
    <row r="104" spans="16:16">
      <c r="P104" s="183"/>
    </row>
    <row r="105" spans="16:16">
      <c r="P105" s="183"/>
    </row>
    <row r="106" spans="16:16">
      <c r="P106" s="183"/>
    </row>
    <row r="107" spans="16:16">
      <c r="P107" s="183"/>
    </row>
    <row r="108" spans="16:16">
      <c r="P108" s="183"/>
    </row>
    <row r="109" spans="16:16">
      <c r="P109" s="183"/>
    </row>
    <row r="110" spans="16:16">
      <c r="P110" s="183"/>
    </row>
    <row r="111" spans="16:16">
      <c r="P111" s="183"/>
    </row>
    <row r="112" spans="16:16">
      <c r="P112" s="183"/>
    </row>
    <row r="113" spans="16:16">
      <c r="P113" s="183"/>
    </row>
    <row r="114" spans="16:16">
      <c r="P114" s="183"/>
    </row>
    <row r="115" spans="16:16">
      <c r="P115" s="183"/>
    </row>
    <row r="116" spans="16:16">
      <c r="P116" s="183"/>
    </row>
    <row r="117" spans="16:16">
      <c r="P117" s="183"/>
    </row>
    <row r="118" spans="16:16">
      <c r="P118" s="183"/>
    </row>
    <row r="119" spans="16:16">
      <c r="P119" s="183"/>
    </row>
    <row r="120" spans="16:16">
      <c r="P120" s="183"/>
    </row>
    <row r="121" spans="16:16">
      <c r="P121" s="183"/>
    </row>
    <row r="122" spans="16:16">
      <c r="P122" s="183"/>
    </row>
    <row r="123" spans="16:16">
      <c r="P123" s="183"/>
    </row>
    <row r="124" spans="16:16">
      <c r="P124" s="183"/>
    </row>
    <row r="125" spans="16:16">
      <c r="P125" s="183"/>
    </row>
    <row r="126" spans="16:16">
      <c r="P126" s="183"/>
    </row>
    <row r="127" spans="16:16">
      <c r="P127" s="183"/>
    </row>
    <row r="128" spans="16:16">
      <c r="P128" s="183"/>
    </row>
    <row r="129" spans="16:16">
      <c r="P129" s="183"/>
    </row>
    <row r="130" spans="16:16">
      <c r="P130" s="183"/>
    </row>
    <row r="131" spans="16:16">
      <c r="P131" s="183"/>
    </row>
    <row r="132" spans="16:16">
      <c r="P132" s="183"/>
    </row>
    <row r="133" spans="16:16">
      <c r="P133" s="183"/>
    </row>
    <row r="134" spans="16:16">
      <c r="P134" s="183"/>
    </row>
    <row r="135" spans="16:16">
      <c r="P135" s="183"/>
    </row>
    <row r="136" spans="16:16">
      <c r="P136" s="183"/>
    </row>
    <row r="137" spans="16:16">
      <c r="P137" s="183"/>
    </row>
    <row r="138" spans="16:16">
      <c r="P138" s="183"/>
    </row>
    <row r="139" spans="16:16">
      <c r="P139" s="183"/>
    </row>
    <row r="140" spans="16:16">
      <c r="P140" s="183"/>
    </row>
    <row r="141" spans="16:16">
      <c r="P141" s="183"/>
    </row>
    <row r="142" spans="16:16">
      <c r="P142" s="183"/>
    </row>
    <row r="143" spans="16:16">
      <c r="P143" s="183"/>
    </row>
    <row r="144" spans="16:16">
      <c r="P144" s="183"/>
    </row>
    <row r="145" spans="16:16">
      <c r="P145" s="183"/>
    </row>
    <row r="146" spans="16:16">
      <c r="P146" s="183"/>
    </row>
    <row r="147" spans="16:16">
      <c r="P147" s="183"/>
    </row>
    <row r="148" spans="16:16">
      <c r="P148" s="183"/>
    </row>
    <row r="149" spans="16:16">
      <c r="P149" s="183"/>
    </row>
    <row r="150" spans="16:16">
      <c r="P150" s="183"/>
    </row>
    <row r="151" spans="16:16">
      <c r="P151" s="183"/>
    </row>
    <row r="152" spans="16:16">
      <c r="P152" s="183"/>
    </row>
    <row r="153" spans="16:16">
      <c r="P153" s="183"/>
    </row>
    <row r="154" spans="16:16">
      <c r="P154" s="183"/>
    </row>
    <row r="155" spans="16:16">
      <c r="P155" s="183"/>
    </row>
    <row r="156" spans="16:16">
      <c r="P156" s="183"/>
    </row>
    <row r="157" spans="16:16">
      <c r="P157" s="183"/>
    </row>
    <row r="158" spans="16:16">
      <c r="P158" s="183"/>
    </row>
    <row r="159" spans="16:16">
      <c r="P159" s="183"/>
    </row>
    <row r="160" spans="16:16">
      <c r="P160" s="183"/>
    </row>
    <row r="161" spans="16:16">
      <c r="P161" s="183"/>
    </row>
    <row r="162" spans="16:16">
      <c r="P162" s="183"/>
    </row>
    <row r="163" spans="16:16">
      <c r="P163" s="183"/>
    </row>
    <row r="164" spans="16:16">
      <c r="P164" s="183"/>
    </row>
    <row r="165" spans="16:16">
      <c r="P165" s="183"/>
    </row>
    <row r="166" spans="16:16">
      <c r="P166" s="183"/>
    </row>
    <row r="167" spans="16:16">
      <c r="P167" s="183"/>
    </row>
    <row r="168" spans="16:16">
      <c r="P168" s="183"/>
    </row>
    <row r="169" spans="16:16">
      <c r="P169" s="183"/>
    </row>
    <row r="170" spans="16:16">
      <c r="P170" s="183"/>
    </row>
    <row r="171" spans="16:16">
      <c r="P171" s="183"/>
    </row>
    <row r="172" spans="16:16">
      <c r="P172" s="183"/>
    </row>
    <row r="173" spans="16:16">
      <c r="P173" s="183"/>
    </row>
    <row r="174" spans="16:16">
      <c r="P174" s="183"/>
    </row>
    <row r="175" spans="16:16">
      <c r="P175" s="183"/>
    </row>
    <row r="176" spans="16:16">
      <c r="P176" s="183"/>
    </row>
    <row r="177" spans="16:16">
      <c r="P177" s="183"/>
    </row>
    <row r="178" spans="16:16">
      <c r="P178" s="183"/>
    </row>
    <row r="179" spans="16:16">
      <c r="P179" s="184"/>
    </row>
    <row r="180" spans="16:16">
      <c r="P180" s="183"/>
    </row>
    <row r="181" spans="16:16">
      <c r="P181" s="183"/>
    </row>
    <row r="182" spans="16:16">
      <c r="P182" s="183"/>
    </row>
    <row r="183" spans="16:16">
      <c r="P183" s="183"/>
    </row>
    <row r="184" spans="16:16">
      <c r="P184" s="183"/>
    </row>
    <row r="185" spans="16:16">
      <c r="P185" s="183"/>
    </row>
    <row r="186" spans="16:16">
      <c r="P186" s="183"/>
    </row>
    <row r="187" spans="16:16">
      <c r="P187" s="183"/>
    </row>
    <row r="188" spans="16:16">
      <c r="P188" s="183"/>
    </row>
    <row r="189" spans="16:16">
      <c r="P189" s="183"/>
    </row>
    <row r="190" spans="16:16">
      <c r="P190" s="183"/>
    </row>
    <row r="191" spans="16:16">
      <c r="P191" s="183"/>
    </row>
    <row r="192" spans="16:16">
      <c r="P192" s="183"/>
    </row>
    <row r="193" spans="16:16">
      <c r="P193" s="183"/>
    </row>
    <row r="194" spans="16:16">
      <c r="P194" s="183"/>
    </row>
    <row r="195" spans="16:16">
      <c r="P195" s="183"/>
    </row>
    <row r="196" spans="16:16">
      <c r="P196" s="183"/>
    </row>
    <row r="197" spans="16:16">
      <c r="P197" s="183"/>
    </row>
    <row r="198" spans="16:16">
      <c r="P198" s="183"/>
    </row>
    <row r="199" spans="16:16">
      <c r="P199" s="183"/>
    </row>
    <row r="200" spans="16:16">
      <c r="P200" s="183"/>
    </row>
    <row r="201" spans="16:16">
      <c r="P201" s="183"/>
    </row>
    <row r="202" spans="16:16">
      <c r="P202" s="183"/>
    </row>
    <row r="203" spans="16:16">
      <c r="P203" s="183"/>
    </row>
    <row r="204" spans="16:16">
      <c r="P204" s="183"/>
    </row>
    <row r="205" spans="16:16">
      <c r="P205" s="183"/>
    </row>
    <row r="206" spans="16:16">
      <c r="P206" s="183"/>
    </row>
    <row r="207" spans="16:16">
      <c r="P207" s="183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C467E7-9CC4-4C0E-BA15-92565F2B3C55}"/>
</file>

<file path=customXml/itemProps2.xml><?xml version="1.0" encoding="utf-8"?>
<ds:datastoreItem xmlns:ds="http://schemas.openxmlformats.org/officeDocument/2006/customXml" ds:itemID="{337FA35F-3C89-4A59-AA7F-04F9B99F757E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2025-07-22T14:06:10Z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